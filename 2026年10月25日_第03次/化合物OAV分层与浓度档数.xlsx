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98826bc0f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1种可用化合物" sheetId="1" r:id="Rd0edc751123e4b6c"/>
    <x:sheet xmlns:r="http://schemas.openxmlformats.org/officeDocument/2006/relationships" name="全库373行" sheetId="2" r:id="R89351e7e877f47d0"/>
    <x:sheet xmlns:r="http://schemas.openxmlformats.org/officeDocument/2006/relationships" name="浓度与阈值来源" sheetId="3" r:id="R9b1e6e020711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AF2F8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d9f1ac08548fc" /><Relationship Type="http://schemas.openxmlformats.org/officeDocument/2006/relationships/theme" Target="/xl/theme/theme1.xml" Id="R59cd0750d76d4c06" /><Relationship Type="http://schemas.openxmlformats.org/officeDocument/2006/relationships/sharedStrings" Target="/xl/sharedStrings.xml" Id="R5b8295f0b69c4810" /><Relationship Type="http://schemas.openxmlformats.org/officeDocument/2006/relationships/worksheet" Target="/xl/worksheets/sheet1.xml" Id="Rd0edc751123e4b6c" /><Relationship Type="http://schemas.openxmlformats.org/officeDocument/2006/relationships/worksheet" Target="/xl/worksheets/sheet2.xml" Id="R89351e7e877f47d0" /><Relationship Type="http://schemas.openxmlformats.org/officeDocument/2006/relationships/worksheet" Target="/xl/worksheets/sheet3.xml" Id="R9b1e6e0207114b0d" /></Relationships>
</file>

<file path=xl/tables/table1.xml><?xml version="1.0" encoding="utf-8"?>
<x:table xmlns:x="http://schemas.openxmlformats.org/spreadsheetml/2006/main" id="3" name="SelectedClassified" displayName="SelectedClassified" ref="A5:O46" headerRowCount="1" totalsRowCount="0" totalsRowShown="0">
  <x:tableColumns count="15">
    <x:tableColumn id="1" name="Order ID"/>
    <x:tableColumn id="2" name="中文名称"/>
    <x:tableColumn id="3" name="CAS"/>
    <x:tableColumn id="4" name="英文名称"/>
    <x:tableColumn id="5" name="周表阈值(μg/L)"/>
    <x:tableColumn id="6" name="有效浓度数"/>
    <x:tableColumn id="7" name="最大浓度(μg/L)"/>
    <x:tableColumn id="8" name="中位浓度(μg/L)"/>
    <x:tableColumn id="9" name="最大浓度OAV"/>
    <x:tableColumn id="10" name="中位浓度OAV"/>
    <x:tableColumn id="11" name="计算状态"/>
    <x:tableColumn id="12" name="实验分层（用户规则）"/>
    <x:tableColumn id="13" name="浓度档数"/>
    <x:tableColumn id="14" name="采用的浓度水平"/>
    <x:tableColumn id="15" name="低档设置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AllClassified" displayName="AllClassified" ref="A5:O378" headerRowCount="1" totalsRowCount="0" totalsRowShown="0">
  <x:tableColumns count="15">
    <x:tableColumn id="1" name="Order ID"/>
    <x:tableColumn id="2" name="中文名称"/>
    <x:tableColumn id="3" name="CAS"/>
    <x:tableColumn id="4" name="英文名称"/>
    <x:tableColumn id="5" name="周表阈值(μg/L)"/>
    <x:tableColumn id="6" name="有效浓度数"/>
    <x:tableColumn id="7" name="最大浓度(μg/L)"/>
    <x:tableColumn id="8" name="中位浓度(μg/L)"/>
    <x:tableColumn id="9" name="最大浓度OAV"/>
    <x:tableColumn id="10" name="中位浓度OAV"/>
    <x:tableColumn id="11" name="计算状态"/>
    <x:tableColumn id="12" name="实验分层（用户规则）"/>
    <x:tableColumn id="13" name="浓度档数"/>
    <x:tableColumn id="14" name="采用的浓度水平"/>
    <x:tableColumn id="15" name="低档设置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fd49b744bb47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cc0c22e09548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4" hidden="0" customWidth="1"/>
    <x:col min="13" max="13" width="12" hidden="0" customWidth="1"/>
    <x:col min="14" max="14" width="36" hidden="0" customWidth="1"/>
    <x:col min="15" max="15" width="48" hidden="0" customWidth="1"/>
  </x:cols>
  <x:sheetData>
    <x:row r="2">
      <x:c r="A2" t="str">
        <x:v>41种可用化合物最大值、中位值及OAV</x:v>
      </x:c>
    </x:row>
    <x:row r="3">
      <x:c r="A3" t="str">
        <x:v>对应此前PCA使用的41行。最大值、中位值来自原始浓度；OAV按固定周表阈值计算。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英文名称</x:v>
      </x:c>
      <x:c r="E5" s="4" t="str">
        <x:v>周表阈值(μg/L)</x:v>
      </x:c>
      <x:c r="F5" s="4" t="str">
        <x:v>有效浓度数</x:v>
      </x:c>
      <x:c r="G5" s="4" t="str">
        <x:v>最大浓度(μg/L)</x:v>
      </x:c>
      <x:c r="H5" s="4" t="str">
        <x:v>中位浓度(μg/L)</x:v>
      </x:c>
      <x:c r="I5" s="4" t="str">
        <x:v>最大浓度OAV</x:v>
      </x:c>
      <x:c r="J5" s="4" t="str">
        <x:v>中位浓度OAV</x:v>
      </x:c>
      <x:c r="K5" s="4" t="str">
        <x:v>计算状态</x:v>
      </x:c>
      <x:c r="L5" s="10" t="str">
        <x:v>实验分层（用户规则）</x:v>
      </x:c>
      <x:c r="M5" s="10" t="str">
        <x:v>浓度档数</x:v>
      </x:c>
      <x:c r="N5" s="10" t="str">
        <x:v>采用的浓度水平</x:v>
      </x:c>
      <x:c r="O5" s="10" t="str">
        <x:v>低档设置检查</x:v>
      </x:c>
    </x:row>
    <x:row r="6" ht="23" customHeight="1">
      <x:c r="A6" s="1" t="n">
        <x:f>IF('全库373行'!A10="","",'全库373行'!A10)</x:f>
        <x:v>5</x:v>
      </x:c>
      <x:c r="B6" s="1" t="str">
        <x:f>IF('全库373行'!B10="","",'全库373行'!B10)</x:f>
        <x:v>乙酸</x:v>
      </x:c>
      <x:c r="C6" s="1" t="str">
        <x:f>IF('全库373行'!C10="","",'全库373行'!C10)</x:f>
        <x:v>64-19-7</x:v>
      </x:c>
      <x:c r="D6" s="1" t="str">
        <x:f>IF('全库373行'!D10="","",'全库373行'!D10)</x:f>
        <x:v>Acetic acid</x:v>
      </x:c>
      <x:c r="E6" s="5" t="n">
        <x:f>IF('全库373行'!E10="","",'全库373行'!E10)</x:f>
        <x:v>160000</x:v>
      </x:c>
      <x:c r="F6" s="6" t="n">
        <x:f>IF('全库373行'!F10="","",'全库373行'!F10)</x:f>
        <x:v>93</x:v>
      </x:c>
      <x:c r="G6" s="5" t="n">
        <x:f>IF('全库373行'!G10="","",'全库373行'!G10)</x:f>
        <x:v>1800500</x:v>
      </x:c>
      <x:c r="H6" s="5" t="n">
        <x:f>IF('全库373行'!H10="","",'全库373行'!H10)</x:f>
        <x:v>3158</x:v>
      </x:c>
      <x:c r="I6" s="7" t="n">
        <x:f>IF('全库373行'!I10="","",'全库373行'!I10)</x:f>
        <x:v>11.253125</x:v>
      </x:c>
      <x:c r="J6" s="7" t="n">
        <x:f>IF('全库373行'!J10="","",'全库373行'!J10)</x:f>
        <x:v>0.0197375</x:v>
      </x:c>
      <x:c r="K6" s="1" t="str">
        <x:f>IF('全库373行'!K10="","",'全库373行'!K10)</x:f>
        <x:v>可计算</x:v>
      </x:c>
      <x:c r="L6" s="1" t="str">
        <x:f>IF(NOT(ISNUMBER(J6)),"待定",IF(J6&gt;50,"骨架成分",IF(J6&gt;=2,"重要成分","两档成分")))</x:f>
        <x:v>两档成分</x:v>
      </x:c>
      <x:c r="M6" s="1" t="n">
        <x:f>IF(NOT(ISNUMBER(J6)),"",IF(J6&gt;=2,3,2))</x:f>
        <x:v>2</x:v>
      </x:c>
      <x:c r="N6" s="1" t="str">
        <x:f>IF(NOT(ISNUMBER(J6)),"缺少可算OAV",IF(J6&gt;=2,"最大值、中位值、低值待校准","最大值、中位值"))</x:f>
        <x:v>最大值、中位值</x:v>
      </x:c>
      <x:c r="O6" s="1" t="str">
        <x:f>IF(NOT(ISNUMBER(J6)),"待定",IF(J6&lt;2,"不设第三档",IF(J6&lt;=5,"中位OAV≤5；低档须低于中位浓度","低档需预试确认与中档可区分")))</x:f>
        <x:v>不设第三档</x:v>
      </x:c>
    </x:row>
    <x:row r="7" ht="23" customHeight="1">
      <x:c r="A7" s="1" t="n">
        <x:f>IF('全库373行'!A12="","",'全库373行'!A12)</x:f>
        <x:v>7</x:v>
      </x:c>
      <x:c r="B7" s="1" t="str">
        <x:f>IF('全库373行'!B12="","",'全库373行'!B12)</x:f>
        <x:v>己醛</x:v>
      </x:c>
      <x:c r="C7" s="1" t="str">
        <x:f>IF('全库373行'!C12="","",'全库373行'!C12)</x:f>
        <x:v>66-25-1</x:v>
      </x:c>
      <x:c r="D7" s="1" t="str">
        <x:f>IF('全库373行'!D12="","",'全库373行'!D12)</x:f>
        <x:v>Hexanal</x:v>
      </x:c>
      <x:c r="E7" s="5" t="n">
        <x:f>IF('全库373行'!E12="","",'全库373行'!E12)</x:f>
        <x:v>25.5</x:v>
      </x:c>
      <x:c r="F7" s="6" t="n">
        <x:f>IF('全库373行'!F12="","",'全库373行'!F12)</x:f>
        <x:v>29</x:v>
      </x:c>
      <x:c r="G7" s="5" t="n">
        <x:f>IF('全库373行'!G12="","",'全库373行'!G12)</x:f>
        <x:v>3075.94</x:v>
      </x:c>
      <x:c r="H7" s="5" t="n">
        <x:f>IF('全库373行'!H12="","",'全库373行'!H12)</x:f>
        <x:v>788.69</x:v>
      </x:c>
      <x:c r="I7" s="7" t="n">
        <x:f>IF('全库373行'!I12="","",'全库373行'!I12)</x:f>
        <x:v>120.62509803921569</x:v>
      </x:c>
      <x:c r="J7" s="7" t="n">
        <x:f>IF('全库373行'!J12="","",'全库373行'!J12)</x:f>
        <x:v>30.929019607843138</x:v>
      </x:c>
      <x:c r="K7" s="1" t="str">
        <x:f>IF('全库373行'!K12="","",'全库373行'!K12)</x:f>
        <x:v>可计算</x:v>
      </x:c>
      <x:c r="L7" s="1" t="str">
        <x:f>IF(NOT(ISNUMBER(J7)),"待定",IF(J7&gt;50,"骨架成分",IF(J7&gt;=2,"重要成分","两档成分")))</x:f>
        <x:v>重要成分</x:v>
      </x:c>
      <x:c r="M7" s="1" t="n">
        <x:f>IF(NOT(ISNUMBER(J7)),"",IF(J7&gt;=2,3,2))</x:f>
        <x:v>3</x:v>
      </x:c>
      <x:c r="N7" s="1" t="str">
        <x:f>IF(NOT(ISNUMBER(J7)),"缺少可算OAV",IF(J7&gt;=2,"最大值、中位值、低值待校准","最大值、中位值"))</x:f>
        <x:v>最大值、中位值、低值待校准</x:v>
      </x:c>
      <x:c r="O7" s="1" t="str">
        <x:f>IF(NOT(ISNUMBER(J7)),"待定",IF(J7&lt;2,"不设第三档",IF(J7&lt;=5,"中位OAV≤5；低档须低于中位浓度","低档需预试确认与中档可区分")))</x:f>
        <x:v>低档需预试确认与中档可区分</x:v>
      </x:c>
    </x:row>
    <x:row r="8" ht="23" customHeight="1">
      <x:c r="A8" s="1" t="n">
        <x:f>IF('全库373行'!A15="","",'全库373行'!A15)</x:f>
        <x:v>10</x:v>
      </x:c>
      <x:c r="B8" s="1" t="str">
        <x:f>IF('全库373行'!B15="","",'全库373行'!B15)</x:f>
        <x:v>1-丙醇</x:v>
      </x:c>
      <x:c r="C8" s="1" t="str">
        <x:f>IF('全库373行'!C15="","",'全库373行'!C15)</x:f>
        <x:v>71-23-8</x:v>
      </x:c>
      <x:c r="D8" s="1" t="str">
        <x:f>IF('全库373行'!D15="","",'全库373行'!D15)</x:f>
        <x:v>1-propanol</x:v>
      </x:c>
      <x:c r="E8" s="5" t="n">
        <x:f>IF('全库373行'!E15="","",'全库373行'!E15)</x:f>
        <x:v>109000</x:v>
      </x:c>
      <x:c r="F8" s="6" t="n">
        <x:f>IF('全库373行'!F15="","",'全库373行'!F15)</x:f>
        <x:v>58</x:v>
      </x:c>
      <x:c r="G8" s="5" t="n">
        <x:f>IF('全库373行'!G15="","",'全库373行'!G15)</x:f>
        <x:v>471100</x:v>
      </x:c>
      <x:c r="H8" s="5" t="n">
        <x:f>IF('全库373行'!H15="","",'全库373行'!H15)</x:f>
        <x:v>149.93</x:v>
      </x:c>
      <x:c r="I8" s="7" t="n">
        <x:f>IF('全库373行'!I15="","",'全库373行'!I15)</x:f>
        <x:v>4.322018348623853</x:v>
      </x:c>
      <x:c r="J8" s="7" t="n">
        <x:f>IF('全库373行'!J15="","",'全库373行'!J15)</x:f>
        <x:v>0.0013755045871559634</x:v>
      </x:c>
      <x:c r="K8" s="1" t="str">
        <x:f>IF('全库373行'!K15="","",'全库373行'!K15)</x:f>
        <x:v>可计算</x:v>
      </x:c>
      <x:c r="L8" s="1" t="str">
        <x:f>IF(NOT(ISNUMBER(J8)),"待定",IF(J8&gt;50,"骨架成分",IF(J8&gt;=2,"重要成分","两档成分")))</x:f>
        <x:v>两档成分</x:v>
      </x:c>
      <x:c r="M8" s="1" t="n">
        <x:f>IF(NOT(ISNUMBER(J8)),"",IF(J8&gt;=2,3,2))</x:f>
        <x:v>2</x:v>
      </x:c>
      <x:c r="N8" s="1" t="str">
        <x:f>IF(NOT(ISNUMBER(J8)),"缺少可算OAV",IF(J8&gt;=2,"最大值、中位值、低值待校准","最大值、中位值"))</x:f>
        <x:v>最大值、中位值</x:v>
      </x:c>
      <x:c r="O8" s="1" t="str">
        <x:f>IF(NOT(ISNUMBER(J8)),"待定",IF(J8&lt;2,"不设第三档",IF(J8&lt;=5,"中位OAV≤5；低档须低于中位浓度","低档需预试确认与中档可区分")))</x:f>
        <x:v>不设第三档</x:v>
      </x:c>
    </x:row>
    <x:row r="9" ht="23" customHeight="1">
      <x:c r="A9" s="1" t="n">
        <x:f>IF('全库373行'!A16="","",'全库373行'!A16)</x:f>
        <x:v>11</x:v>
      </x:c>
      <x:c r="B9" s="1" t="str">
        <x:f>IF('全库373行'!B16="","",'全库373行'!B16)</x:f>
        <x:v>1-丁醇</x:v>
      </x:c>
      <x:c r="C9" s="1" t="str">
        <x:f>IF('全库373行'!C16="","",'全库373行'!C16)</x:f>
        <x:v>71-36-3</x:v>
      </x:c>
      <x:c r="D9" s="1" t="str">
        <x:f>IF('全库373行'!D16="","",'全库373行'!D16)</x:f>
        <x:v>1-Butanol</x:v>
      </x:c>
      <x:c r="E9" s="5" t="n">
        <x:f>IF('全库373行'!E16="","",'全库373行'!E16)</x:f>
        <x:v>2733</x:v>
      </x:c>
      <x:c r="F9" s="6" t="n">
        <x:f>IF('全库373行'!F16="","",'全库373行'!F16)</x:f>
        <x:v>92</x:v>
      </x:c>
      <x:c r="G9" s="5" t="n">
        <x:f>IF('全库373行'!G16="","",'全库373行'!G16)</x:f>
        <x:v>1038900</x:v>
      </x:c>
      <x:c r="H9" s="5" t="n">
        <x:f>IF('全库373行'!H16="","",'全库373行'!H16)</x:f>
        <x:v>10974.445</x:v>
      </x:c>
      <x:c r="I9" s="7" t="n">
        <x:f>IF('全库373行'!I16="","",'全库373行'!I16)</x:f>
        <x:v>380.1317233809001</x:v>
      </x:c>
      <x:c r="J9" s="7" t="n">
        <x:f>IF('全库373行'!J16="","",'全库373行'!J16)</x:f>
        <x:v>4.015530552506403</x:v>
      </x:c>
      <x:c r="K9" s="1" t="str">
        <x:f>IF('全库373行'!K16="","",'全库373行'!K16)</x:f>
        <x:v>可计算</x:v>
      </x:c>
      <x:c r="L9" s="1" t="str">
        <x:f>IF(NOT(ISNUMBER(J9)),"待定",IF(J9&gt;50,"骨架成分",IF(J9&gt;=2,"重要成分","两档成分")))</x:f>
        <x:v>重要成分</x:v>
      </x:c>
      <x:c r="M9" s="1" t="n">
        <x:f>IF(NOT(ISNUMBER(J9)),"",IF(J9&gt;=2,3,2))</x:f>
        <x:v>3</x:v>
      </x:c>
      <x:c r="N9" s="1" t="str">
        <x:f>IF(NOT(ISNUMBER(J9)),"缺少可算OAV",IF(J9&gt;=2,"最大值、中位值、低值待校准","最大值、中位值"))</x:f>
        <x:v>最大值、中位值、低值待校准</x:v>
      </x:c>
      <x:c r="O9" s="1" t="str">
        <x:f>IF(NOT(ISNUMBER(J9)),"待定",IF(J9&lt;2,"不设第三档",IF(J9&lt;=5,"中位OAV≤5；低档须低于中位浓度","低档需预试确认与中档可区分")))</x:f>
        <x:v>中位OAV≤5；低档须低于中位浓度</x:v>
      </x:c>
    </x:row>
    <x:row r="10" ht="23" customHeight="1">
      <x:c r="A10" s="1" t="n">
        <x:f>IF('全库373行'!A22="","",'全库373行'!A22)</x:f>
        <x:v>17</x:v>
      </x:c>
      <x:c r="B10" s="1" t="str">
        <x:f>IF('全库373行'!B22="","",'全库373行'!B22)</x:f>
        <x:v>异丁醇</x:v>
      </x:c>
      <x:c r="C10" s="1" t="str">
        <x:f>IF('全库373行'!C22="","",'全库373行'!C22)</x:f>
        <x:v>78-83-1</x:v>
      </x:c>
      <x:c r="D10" s="1" t="str">
        <x:f>IF('全库373行'!D22="","",'全库373行'!D22)</x:f>
        <x:v>Isobutanol</x:v>
      </x:c>
      <x:c r="E10" s="5" t="n">
        <x:f>IF('全库373行'!E22="","",'全库373行'!E22)</x:f>
        <x:v>28300</x:v>
      </x:c>
      <x:c r="F10" s="6" t="n">
        <x:f>IF('全库373行'!F22="","",'全库373行'!F22)</x:f>
        <x:v>91</x:v>
      </x:c>
      <x:c r="G10" s="5" t="n">
        <x:f>IF('全库373行'!G22="","",'全库373行'!G22)</x:f>
        <x:v>279260</x:v>
      </x:c>
      <x:c r="H10" s="5" t="n">
        <x:f>IF('全库373行'!H22="","",'全库373行'!H22)</x:f>
        <x:v>3650</x:v>
      </x:c>
      <x:c r="I10" s="7" t="n">
        <x:f>IF('全库373行'!I22="","",'全库373行'!I22)</x:f>
        <x:v>9.867844522968198</x:v>
      </x:c>
      <x:c r="J10" s="7" t="n">
        <x:f>IF('全库373行'!J22="","",'全库373行'!J22)</x:f>
        <x:v>0.12897526501766785</x:v>
      </x:c>
      <x:c r="K10" s="1" t="str">
        <x:f>IF('全库373行'!K22="","",'全库373行'!K22)</x:f>
        <x:v>可计算</x:v>
      </x:c>
      <x:c r="L10" s="1" t="str">
        <x:f>IF(NOT(ISNUMBER(J10)),"待定",IF(J10&gt;50,"骨架成分",IF(J10&gt;=2,"重要成分","两档成分")))</x:f>
        <x:v>两档成分</x:v>
      </x:c>
      <x:c r="M10" s="1" t="n">
        <x:f>IF(NOT(ISNUMBER(J10)),"",IF(J10&gt;=2,3,2))</x:f>
        <x:v>2</x:v>
      </x:c>
      <x:c r="N10" s="1" t="str">
        <x:f>IF(NOT(ISNUMBER(J10)),"缺少可算OAV",IF(J10&gt;=2,"最大值、中位值、低值待校准","最大值、中位值"))</x:f>
        <x:v>最大值、中位值</x:v>
      </x:c>
      <x:c r="O10" s="1" t="str">
        <x:f>IF(NOT(ISNUMBER(J10)),"待定",IF(J10&lt;2,"不设第三档",IF(J10&lt;=5,"中位OAV≤5；低档须低于中位浓度","低档需预试确认与中档可区分")))</x:f>
        <x:v>不设第三档</x:v>
      </x:c>
    </x:row>
    <x:row r="11" ht="23" customHeight="1">
      <x:c r="A11" s="1" t="n">
        <x:f>IF('全库373行'!A23="","",'全库373行'!A23)</x:f>
        <x:v>18</x:v>
      </x:c>
      <x:c r="B11" s="1" t="str">
        <x:f>IF('全库373行'!B23="","",'全库373行'!B23)</x:f>
        <x:v>2-甲基丙醛</x:v>
      </x:c>
      <x:c r="C11" s="1" t="str">
        <x:f>IF('全库373行'!C23="","",'全库373行'!C23)</x:f>
        <x:v>78-84-2</x:v>
      </x:c>
      <x:c r="D11" s="1" t="str">
        <x:f>IF('全库373行'!D23="","",'全库373行'!D23)</x:f>
        <x:v>Isobutyraldehyde</x:v>
      </x:c>
      <x:c r="E11" s="5" t="n">
        <x:f>IF('全库373行'!E23="","",'全库373行'!E23)</x:f>
        <x:v>5.9</x:v>
      </x:c>
      <x:c r="F11" s="6" t="n">
        <x:f>IF('全库373行'!F23="","",'全库373行'!F23)</x:f>
        <x:v>34</x:v>
      </x:c>
      <x:c r="G11" s="5" t="n">
        <x:f>IF('全库373行'!G23="","",'全库373行'!G23)</x:f>
        <x:v>35900</x:v>
      </x:c>
      <x:c r="H11" s="5" t="n">
        <x:f>IF('全库373行'!H23="","",'全库373行'!H23)</x:f>
        <x:v>954.06</x:v>
      </x:c>
      <x:c r="I11" s="7" t="n">
        <x:f>IF('全库373行'!I23="","",'全库373行'!I23)</x:f>
        <x:v>6084.745762711864</x:v>
      </x:c>
      <x:c r="J11" s="7" t="n">
        <x:f>IF('全库373行'!J23="","",'全库373行'!J23)</x:f>
        <x:v>161.7050847457627</x:v>
      </x:c>
      <x:c r="K11" s="1" t="str">
        <x:f>IF('全库373行'!K23="","",'全库373行'!K23)</x:f>
        <x:v>可计算</x:v>
      </x:c>
      <x:c r="L11" s="1" t="str">
        <x:f>IF(NOT(ISNUMBER(J11)),"待定",IF(J11&gt;50,"骨架成分",IF(J11&gt;=2,"重要成分","两档成分")))</x:f>
        <x:v>骨架成分</x:v>
      </x:c>
      <x:c r="M11" s="1" t="n">
        <x:f>IF(NOT(ISNUMBER(J11)),"",IF(J11&gt;=2,3,2))</x:f>
        <x:v>3</x:v>
      </x:c>
      <x:c r="N11" s="1" t="str">
        <x:f>IF(NOT(ISNUMBER(J11)),"缺少可算OAV",IF(J11&gt;=2,"最大值、中位值、低值待校准","最大值、中位值"))</x:f>
        <x:v>最大值、中位值、低值待校准</x:v>
      </x:c>
      <x:c r="O11" s="1" t="str">
        <x:f>IF(NOT(ISNUMBER(J11)),"待定",IF(J11&lt;2,"不设第三档",IF(J11&lt;=5,"中位OAV≤5；低档须低于中位浓度","低档需预试确认与中档可区分")))</x:f>
        <x:v>低档需预试确认与中档可区分</x:v>
      </x:c>
    </x:row>
    <x:row r="12" ht="23" customHeight="1">
      <x:c r="A12" s="1" t="n">
        <x:f>IF('全库373行'!A26="","",'全库373行'!A26)</x:f>
        <x:v>21</x:v>
      </x:c>
      <x:c r="B12" s="1" t="str">
        <x:f>IF('全库373行'!B26="","",'全库373行'!B26)</x:f>
        <x:v>异丁酸</x:v>
      </x:c>
      <x:c r="C12" s="1" t="str">
        <x:f>IF('全库373行'!C26="","",'全库373行'!C26)</x:f>
        <x:v>79-31-2</x:v>
      </x:c>
      <x:c r="D12" s="1" t="str">
        <x:f>IF('全库373行'!D26="","",'全库373行'!D26)</x:f>
        <x:v>2-methylpropionic acid/Isobutyric Acid</x:v>
      </x:c>
      <x:c r="E12" s="5" t="n">
        <x:f>IF('全库373行'!E26="","",'全库373行'!E26)</x:f>
        <x:v>1580</x:v>
      </x:c>
      <x:c r="F12" s="6" t="n">
        <x:f>IF('全库373行'!F26="","",'全库373行'!F26)</x:f>
        <x:v>68</x:v>
      </x:c>
      <x:c r="G12" s="5" t="n">
        <x:f>IF('全库373行'!G26="","",'全库373行'!G26)</x:f>
        <x:v>11637.33</x:v>
      </x:c>
      <x:c r="H12" s="5" t="n">
        <x:f>IF('全库373行'!H26="","",'全库373行'!H26)</x:f>
        <x:v>16.76</x:v>
      </x:c>
      <x:c r="I12" s="7" t="n">
        <x:f>IF('全库373行'!I26="","",'全库373行'!I26)</x:f>
        <x:v>7.365398734177215</x:v>
      </x:c>
      <x:c r="J12" s="7" t="n">
        <x:f>IF('全库373行'!J26="","",'全库373行'!J26)</x:f>
        <x:v>0.010607594936708861</x:v>
      </x:c>
      <x:c r="K12" s="1" t="str">
        <x:f>IF('全库373行'!K26="","",'全库373行'!K26)</x:f>
        <x:v>可计算</x:v>
      </x:c>
      <x:c r="L12" s="1" t="str">
        <x:f>IF(NOT(ISNUMBER(J12)),"待定",IF(J12&gt;50,"骨架成分",IF(J12&gt;=2,"重要成分","两档成分")))</x:f>
        <x:v>两档成分</x:v>
      </x:c>
      <x:c r="M12" s="1" t="n">
        <x:f>IF(NOT(ISNUMBER(J12)),"",IF(J12&gt;=2,3,2))</x:f>
        <x:v>2</x:v>
      </x:c>
      <x:c r="N12" s="1" t="str">
        <x:f>IF(NOT(ISNUMBER(J12)),"缺少可算OAV",IF(J12&gt;=2,"最大值、中位值、低值待校准","最大值、中位值"))</x:f>
        <x:v>最大值、中位值</x:v>
      </x:c>
      <x:c r="O12" s="1" t="str">
        <x:f>IF(NOT(ISNUMBER(J12)),"待定",IF(J12&lt;2,"不设第三档",IF(J12&lt;=5,"中位OAV≤5；低档须低于中位浓度","低档需预试确认与中档可区分")))</x:f>
        <x:v>不设第三档</x:v>
      </x:c>
    </x:row>
    <x:row r="13" ht="23" customHeight="1">
      <x:c r="A13" s="1" t="n">
        <x:f>IF('全库373行'!A37="","",'全库373行'!A37)</x:f>
        <x:v>32</x:v>
      </x:c>
      <x:c r="B13" s="1" t="str">
        <x:f>IF('全库373行'!B37="","",'全库373行'!B37)</x:f>
        <x:v>异丁酸乙酯</x:v>
      </x:c>
      <x:c r="C13" s="1" t="str">
        <x:f>IF('全库373行'!C37="","",'全库373行'!C37)</x:f>
        <x:v>97-62-1</x:v>
      </x:c>
      <x:c r="D13" s="1" t="str">
        <x:f>IF('全库373行'!D37="","",'全库373行'!D37)</x:f>
        <x:v>Ethyl isobutyrate</x:v>
      </x:c>
      <x:c r="E13" s="5" t="n">
        <x:f>IF('全库373行'!E37="","",'全库373行'!E37)</x:f>
        <x:v>57.5</x:v>
      </x:c>
      <x:c r="F13" s="6" t="n">
        <x:f>IF('全库373行'!F37="","",'全库373行'!F37)</x:f>
        <x:v>44</x:v>
      </x:c>
      <x:c r="G13" s="5" t="n">
        <x:f>IF('全库373行'!G37="","",'全库373行'!G37)</x:f>
        <x:v>37489</x:v>
      </x:c>
      <x:c r="H13" s="5" t="n">
        <x:f>IF('全库373行'!H37="","",'全库373行'!H37)</x:f>
        <x:v>2894.4</x:v>
      </x:c>
      <x:c r="I13" s="7" t="n">
        <x:f>IF('全库373行'!I37="","",'全库373行'!I37)</x:f>
        <x:v>651.9826086956522</x:v>
      </x:c>
      <x:c r="J13" s="7" t="n">
        <x:f>IF('全库373行'!J37="","",'全库373行'!J37)</x:f>
        <x:v>50.337391304347825</x:v>
      </x:c>
      <x:c r="K13" s="1" t="str">
        <x:f>IF('全库373行'!K37="","",'全库373行'!K37)</x:f>
        <x:v>可计算</x:v>
      </x:c>
      <x:c r="L13" s="1" t="str">
        <x:f>IF(NOT(ISNUMBER(J13)),"待定",IF(J13&gt;50,"骨架成分",IF(J13&gt;=2,"重要成分","两档成分")))</x:f>
        <x:v>骨架成分</x:v>
      </x:c>
      <x:c r="M13" s="1" t="n">
        <x:f>IF(NOT(ISNUMBER(J13)),"",IF(J13&gt;=2,3,2))</x:f>
        <x:v>3</x:v>
      </x:c>
      <x:c r="N13" s="1" t="str">
        <x:f>IF(NOT(ISNUMBER(J13)),"缺少可算OAV",IF(J13&gt;=2,"最大值、中位值、低值待校准","最大值、中位值"))</x:f>
        <x:v>最大值、中位值、低值待校准</x:v>
      </x:c>
      <x:c r="O13" s="1" t="str">
        <x:f>IF(NOT(ISNUMBER(J13)),"待定",IF(J13&lt;2,"不设第三档",IF(J13&lt;=5,"中位OAV≤5；低档须低于中位浓度","低档需预试确认与中档可区分")))</x:f>
        <x:v>低档需预试确认与中档可区分</x:v>
      </x:c>
    </x:row>
    <x:row r="14" ht="23" customHeight="1">
      <x:c r="A14" s="1" t="n">
        <x:f>IF('全库373行'!A45="","",'全库373行'!A45)</x:f>
        <x:v>40</x:v>
      </x:c>
      <x:c r="B14" s="1" t="str">
        <x:f>IF('全库373行'!B45="","",'全库373行'!B45)</x:f>
        <x:v>苯乙酸乙酯</x:v>
      </x:c>
      <x:c r="C14" s="1" t="str">
        <x:f>IF('全库373行'!C45="","",'全库373行'!C45)</x:f>
        <x:v>101-97-3</x:v>
      </x:c>
      <x:c r="D14" s="1" t="str">
        <x:f>IF('全库373行'!D45="","",'全库373行'!D45)</x:f>
        <x:v>Ethyl phenylacetate</x:v>
      </x:c>
      <x:c r="E14" s="5" t="n">
        <x:f>IF('全库373行'!E45="","",'全库373行'!E45)</x:f>
        <x:v>407</x:v>
      </x:c>
      <x:c r="F14" s="6" t="n">
        <x:f>IF('全库373行'!F45="","",'全库373行'!F45)</x:f>
        <x:v>85</x:v>
      </x:c>
      <x:c r="G14" s="5" t="n">
        <x:f>IF('全库373行'!G45="","",'全库373行'!G45)</x:f>
        <x:v>21400</x:v>
      </x:c>
      <x:c r="H14" s="5" t="n">
        <x:f>IF('全库373行'!H45="","",'全库373行'!H45)</x:f>
        <x:v>883.62</x:v>
      </x:c>
      <x:c r="I14" s="7" t="n">
        <x:f>IF('全库373行'!I45="","",'全库373行'!I45)</x:f>
        <x:v>52.57985257985258</x:v>
      </x:c>
      <x:c r="J14" s="7" t="n">
        <x:f>IF('全库373行'!J45="","",'全库373行'!J45)</x:f>
        <x:v>2.171056511056511</x:v>
      </x:c>
      <x:c r="K14" s="1" t="str">
        <x:f>IF('全库373行'!K45="","",'全库373行'!K45)</x:f>
        <x:v>可计算</x:v>
      </x:c>
      <x:c r="L14" s="1" t="str">
        <x:f>IF(NOT(ISNUMBER(J14)),"待定",IF(J14&gt;50,"骨架成分",IF(J14&gt;=2,"重要成分","两档成分")))</x:f>
        <x:v>重要成分</x:v>
      </x:c>
      <x:c r="M14" s="1" t="n">
        <x:f>IF(NOT(ISNUMBER(J14)),"",IF(J14&gt;=2,3,2))</x:f>
        <x:v>3</x:v>
      </x:c>
      <x:c r="N14" s="1" t="str">
        <x:f>IF(NOT(ISNUMBER(J14)),"缺少可算OAV",IF(J14&gt;=2,"最大值、中位值、低值待校准","最大值、中位值"))</x:f>
        <x:v>最大值、中位值、低值待校准</x:v>
      </x:c>
      <x:c r="O14" s="1" t="str">
        <x:f>IF(NOT(ISNUMBER(J14)),"待定",IF(J14&lt;2,"不设第三档",IF(J14&lt;=5,"中位OAV≤5；低档须低于中位浓度","低档需预试确认与中档可区分")))</x:f>
        <x:v>中位OAV≤5；低档须低于中位浓度</x:v>
      </x:c>
    </x:row>
    <x:row r="15" ht="23" customHeight="1">
      <x:c r="A15" s="1" t="n">
        <x:f>IF('全库373行'!A46="","",'全库373行'!A46)</x:f>
        <x:v>41</x:v>
      </x:c>
      <x:c r="B15" s="1" t="str">
        <x:f>IF('全库373行'!B46="","",'全库373行'!B46)</x:f>
        <x:v>乙酸苯乙酯</x:v>
      </x:c>
      <x:c r="C15" s="1" t="str">
        <x:f>IF('全库373行'!C46="","",'全库373行'!C46)</x:f>
        <x:v>103-45-7</x:v>
      </x:c>
      <x:c r="D15" s="1" t="str">
        <x:f>IF('全库373行'!D46="","",'全库373行'!D46)</x:f>
        <x:v>Phenethyl acetate</x:v>
      </x:c>
      <x:c r="E15" s="5" t="n">
        <x:f>IF('全库373行'!E46="","",'全库373行'!E46)</x:f>
        <x:v>909</x:v>
      </x:c>
      <x:c r="F15" s="6" t="n">
        <x:f>IF('全库373行'!F46="","",'全库373行'!F46)</x:f>
        <x:v>59</x:v>
      </x:c>
      <x:c r="G15" s="5" t="n">
        <x:f>IF('全库373行'!G46="","",'全库373行'!G46)</x:f>
        <x:v>94600</x:v>
      </x:c>
      <x:c r="H15" s="5" t="n">
        <x:f>IF('全库373行'!H46="","",'全库373行'!H46)</x:f>
        <x:v>290</x:v>
      </x:c>
      <x:c r="I15" s="7" t="n">
        <x:f>IF('全库373行'!I46="","",'全库373行'!I46)</x:f>
        <x:v>104.07040704070407</x:v>
      </x:c>
      <x:c r="J15" s="7" t="n">
        <x:f>IF('全库373行'!J46="","",'全库373行'!J46)</x:f>
        <x:v>0.31903190319031904</x:v>
      </x:c>
      <x:c r="K15" s="1" t="str">
        <x:f>IF('全库373行'!K46="","",'全库373行'!K46)</x:f>
        <x:v>可计算</x:v>
      </x:c>
      <x:c r="L15" s="1" t="str">
        <x:f>IF(NOT(ISNUMBER(J15)),"待定",IF(J15&gt;50,"骨架成分",IF(J15&gt;=2,"重要成分","两档成分")))</x:f>
        <x:v>两档成分</x:v>
      </x:c>
      <x:c r="M15" s="1" t="n">
        <x:f>IF(NOT(ISNUMBER(J15)),"",IF(J15&gt;=2,3,2))</x:f>
        <x:v>2</x:v>
      </x:c>
      <x:c r="N15" s="1" t="str">
        <x:f>IF(NOT(ISNUMBER(J15)),"缺少可算OAV",IF(J15&gt;=2,"最大值、中位值、低值待校准","最大值、中位值"))</x:f>
        <x:v>最大值、中位值</x:v>
      </x:c>
      <x:c r="O15" s="1" t="str">
        <x:f>IF(NOT(ISNUMBER(J15)),"待定",IF(J15&lt;2,"不设第三档",IF(J15&lt;=5,"中位OAV≤5；低档须低于中位浓度","低档需预试确认与中档可区分")))</x:f>
        <x:v>不设第三档</x:v>
      </x:c>
    </x:row>
    <x:row r="16" ht="23" customHeight="1">
      <x:c r="A16" s="1" t="n">
        <x:f>IF('全库373行'!A57="","",'全库373行'!A57)</x:f>
        <x:v>52</x:v>
      </x:c>
      <x:c r="B16" s="1" t="str">
        <x:f>IF('全库373行'!B57="","",'全库373行'!B57)</x:f>
        <x:v>丁酸乙酯</x:v>
      </x:c>
      <x:c r="C16" s="1" t="str">
        <x:f>IF('全库373行'!C57="","",'全库373行'!C57)</x:f>
        <x:v>105-54-4</x:v>
      </x:c>
      <x:c r="D16" s="1" t="str">
        <x:f>IF('全库373行'!D57="","",'全库373行'!D57)</x:f>
        <x:v>Ethyl butyrate</x:v>
      </x:c>
      <x:c r="E16" s="5" t="n">
        <x:f>IF('全库373行'!E57="","",'全库373行'!E57)</x:f>
        <x:v>81.5</x:v>
      </x:c>
      <x:c r="F16" s="6" t="n">
        <x:f>IF('全库373行'!F57="","",'全库373行'!F57)</x:f>
        <x:v>97</x:v>
      </x:c>
      <x:c r="G16" s="5" t="n">
        <x:f>IF('全库373行'!G57="","",'全库373行'!G57)</x:f>
        <x:v>1290235</x:v>
      </x:c>
      <x:c r="H16" s="5" t="n">
        <x:f>IF('全库373行'!H57="","",'全库373行'!H57)</x:f>
        <x:v>11516</x:v>
      </x:c>
      <x:c r="I16" s="7" t="n">
        <x:f>IF('全库373行'!I57="","",'全库373行'!I57)</x:f>
        <x:v>15831.104294478528</x:v>
      </x:c>
      <x:c r="J16" s="7" t="n">
        <x:f>IF('全库373行'!J57="","",'全库373行'!J57)</x:f>
        <x:v>141.30061349693253</x:v>
      </x:c>
      <x:c r="K16" s="1" t="str">
        <x:f>IF('全库373行'!K57="","",'全库373行'!K57)</x:f>
        <x:v>可计算</x:v>
      </x:c>
      <x:c r="L16" s="1" t="str">
        <x:f>IF(NOT(ISNUMBER(J16)),"待定",IF(J16&gt;50,"骨架成分",IF(J16&gt;=2,"重要成分","两档成分")))</x:f>
        <x:v>骨架成分</x:v>
      </x:c>
      <x:c r="M16" s="1" t="n">
        <x:f>IF(NOT(ISNUMBER(J16)),"",IF(J16&gt;=2,3,2))</x:f>
        <x:v>3</x:v>
      </x:c>
      <x:c r="N16" s="1" t="str">
        <x:f>IF(NOT(ISNUMBER(J16)),"缺少可算OAV",IF(J16&gt;=2,"最大值、中位值、低值待校准","最大值、中位值"))</x:f>
        <x:v>最大值、中位值、低值待校准</x:v>
      </x:c>
      <x:c r="O16" s="1" t="str">
        <x:f>IF(NOT(ISNUMBER(J16)),"待定",IF(J16&lt;2,"不设第三档",IF(J16&lt;=5,"中位OAV≤5；低档须低于中位浓度","低档需预试确认与中档可区分")))</x:f>
        <x:v>低档需预试确认与中档可区分</x:v>
      </x:c>
    </x:row>
    <x:row r="17" ht="23" customHeight="1">
      <x:c r="A17" s="1" t="n">
        <x:f>IF('全库373行'!A58="","",'全库373行'!A58)</x:f>
        <x:v>53</x:v>
      </x:c>
      <x:c r="B17" s="1" t="str">
        <x:f>IF('全库373行'!B58="","",'全库373行'!B58)</x:f>
        <x:v>乙醛二乙缩醛</x:v>
      </x:c>
      <x:c r="C17" s="1" t="str">
        <x:f>IF('全库373行'!C58="","",'全库373行'!C58)</x:f>
        <x:v>105-57-7</x:v>
      </x:c>
      <x:c r="D17" s="1" t="str">
        <x:f>IF('全库373行'!D58="","",'全库373行'!D58)</x:f>
        <x:v>Acetal</x:v>
      </x:c>
      <x:c r="E17" s="5" t="n">
        <x:f>IF('全库373行'!E58="","",'全库373行'!E58)</x:f>
        <x:v>2090</x:v>
      </x:c>
      <x:c r="F17" s="6" t="n">
        <x:f>IF('全库373行'!F58="","",'全库373行'!F58)</x:f>
        <x:v>63</x:v>
      </x:c>
      <x:c r="G17" s="5" t="n">
        <x:f>IF('全库373行'!G58="","",'全库373行'!G58)</x:f>
        <x:v>784300</x:v>
      </x:c>
      <x:c r="H17" s="5" t="n">
        <x:f>IF('全库373行'!H58="","",'全库373行'!H58)</x:f>
        <x:v>77200</x:v>
      </x:c>
      <x:c r="I17" s="7" t="n">
        <x:f>IF('全库373行'!I58="","",'全库373行'!I58)</x:f>
        <x:v>375.2631578947368</x:v>
      </x:c>
      <x:c r="J17" s="7" t="n">
        <x:f>IF('全库373行'!J58="","",'全库373行'!J58)</x:f>
        <x:v>36.9377990430622</x:v>
      </x:c>
      <x:c r="K17" s="1" t="str">
        <x:f>IF('全库373行'!K58="","",'全库373行'!K58)</x:f>
        <x:v>可计算</x:v>
      </x:c>
      <x:c r="L17" s="1" t="str">
        <x:f>IF(NOT(ISNUMBER(J17)),"待定",IF(J17&gt;50,"骨架成分",IF(J17&gt;=2,"重要成分","两档成分")))</x:f>
        <x:v>重要成分</x:v>
      </x:c>
      <x:c r="M17" s="1" t="n">
        <x:f>IF(NOT(ISNUMBER(J17)),"",IF(J17&gt;=2,3,2))</x:f>
        <x:v>3</x:v>
      </x:c>
      <x:c r="N17" s="1" t="str">
        <x:f>IF(NOT(ISNUMBER(J17)),"缺少可算OAV",IF(J17&gt;=2,"最大值、中位值、低值待校准","最大值、中位值"))</x:f>
        <x:v>最大值、中位值、低值待校准</x:v>
      </x:c>
      <x:c r="O17" s="1" t="str">
        <x:f>IF(NOT(ISNUMBER(J17)),"待定",IF(J17&lt;2,"不设第三档",IF(J17&lt;=5,"中位OAV≤5；低档须低于中位浓度","低档需预试确认与中档可区分")))</x:f>
        <x:v>低档需预试确认与中档可区分</x:v>
      </x:c>
    </x:row>
    <x:row r="18" ht="23" customHeight="1">
      <x:c r="A18" s="1" t="n">
        <x:f>IF('全库373行'!A61="","",'全库373行'!A61)</x:f>
        <x:v>56</x:v>
      </x:c>
      <x:c r="B18" s="1" t="str">
        <x:f>IF('全库373行'!B61="","",'全库373行'!B61)</x:f>
        <x:v>丁酸异戊酯</x:v>
      </x:c>
      <x:c r="C18" s="1" t="str">
        <x:f>IF('全库373行'!C61="","",'全库373行'!C61)</x:f>
        <x:v>106-27-4</x:v>
      </x:c>
      <x:c r="D18" s="1" t="str">
        <x:f>IF('全库373行'!D61="","",'全库373行'!D61)</x:f>
        <x:v>Isoamyl butyrate</x:v>
      </x:c>
      <x:c r="E18" s="5" t="n">
        <x:f>IF('全库373行'!E61="","",'全库373行'!E61)</x:f>
        <x:v>915</x:v>
      </x:c>
      <x:c r="F18" s="6" t="n">
        <x:f>IF('全库373行'!F61="","",'全库373行'!F61)</x:f>
        <x:v>56</x:v>
      </x:c>
      <x:c r="G18" s="5" t="n">
        <x:f>IF('全库373行'!G61="","",'全库373行'!G61)</x:f>
        <x:v>4105</x:v>
      </x:c>
      <x:c r="H18" s="5" t="n">
        <x:f>IF('全库373行'!H61="","",'全库373行'!H61)</x:f>
        <x:v>1041.8500000000001</x:v>
      </x:c>
      <x:c r="I18" s="7" t="n">
        <x:f>IF('全库373行'!I61="","",'全库373行'!I61)</x:f>
        <x:v>4.4863387978142075</x:v>
      </x:c>
      <x:c r="J18" s="7" t="n">
        <x:f>IF('全库373行'!J61="","",'全库373行'!J61)</x:f>
        <x:v>1.1386338797814208</x:v>
      </x:c>
      <x:c r="K18" s="1" t="str">
        <x:f>IF('全库373行'!K61="","",'全库373行'!K61)</x:f>
        <x:v>可计算</x:v>
      </x:c>
      <x:c r="L18" s="1" t="str">
        <x:f>IF(NOT(ISNUMBER(J18)),"待定",IF(J18&gt;50,"骨架成分",IF(J18&gt;=2,"重要成分","两档成分")))</x:f>
        <x:v>两档成分</x:v>
      </x:c>
      <x:c r="M18" s="1" t="n">
        <x:f>IF(NOT(ISNUMBER(J18)),"",IF(J18&gt;=2,3,2))</x:f>
        <x:v>2</x:v>
      </x:c>
      <x:c r="N18" s="1" t="str">
        <x:f>IF(NOT(ISNUMBER(J18)),"缺少可算OAV",IF(J18&gt;=2,"最大值、中位值、低值待校准","最大值、中位值"))</x:f>
        <x:v>最大值、中位值</x:v>
      </x:c>
      <x:c r="O18" s="1" t="str">
        <x:f>IF(NOT(ISNUMBER(J18)),"待定",IF(J18&lt;2,"不设第三档",IF(J18&lt;=5,"中位OAV≤5；低档须低于中位浓度","低档需预试确认与中档可区分")))</x:f>
        <x:v>不设第三档</x:v>
      </x:c>
    </x:row>
    <x:row r="19" ht="23" customHeight="1">
      <x:c r="A19" s="1" t="n">
        <x:f>IF('全库373行'!A62="","",'全库373行'!A62)</x:f>
        <x:v>57</x:v>
      </x:c>
      <x:c r="B19" s="1" t="str">
        <x:f>IF('全库373行'!B62="","",'全库373行'!B62)</x:f>
        <x:v>庚酸乙酯</x:v>
      </x:c>
      <x:c r="C19" s="1" t="str">
        <x:f>IF('全库373行'!C62="","",'全库373行'!C62)</x:f>
        <x:v>106-30-9</x:v>
      </x:c>
      <x:c r="D19" s="1" t="str">
        <x:f>IF('全库373行'!D62="","",'全库373行'!D62)</x:f>
        <x:v>Ethyl heptanoate</x:v>
      </x:c>
      <x:c r="E19" s="5" t="n">
        <x:f>IF('全库373行'!E62="","",'全库373行'!E62)</x:f>
        <x:v>13153</x:v>
      </x:c>
      <x:c r="F19" s="6" t="n">
        <x:f>IF('全库373行'!F62="","",'全库373行'!F62)</x:f>
        <x:v>87</x:v>
      </x:c>
      <x:c r="G19" s="5" t="n">
        <x:f>IF('全库373行'!G62="","",'全库373行'!G62)</x:f>
        <x:v>348671</x:v>
      </x:c>
      <x:c r="H19" s="5" t="n">
        <x:f>IF('全库373行'!H62="","",'全库373行'!H62)</x:f>
        <x:v>1210</x:v>
      </x:c>
      <x:c r="I19" s="7" t="n">
        <x:f>IF('全库373行'!I62="","",'全库373行'!I62)</x:f>
        <x:v>26.508857294913707</x:v>
      </x:c>
      <x:c r="J19" s="7" t="n">
        <x:f>IF('全库373行'!J62="","",'全库373行'!J62)</x:f>
        <x:v>0.0919942218505284</x:v>
      </x:c>
      <x:c r="K19" s="1" t="str">
        <x:f>IF('全库373行'!K62="","",'全库373行'!K62)</x:f>
        <x:v>可计算</x:v>
      </x:c>
      <x:c r="L19" s="1" t="str">
        <x:f>IF(NOT(ISNUMBER(J19)),"待定",IF(J19&gt;50,"骨架成分",IF(J19&gt;=2,"重要成分","两档成分")))</x:f>
        <x:v>两档成分</x:v>
      </x:c>
      <x:c r="M19" s="1" t="n">
        <x:f>IF(NOT(ISNUMBER(J19)),"",IF(J19&gt;=2,3,2))</x:f>
        <x:v>2</x:v>
      </x:c>
      <x:c r="N19" s="1" t="str">
        <x:f>IF(NOT(ISNUMBER(J19)),"缺少可算OAV",IF(J19&gt;=2,"最大值、中位值、低值待校准","最大值、中位值"))</x:f>
        <x:v>最大值、中位值</x:v>
      </x:c>
      <x:c r="O19" s="1" t="str">
        <x:f>IF(NOT(ISNUMBER(J19)),"待定",IF(J19&lt;2,"不设第三档",IF(J19&lt;=5,"中位OAV≤5；低档须低于中位浓度","低档需预试确认与中档可区分")))</x:f>
        <x:v>不设第三档</x:v>
      </x:c>
    </x:row>
    <x:row r="20" ht="23" customHeight="1">
      <x:c r="A20" s="1" t="n">
        <x:f>IF('全库373行'!A63="","",'全库373行'!A63)</x:f>
        <x:v>58</x:v>
      </x:c>
      <x:c r="B20" s="1" t="str">
        <x:f>IF('全库373行'!B63="","",'全库373行'!B63)</x:f>
        <x:v>辛酸乙酯</x:v>
      </x:c>
      <x:c r="C20" s="1" t="str">
        <x:f>IF('全库373行'!C63="","",'全库373行'!C63)</x:f>
        <x:v>106-32-1</x:v>
      </x:c>
      <x:c r="D20" s="1" t="str">
        <x:f>IF('全库373行'!D63="","",'全库373行'!D63)</x:f>
        <x:v>Ethyl caprylate</x:v>
      </x:c>
      <x:c r="E20" s="5" t="n">
        <x:f>IF('全库373行'!E63="","",'全库373行'!E63)</x:f>
        <x:v>12.9</x:v>
      </x:c>
      <x:c r="F20" s="6" t="n">
        <x:f>IF('全库373行'!F63="","",'全库373行'!F63)</x:f>
        <x:v>100</x:v>
      </x:c>
      <x:c r="G20" s="5" t="n">
        <x:f>IF('全库373行'!G63="","",'全库373行'!G63)</x:f>
        <x:v>1865945</x:v>
      </x:c>
      <x:c r="H20" s="5" t="n">
        <x:f>IF('全库373行'!H63="","",'全库373行'!H63)</x:f>
        <x:v>1601</x:v>
      </x:c>
      <x:c r="I20" s="7" t="n">
        <x:f>IF('全库373行'!I63="","",'全库373行'!I63)</x:f>
        <x:v>144646.8992248062</x:v>
      </x:c>
      <x:c r="J20" s="7" t="n">
        <x:f>IF('全库373行'!J63="","",'全库373行'!J63)</x:f>
        <x:v>124.10852713178294</x:v>
      </x:c>
      <x:c r="K20" s="1" t="str">
        <x:f>IF('全库373行'!K63="","",'全库373行'!K63)</x:f>
        <x:v>可计算</x:v>
      </x:c>
      <x:c r="L20" s="1" t="str">
        <x:f>IF(NOT(ISNUMBER(J20)),"待定",IF(J20&gt;50,"骨架成分",IF(J20&gt;=2,"重要成分","两档成分")))</x:f>
        <x:v>骨架成分</x:v>
      </x:c>
      <x:c r="M20" s="1" t="n">
        <x:f>IF(NOT(ISNUMBER(J20)),"",IF(J20&gt;=2,3,2))</x:f>
        <x:v>3</x:v>
      </x:c>
      <x:c r="N20" s="1" t="str">
        <x:f>IF(NOT(ISNUMBER(J20)),"缺少可算OAV",IF(J20&gt;=2,"最大值、中位值、低值待校准","最大值、中位值"))</x:f>
        <x:v>最大值、中位值、低值待校准</x:v>
      </x:c>
      <x:c r="O20" s="1" t="str">
        <x:f>IF(NOT(ISNUMBER(J20)),"待定",IF(J20&lt;2,"不设第三档",IF(J20&lt;=5,"中位OAV≤5；低档须低于中位浓度","低档需预试确认与中档可区分")))</x:f>
        <x:v>低档需预试确认与中档可区分</x:v>
      </x:c>
    </x:row>
    <x:row r="21" ht="23" customHeight="1">
      <x:c r="A21" s="1" t="n">
        <x:f>IF('全库373行'!A66="","",'全库373行'!A66)</x:f>
        <x:v>61</x:v>
      </x:c>
      <x:c r="B21" s="1" t="str">
        <x:f>IF('全库373行'!B66="","",'全库373行'!B66)</x:f>
        <x:v>对甲酚</x:v>
      </x:c>
      <x:c r="C21" s="1" t="str">
        <x:f>IF('全库373行'!C66="","",'全库373行'!C66)</x:f>
        <x:v>106-44-5</x:v>
      </x:c>
      <x:c r="D21" s="1" t="str">
        <x:f>IF('全库373行'!D66="","",'全库373行'!D66)</x:f>
        <x:v>p-cresol</x:v>
      </x:c>
      <x:c r="E21" s="5" t="n">
        <x:f>IF('全库373行'!E66="","",'全库373行'!E66)</x:f>
        <x:v>167</x:v>
      </x:c>
      <x:c r="F21" s="6" t="n">
        <x:f>IF('全库373行'!F66="","",'全库373行'!F66)</x:f>
        <x:v>71</x:v>
      </x:c>
      <x:c r="G21" s="5" t="n">
        <x:f>IF('全库373行'!G66="","",'全库373行'!G66)</x:f>
        <x:v>6914</x:v>
      </x:c>
      <x:c r="H21" s="5" t="n">
        <x:f>IF('全库373行'!H66="","",'全库373行'!H66)</x:f>
        <x:v>359.87</x:v>
      </x:c>
      <x:c r="I21" s="7" t="n">
        <x:f>IF('全库373行'!I66="","",'全库373行'!I66)</x:f>
        <x:v>41.40119760479042</x:v>
      </x:c>
      <x:c r="J21" s="7" t="n">
        <x:f>IF('全库373行'!J66="","",'全库373行'!J66)</x:f>
        <x:v>2.1549101796407184</x:v>
      </x:c>
      <x:c r="K21" s="1" t="str">
        <x:f>IF('全库373行'!K66="","",'全库373行'!K66)</x:f>
        <x:v>可计算</x:v>
      </x:c>
      <x:c r="L21" s="1" t="str">
        <x:f>IF(NOT(ISNUMBER(J21)),"待定",IF(J21&gt;50,"骨架成分",IF(J21&gt;=2,"重要成分","两档成分")))</x:f>
        <x:v>重要成分</x:v>
      </x:c>
      <x:c r="M21" s="1" t="n">
        <x:f>IF(NOT(ISNUMBER(J21)),"",IF(J21&gt;=2,3,2))</x:f>
        <x:v>3</x:v>
      </x:c>
      <x:c r="N21" s="1" t="str">
        <x:f>IF(NOT(ISNUMBER(J21)),"缺少可算OAV",IF(J21&gt;=2,"最大值、中位值、低值待校准","最大值、中位值"))</x:f>
        <x:v>最大值、中位值、低值待校准</x:v>
      </x:c>
      <x:c r="O21" s="1" t="str">
        <x:f>IF(NOT(ISNUMBER(J21)),"待定",IF(J21&lt;2,"不设第三档",IF(J21&lt;=5,"中位OAV≤5；低档须低于中位浓度","低档需预试确认与中档可区分")))</x:f>
        <x:v>中位OAV≤5；低档须低于中位浓度</x:v>
      </x:c>
    </x:row>
    <x:row r="22" ht="23" customHeight="1">
      <x:c r="A22" s="1" t="n">
        <x:f>IF('全库373行'!A70="","",'全库373行'!A70)</x:f>
        <x:v>65</x:v>
      </x:c>
      <x:c r="B22" s="1" t="str">
        <x:f>IF('全库373行'!B70="","",'全库373行'!B70)</x:f>
        <x:v>丁酸</x:v>
      </x:c>
      <x:c r="C22" s="1" t="str">
        <x:f>IF('全库373行'!C70="","",'全库373行'!C70)</x:f>
        <x:v>107-92-6</x:v>
      </x:c>
      <x:c r="D22" s="1" t="str">
        <x:f>IF('全库373行'!D70="","",'全库373行'!D70)</x:f>
        <x:v>Butyric Acid</x:v>
      </x:c>
      <x:c r="E22" s="5" t="n">
        <x:f>IF('全库373行'!E70="","",'全库373行'!E70)</x:f>
        <x:v>965</x:v>
      </x:c>
      <x:c r="F22" s="6" t="n">
        <x:f>IF('全库373行'!F70="","",'全库373行'!F70)</x:f>
        <x:v>84</x:v>
      </x:c>
      <x:c r="G22" s="5" t="n">
        <x:f>IF('全库373行'!G70="","",'全库373行'!G70)</x:f>
        <x:v>295816</x:v>
      </x:c>
      <x:c r="H22" s="5" t="n">
        <x:f>IF('全库373行'!H70="","",'全库373行'!H70)</x:f>
        <x:v>803.5</x:v>
      </x:c>
      <x:c r="I22" s="7" t="n">
        <x:f>IF('全库373行'!I70="","",'全库373行'!I70)</x:f>
        <x:v>306.54507772020725</x:v>
      </x:c>
      <x:c r="J22" s="7" t="n">
        <x:f>IF('全库373行'!J70="","",'全库373行'!J70)</x:f>
        <x:v>0.8326424870466321</x:v>
      </x:c>
      <x:c r="K22" s="1" t="str">
        <x:f>IF('全库373行'!K70="","",'全库373行'!K70)</x:f>
        <x:v>可计算</x:v>
      </x:c>
      <x:c r="L22" s="1" t="str">
        <x:f>IF(NOT(ISNUMBER(J22)),"待定",IF(J22&gt;50,"骨架成分",IF(J22&gt;=2,"重要成分","两档成分")))</x:f>
        <x:v>两档成分</x:v>
      </x:c>
      <x:c r="M22" s="1" t="n">
        <x:f>IF(NOT(ISNUMBER(J22)),"",IF(J22&gt;=2,3,2))</x:f>
        <x:v>2</x:v>
      </x:c>
      <x:c r="N22" s="1" t="str">
        <x:f>IF(NOT(ISNUMBER(J22)),"缺少可算OAV",IF(J22&gt;=2,"最大值、中位值、低值待校准","最大值、中位值"))</x:f>
        <x:v>最大值、中位值</x:v>
      </x:c>
      <x:c r="O22" s="1" t="str">
        <x:f>IF(NOT(ISNUMBER(J22)),"待定",IF(J22&lt;2,"不设第三档",IF(J22&lt;=5,"中位OAV≤5；低档须低于中位浓度","低档需预试确认与中档可区分")))</x:f>
        <x:v>不设第三档</x:v>
      </x:c>
    </x:row>
    <x:row r="23" ht="23" customHeight="1">
      <x:c r="A23" s="1" t="n">
        <x:f>IF('全库373行'!A74="","",'全库373行'!A74)</x:f>
        <x:v>69</x:v>
      </x:c>
      <x:c r="B23" s="1" t="str">
        <x:f>IF('全库373行'!B74="","",'全库373行'!B74)</x:f>
        <x:v>异戊酸乙酯（3-甲基丁酸乙酯）</x:v>
      </x:c>
      <x:c r="C23" s="1" t="str">
        <x:f>IF('全库373行'!C74="","",'全库373行'!C74)</x:f>
        <x:v>108-64-5</x:v>
      </x:c>
      <x:c r="D23" s="1" t="str">
        <x:f>IF('全库373行'!D74="","",'全库373行'!D74)</x:f>
        <x:v>Ethyl isovalerate</x:v>
      </x:c>
      <x:c r="E23" s="5" t="n">
        <x:f>IF('全库373行'!E74="","",'全库373行'!E74)</x:f>
        <x:v>6.89</x:v>
      </x:c>
      <x:c r="F23" s="6" t="n">
        <x:f>IF('全库373行'!F74="","",'全库373行'!F74)</x:f>
        <x:v>45</x:v>
      </x:c>
      <x:c r="G23" s="5" t="n">
        <x:f>IF('全库373行'!G74="","",'全库373行'!G74)</x:f>
        <x:v>12022.2</x:v>
      </x:c>
      <x:c r="H23" s="5" t="n">
        <x:f>IF('全库373行'!H74="","",'全库373行'!H74)</x:f>
        <x:v>553</x:v>
      </x:c>
      <x:c r="I23" s="7" t="n">
        <x:f>IF('全库373行'!I74="","",'全库373行'!I74)</x:f>
        <x:v>1744.8766328011613</x:v>
      </x:c>
      <x:c r="J23" s="7" t="n">
        <x:f>IF('全库373行'!J74="","",'全库373行'!J74)</x:f>
        <x:v>80.2612481857765</x:v>
      </x:c>
      <x:c r="K23" s="1" t="str">
        <x:f>IF('全库373行'!K74="","",'全库373行'!K74)</x:f>
        <x:v>可计算</x:v>
      </x:c>
      <x:c r="L23" s="1" t="str">
        <x:f>IF(NOT(ISNUMBER(J23)),"待定",IF(J23&gt;50,"骨架成分",IF(J23&gt;=2,"重要成分","两档成分")))</x:f>
        <x:v>骨架成分</x:v>
      </x:c>
      <x:c r="M23" s="1" t="n">
        <x:f>IF(NOT(ISNUMBER(J23)),"",IF(J23&gt;=2,3,2))</x:f>
        <x:v>3</x:v>
      </x:c>
      <x:c r="N23" s="1" t="str">
        <x:f>IF(NOT(ISNUMBER(J23)),"缺少可算OAV",IF(J23&gt;=2,"最大值、中位值、低值待校准","最大值、中位值"))</x:f>
        <x:v>最大值、中位值、低值待校准</x:v>
      </x:c>
      <x:c r="O23" s="1" t="str">
        <x:f>IF(NOT(ISNUMBER(J23)),"待定",IF(J23&lt;2,"不设第三档",IF(J23&lt;=5,"中位OAV≤5；低档须低于中位浓度","低档需预试确认与中档可区分")))</x:f>
        <x:v>低档需预试确认与中档可区分</x:v>
      </x:c>
    </x:row>
    <x:row r="24" ht="23" customHeight="1">
      <x:c r="A24" s="1" t="n">
        <x:f>IF('全库373行'!A80="","",'全库373行'!A80)</x:f>
        <x:v>75</x:v>
      </x:c>
      <x:c r="B24" s="1" t="str">
        <x:f>IF('全库373行'!B80="","",'全库373行'!B80)</x:f>
        <x:v>戊酸</x:v>
      </x:c>
      <x:c r="C24" s="1" t="str">
        <x:f>IF('全库373行'!C80="","",'全库373行'!C80)</x:f>
        <x:v>109-52-4</x:v>
      </x:c>
      <x:c r="D24" s="1" t="str">
        <x:f>IF('全库373行'!D80="","",'全库373行'!D80)</x:f>
        <x:v>Valeric acid</x:v>
      </x:c>
      <x:c r="E24" s="5" t="n">
        <x:f>IF('全库373行'!E80="","",'全库373行'!E80)</x:f>
        <x:v>389</x:v>
      </x:c>
      <x:c r="F24" s="6" t="n">
        <x:f>IF('全库373行'!F80="","",'全库373行'!F80)</x:f>
        <x:v>91</x:v>
      </x:c>
      <x:c r="G24" s="5" t="n">
        <x:f>IF('全库373行'!G80="","",'全库373行'!G80)</x:f>
        <x:v>62700</x:v>
      </x:c>
      <x:c r="H24" s="5" t="n">
        <x:f>IF('全库373行'!H80="","",'全库373行'!H80)</x:f>
        <x:v>2417</x:v>
      </x:c>
      <x:c r="I24" s="7" t="n">
        <x:f>IF('全库373行'!I80="","",'全库373行'!I80)</x:f>
        <x:v>161.18251928020567</x:v>
      </x:c>
      <x:c r="J24" s="7" t="n">
        <x:f>IF('全库373行'!J80="","",'全库373行'!J80)</x:f>
        <x:v>6.213367609254499</x:v>
      </x:c>
      <x:c r="K24" s="1" t="str">
        <x:f>IF('全库373行'!K80="","",'全库373行'!K80)</x:f>
        <x:v>可计算</x:v>
      </x:c>
      <x:c r="L24" s="1" t="str">
        <x:f>IF(NOT(ISNUMBER(J24)),"待定",IF(J24&gt;50,"骨架成分",IF(J24&gt;=2,"重要成分","两档成分")))</x:f>
        <x:v>重要成分</x:v>
      </x:c>
      <x:c r="M24" s="1" t="n">
        <x:f>IF(NOT(ISNUMBER(J24)),"",IF(J24&gt;=2,3,2))</x:f>
        <x:v>3</x:v>
      </x:c>
      <x:c r="N24" s="1" t="str">
        <x:f>IF(NOT(ISNUMBER(J24)),"缺少可算OAV",IF(J24&gt;=2,"最大值、中位值、低值待校准","最大值、中位值"))</x:f>
        <x:v>最大值、中位值、低值待校准</x:v>
      </x:c>
      <x:c r="O24" s="1" t="str">
        <x:f>IF(NOT(ISNUMBER(J24)),"待定",IF(J24&lt;2,"不设第三档",IF(J24&lt;=5,"中位OAV≤5；低档须低于中位浓度","低档需预试确认与中档可区分")))</x:f>
        <x:v>低档需预试确认与中档可区分</x:v>
      </x:c>
    </x:row>
    <x:row r="25" ht="23" customHeight="1">
      <x:c r="A25" s="1" t="n">
        <x:f>IF('全库373行'!A84="","",'全库373行'!A84)</x:f>
        <x:v>79</x:v>
      </x:c>
      <x:c r="B25" s="1" t="str">
        <x:f>IF('全库373行'!B84="","",'全库373行'!B84)</x:f>
        <x:v>癸酸乙酯</x:v>
      </x:c>
      <x:c r="C25" s="1" t="str">
        <x:f>IF('全库373行'!C84="","",'全库373行'!C84)</x:f>
        <x:v>110-38-3</x:v>
      </x:c>
      <x:c r="D25" s="1" t="str">
        <x:f>IF('全库373行'!D84="","",'全库373行'!D84)</x:f>
        <x:v>Ethyl decanoate</x:v>
      </x:c>
      <x:c r="E25" s="5" t="n">
        <x:f>IF('全库373行'!E84="","",'全库373行'!E84)</x:f>
        <x:v>1120</x:v>
      </x:c>
      <x:c r="F25" s="6" t="n">
        <x:f>IF('全库373行'!F84="","",'全库373行'!F84)</x:f>
        <x:v>89</x:v>
      </x:c>
      <x:c r="G25" s="5" t="n">
        <x:f>IF('全库373行'!G84="","",'全库373行'!G84)</x:f>
        <x:v>56115</x:v>
      </x:c>
      <x:c r="H25" s="5" t="n">
        <x:f>IF('全库373行'!H84="","",'全库373行'!H84)</x:f>
        <x:v>1288.255</x:v>
      </x:c>
      <x:c r="I25" s="7" t="n">
        <x:f>IF('全库373行'!I84="","",'全库373行'!I84)</x:f>
        <x:v>50.10267857142857</x:v>
      </x:c>
      <x:c r="J25" s="7" t="n">
        <x:f>IF('全库373行'!J84="","",'全库373行'!J84)</x:f>
        <x:v>1.1502276785714287</x:v>
      </x:c>
      <x:c r="K25" s="1" t="str">
        <x:f>IF('全库373行'!K84="","",'全库373行'!K84)</x:f>
        <x:v>可计算</x:v>
      </x:c>
      <x:c r="L25" s="1" t="str">
        <x:f>IF(NOT(ISNUMBER(J25)),"待定",IF(J25&gt;50,"骨架成分",IF(J25&gt;=2,"重要成分","两档成分")))</x:f>
        <x:v>两档成分</x:v>
      </x:c>
      <x:c r="M25" s="1" t="n">
        <x:f>IF(NOT(ISNUMBER(J25)),"",IF(J25&gt;=2,3,2))</x:f>
        <x:v>2</x:v>
      </x:c>
      <x:c r="N25" s="1" t="str">
        <x:f>IF(NOT(ISNUMBER(J25)),"缺少可算OAV",IF(J25&gt;=2,"最大值、中位值、低值待校准","最大值、中位值"))</x:f>
        <x:v>最大值、中位值</x:v>
      </x:c>
      <x:c r="O25" s="1" t="str">
        <x:f>IF(NOT(ISNUMBER(J25)),"待定",IF(J25&lt;2,"不设第三档",IF(J25&lt;=5,"中位OAV≤5；低档须低于中位浓度","低档需预试确认与中档可区分")))</x:f>
        <x:v>不设第三档</x:v>
      </x:c>
    </x:row>
    <x:row r="26" ht="23" customHeight="1">
      <x:c r="A26" s="1" t="n">
        <x:f>IF('全库373行'!A90="","",'全库373行'!A90)</x:f>
        <x:v>85</x:v>
      </x:c>
      <x:c r="B26" s="1" t="str">
        <x:f>IF('全库373行'!B90="","",'全库373行'!B90)</x:f>
        <x:v>1-己醇</x:v>
      </x:c>
      <x:c r="C26" s="1" t="str">
        <x:f>IF('全库373行'!C90="","",'全库373行'!C90)</x:f>
        <x:v>111-27-3</x:v>
      </x:c>
      <x:c r="D26" s="1" t="str">
        <x:f>IF('全库373行'!D90="","",'全库373行'!D90)</x:f>
        <x:v>1-Hexanol</x:v>
      </x:c>
      <x:c r="E26" s="5" t="n">
        <x:f>IF('全库373行'!E90="","",'全库373行'!E90)</x:f>
        <x:v>5370</x:v>
      </x:c>
      <x:c r="F26" s="6" t="n">
        <x:f>IF('全库373行'!F90="","",'全库373行'!F90)</x:f>
        <x:v>95</x:v>
      </x:c>
      <x:c r="G26" s="5" t="n">
        <x:f>IF('全库373行'!G90="","",'全库373行'!G90)</x:f>
        <x:v>1869000</x:v>
      </x:c>
      <x:c r="H26" s="5" t="n">
        <x:f>IF('全库373行'!H90="","",'全库373行'!H90)</x:f>
        <x:v>3900</x:v>
      </x:c>
      <x:c r="I26" s="7" t="n">
        <x:f>IF('全库373行'!I90="","",'全库373行'!I90)</x:f>
        <x:v>348.0446927374302</x:v>
      </x:c>
      <x:c r="J26" s="7" t="n">
        <x:f>IF('全库373行'!J90="","",'全库373行'!J90)</x:f>
        <x:v>0.7262569832402235</x:v>
      </x:c>
      <x:c r="K26" s="1" t="str">
        <x:f>IF('全库373行'!K90="","",'全库373行'!K90)</x:f>
        <x:v>可计算</x:v>
      </x:c>
      <x:c r="L26" s="1" t="str">
        <x:f>IF(NOT(ISNUMBER(J26)),"待定",IF(J26&gt;50,"骨架成分",IF(J26&gt;=2,"重要成分","两档成分")))</x:f>
        <x:v>两档成分</x:v>
      </x:c>
      <x:c r="M26" s="1" t="n">
        <x:f>IF(NOT(ISNUMBER(J26)),"",IF(J26&gt;=2,3,2))</x:f>
        <x:v>2</x:v>
      </x:c>
      <x:c r="N26" s="1" t="str">
        <x:f>IF(NOT(ISNUMBER(J26)),"缺少可算OAV",IF(J26&gt;=2,"最大值、中位值、低值待校准","最大值、中位值"))</x:f>
        <x:v>最大值、中位值</x:v>
      </x:c>
      <x:c r="O26" s="1" t="str">
        <x:f>IF(NOT(ISNUMBER(J26)),"待定",IF(J26&lt;2,"不设第三档",IF(J26&lt;=5,"中位OAV≤5；低档须低于中位浓度","低档需预试确认与中档可区分")))</x:f>
        <x:v>不设第三档</x:v>
      </x:c>
    </x:row>
    <x:row r="27" ht="23" customHeight="1">
      <x:c r="A27" s="1" t="n">
        <x:f>IF('全库373行'!A95="","",'全库373行'!A95)</x:f>
        <x:v>90</x:v>
      </x:c>
      <x:c r="B27" s="1" t="str">
        <x:f>IF('全库373行'!B95="","",'全库373行'!B95)</x:f>
        <x:v>1-辛醇</x:v>
      </x:c>
      <x:c r="C27" s="1" t="str">
        <x:f>IF('全库373行'!C95="","",'全库373行'!C95)</x:f>
        <x:v>111-87-5</x:v>
      </x:c>
      <x:c r="D27" s="1" t="str">
        <x:f>IF('全库373行'!D95="","",'全库373行'!D95)</x:f>
        <x:v>1-octanol</x:v>
      </x:c>
      <x:c r="E27" s="5" t="n">
        <x:f>IF('全库373行'!E95="","",'全库373行'!E95)</x:f>
        <x:v>1100</x:v>
      </x:c>
      <x:c r="F27" s="6" t="n">
        <x:f>IF('全库373行'!F95="","",'全库373行'!F95)</x:f>
        <x:v>53</x:v>
      </x:c>
      <x:c r="G27" s="5" t="n">
        <x:f>IF('全库373行'!G95="","",'全库373行'!G95)</x:f>
        <x:v>25642.45</x:v>
      </x:c>
      <x:c r="H27" s="5" t="n">
        <x:f>IF('全库373行'!H95="","",'全库373行'!H95)</x:f>
        <x:v>1232.25</x:v>
      </x:c>
      <x:c r="I27" s="7" t="n">
        <x:f>IF('全库373行'!I95="","",'全库373行'!I95)</x:f>
        <x:v>23.311318181818184</x:v>
      </x:c>
      <x:c r="J27" s="7" t="n">
        <x:f>IF('全库373行'!J95="","",'全库373行'!J95)</x:f>
        <x:v>1.1202272727272726</x:v>
      </x:c>
      <x:c r="K27" s="1" t="str">
        <x:f>IF('全库373行'!K95="","",'全库373行'!K95)</x:f>
        <x:v>可计算</x:v>
      </x:c>
      <x:c r="L27" s="1" t="str">
        <x:f>IF(NOT(ISNUMBER(J27)),"待定",IF(J27&gt;50,"骨架成分",IF(J27&gt;=2,"重要成分","两档成分")))</x:f>
        <x:v>两档成分</x:v>
      </x:c>
      <x:c r="M27" s="1" t="n">
        <x:f>IF(NOT(ISNUMBER(J27)),"",IF(J27&gt;=2,3,2))</x:f>
        <x:v>2</x:v>
      </x:c>
      <x:c r="N27" s="1" t="str">
        <x:f>IF(NOT(ISNUMBER(J27)),"缺少可算OAV",IF(J27&gt;=2,"最大值、中位值、低值待校准","最大值、中位值"))</x:f>
        <x:v>最大值、中位值</x:v>
      </x:c>
      <x:c r="O27" s="1" t="str">
        <x:f>IF(NOT(ISNUMBER(J27)),"待定",IF(J27&lt;2,"不设第三档",IF(J27&lt;=5,"中位OAV≤5；低档须低于中位浓度","低档需预试确认与中档可区分")))</x:f>
        <x:v>不设第三档</x:v>
      </x:c>
    </x:row>
    <x:row r="28" ht="23" customHeight="1">
      <x:c r="A28" s="1" t="n">
        <x:f>IF('全库373行'!A110="","",'全库373行'!A110)</x:f>
        <x:v>105</x:v>
      </x:c>
      <x:c r="B28" s="1" t="str">
        <x:f>IF('全库373行'!B110="","",'全库373行'!B110)</x:f>
        <x:v>苯乙醛</x:v>
      </x:c>
      <x:c r="C28" s="1" t="str">
        <x:f>IF('全库373行'!C110="","",'全库373行'!C110)</x:f>
        <x:v>122-78-1</x:v>
      </x:c>
      <x:c r="D28" s="1" t="str">
        <x:f>IF('全库373行'!D110="","",'全库373行'!D110)</x:f>
        <x:v>Phenylacetaldehyde</x:v>
      </x:c>
      <x:c r="E28" s="5" t="n">
        <x:f>IF('全库373行'!E110="","",'全库373行'!E110)</x:f>
        <x:v>262</x:v>
      </x:c>
      <x:c r="F28" s="6" t="n">
        <x:f>IF('全库373行'!F110="","",'全库373行'!F110)</x:f>
        <x:v>44</x:v>
      </x:c>
      <x:c r="G28" s="5" t="n">
        <x:f>IF('全库373行'!G110="","",'全库373行'!G110)</x:f>
        <x:v>15730</x:v>
      </x:c>
      <x:c r="H28" s="5" t="n">
        <x:f>IF('全库373行'!H110="","",'全库373行'!H110)</x:f>
        <x:v>556.325</x:v>
      </x:c>
      <x:c r="I28" s="7" t="n">
        <x:f>IF('全库373行'!I110="","",'全库373行'!I110)</x:f>
        <x:v>60.038167938931295</x:v>
      </x:c>
      <x:c r="J28" s="7" t="n">
        <x:f>IF('全库373行'!J110="","",'全库373行'!J110)</x:f>
        <x:v>2.12337786259542</x:v>
      </x:c>
      <x:c r="K28" s="1" t="str">
        <x:f>IF('全库373行'!K110="","",'全库373行'!K110)</x:f>
        <x:v>可计算</x:v>
      </x:c>
      <x:c r="L28" s="1" t="str">
        <x:f>IF(NOT(ISNUMBER(J28)),"待定",IF(J28&gt;50,"骨架成分",IF(J28&gt;=2,"重要成分","两档成分")))</x:f>
        <x:v>重要成分</x:v>
      </x:c>
      <x:c r="M28" s="1" t="n">
        <x:f>IF(NOT(ISNUMBER(J28)),"",IF(J28&gt;=2,3,2))</x:f>
        <x:v>3</x:v>
      </x:c>
      <x:c r="N28" s="1" t="str">
        <x:f>IF(NOT(ISNUMBER(J28)),"缺少可算OAV",IF(J28&gt;=2,"最大值、中位值、低值待校准","最大值、中位值"))</x:f>
        <x:v>最大值、中位值、低值待校准</x:v>
      </x:c>
      <x:c r="O28" s="1" t="str">
        <x:f>IF(NOT(ISNUMBER(J28)),"待定",IF(J28&lt;2,"不设第三档",IF(J28&lt;=5,"中位OAV≤5；低档须低于中位浓度","低档需预试确认与中档可区分")))</x:f>
        <x:v>中位OAV≤5；低档须低于中位浓度</x:v>
      </x:c>
    </x:row>
    <x:row r="29" ht="23" customHeight="1">
      <x:c r="A29" s="1" t="n">
        <x:f>IF('全库373行'!A111="","",'全库373行'!A111)</x:f>
        <x:v>106</x:v>
      </x:c>
      <x:c r="B29" s="1" t="str">
        <x:f>IF('全库373行'!B111="","",'全库373行'!B111)</x:f>
        <x:v>4-乙基苯酚</x:v>
      </x:c>
      <x:c r="C29" s="1" t="str">
        <x:f>IF('全库373行'!C111="","",'全库373行'!C111)</x:f>
        <x:v>123-07-9</x:v>
      </x:c>
      <x:c r="D29" s="1" t="str">
        <x:f>IF('全库373行'!D111="","",'全库373行'!D111)</x:f>
        <x:v>4-ethylphenol</x:v>
      </x:c>
      <x:c r="E29" s="5" t="n">
        <x:f>IF('全库373行'!E111="","",'全库373行'!E111)</x:f>
        <x:v>123</x:v>
      </x:c>
      <x:c r="F29" s="6" t="n">
        <x:f>IF('全库373行'!F111="","",'全库373行'!F111)</x:f>
        <x:v>51</x:v>
      </x:c>
      <x:c r="G29" s="5" t="n">
        <x:f>IF('全库373行'!G111="","",'全库373行'!G111)</x:f>
        <x:v>2501.24</x:v>
      </x:c>
      <x:c r="H29" s="5" t="n">
        <x:f>IF('全库373行'!H111="","",'全库373行'!H111)</x:f>
        <x:v>73.175</x:v>
      </x:c>
      <x:c r="I29" s="7" t="n">
        <x:f>IF('全库373行'!I111="","",'全库373行'!I111)</x:f>
        <x:v>20.335284552845525</x:v>
      </x:c>
      <x:c r="J29" s="7" t="n">
        <x:f>IF('全库373行'!J111="","",'全库373行'!J111)</x:f>
        <x:v>0.5949186991869918</x:v>
      </x:c>
      <x:c r="K29" s="1" t="str">
        <x:f>IF('全库373行'!K111="","",'全库373行'!K111)</x:f>
        <x:v>可计算</x:v>
      </x:c>
      <x:c r="L29" s="1" t="str">
        <x:f>IF(NOT(ISNUMBER(J29)),"待定",IF(J29&gt;50,"骨架成分",IF(J29&gt;=2,"重要成分","两档成分")))</x:f>
        <x:v>两档成分</x:v>
      </x:c>
      <x:c r="M29" s="1" t="n">
        <x:f>IF(NOT(ISNUMBER(J29)),"",IF(J29&gt;=2,3,2))</x:f>
        <x:v>2</x:v>
      </x:c>
      <x:c r="N29" s="1" t="str">
        <x:f>IF(NOT(ISNUMBER(J29)),"缺少可算OAV",IF(J29&gt;=2,"最大值、中位值、低值待校准","最大值、中位值"))</x:f>
        <x:v>最大值、中位值</x:v>
      </x:c>
      <x:c r="O29" s="1" t="str">
        <x:f>IF(NOT(ISNUMBER(J29)),"待定",IF(J29&lt;2,"不设第三档",IF(J29&lt;=5,"中位OAV≤5；低档须低于中位浓度","低档需预试确认与中档可区分")))</x:f>
        <x:v>不设第三档</x:v>
      </x:c>
    </x:row>
    <x:row r="30" ht="23" customHeight="1">
      <x:c r="A30" s="1" t="n">
        <x:f>IF('全库373行'!A115="","",'全库373行'!A115)</x:f>
        <x:v>110</x:v>
      </x:c>
      <x:c r="B30" s="1" t="str">
        <x:f>IF('全库373行'!B115="","",'全库373行'!B115)</x:f>
        <x:v>3-甲基-1-丁醇（异戊醇）</x:v>
      </x:c>
      <x:c r="C30" s="1" t="str">
        <x:f>IF('全库373行'!C115="","",'全库373行'!C115)</x:f>
        <x:v>123-51-3</x:v>
      </x:c>
      <x:c r="D30" s="1" t="str">
        <x:f>IF('全库373行'!D115="","",'全库373行'!D115)</x:f>
        <x:v>3-Methyl-1-butanol</x:v>
      </x:c>
      <x:c r="E30" s="5" t="n">
        <x:f>IF('全库373行'!E115="","",'全库373行'!E115)</x:f>
        <x:v>179191</x:v>
      </x:c>
      <x:c r="F30" s="6" t="n">
        <x:f>IF('全库373行'!F115="","",'全库373行'!F115)</x:f>
        <x:v>94</x:v>
      </x:c>
      <x:c r="G30" s="5" t="n">
        <x:f>IF('全库373行'!G115="","",'全库373行'!G115)</x:f>
        <x:v>1132450</x:v>
      </x:c>
      <x:c r="H30" s="5" t="n">
        <x:f>IF('全库373行'!H115="","",'全库373行'!H115)</x:f>
        <x:v>23666.83335</x:v>
      </x:c>
      <x:c r="I30" s="7" t="n">
        <x:f>IF('全库373行'!I115="","",'全库373行'!I115)</x:f>
        <x:v>6.319792846738954</x:v>
      </x:c>
      <x:c r="J30" s="7" t="n">
        <x:f>IF('全库373行'!J115="","",'全库373行'!J115)</x:f>
        <x:v>0.13207601581552644</x:v>
      </x:c>
      <x:c r="K30" s="1" t="str">
        <x:f>IF('全库373行'!K115="","",'全库373行'!K115)</x:f>
        <x:v>可计算</x:v>
      </x:c>
      <x:c r="L30" s="1" t="str">
        <x:f>IF(NOT(ISNUMBER(J30)),"待定",IF(J30&gt;50,"骨架成分",IF(J30&gt;=2,"重要成分","两档成分")))</x:f>
        <x:v>两档成分</x:v>
      </x:c>
      <x:c r="M30" s="1" t="n">
        <x:f>IF(NOT(ISNUMBER(J30)),"",IF(J30&gt;=2,3,2))</x:f>
        <x:v>2</x:v>
      </x:c>
      <x:c r="N30" s="1" t="str">
        <x:f>IF(NOT(ISNUMBER(J30)),"缺少可算OAV",IF(J30&gt;=2,"最大值、中位值、低值待校准","最大值、中位值"))</x:f>
        <x:v>最大值、中位值</x:v>
      </x:c>
      <x:c r="O30" s="1" t="str">
        <x:f>IF(NOT(ISNUMBER(J30)),"待定",IF(J30&lt;2,"不设第三档",IF(J30&lt;=5,"中位OAV≤5；低档须低于中位浓度","低档需预试确认与中档可区分")))</x:f>
        <x:v>不设第三档</x:v>
      </x:c>
    </x:row>
    <x:row r="31" ht="23" customHeight="1">
      <x:c r="A31" s="1" t="n">
        <x:f>IF('全库373行'!A116="","",'全库373行'!A116)</x:f>
        <x:v>111</x:v>
      </x:c>
      <x:c r="B31" s="1" t="str">
        <x:f>IF('全库373行'!B116="","",'全库373行'!B116)</x:f>
        <x:v>己酸乙酯</x:v>
      </x:c>
      <x:c r="C31" s="1" t="str">
        <x:f>IF('全库373行'!C116="","",'全库373行'!C116)</x:f>
        <x:v>123-66-0</x:v>
      </x:c>
      <x:c r="D31" s="1" t="str">
        <x:f>IF('全库373行'!D116="","",'全库373行'!D116)</x:f>
        <x:v>Ethyl Hexanoate</x:v>
      </x:c>
      <x:c r="E31" s="5" t="n">
        <x:f>IF('全库373行'!E116="","",'全库373行'!E116)</x:f>
        <x:v>55.3</x:v>
      </x:c>
      <x:c r="F31" s="6" t="n">
        <x:f>IF('全库373行'!F116="","",'全库373行'!F116)</x:f>
        <x:v>99</x:v>
      </x:c>
      <x:c r="G31" s="5" t="n">
        <x:f>IF('全库373行'!G116="","",'全库373行'!G116)</x:f>
        <x:v>9622120</x:v>
      </x:c>
      <x:c r="H31" s="5" t="n">
        <x:f>IF('全库373行'!H116="","",'全库373行'!H116)</x:f>
        <x:v>215340</x:v>
      </x:c>
      <x:c r="I31" s="7" t="n">
        <x:f>IF('全库373行'!I116="","",'全库373行'!I116)</x:f>
        <x:v>173998.5533453888</x:v>
      </x:c>
      <x:c r="J31" s="7" t="n">
        <x:f>IF('全库373行'!J116="","",'全库373行'!J116)</x:f>
        <x:v>3894.0325497287527</x:v>
      </x:c>
      <x:c r="K31" s="1" t="str">
        <x:f>IF('全库373行'!K116="","",'全库373行'!K116)</x:f>
        <x:v>可计算</x:v>
      </x:c>
      <x:c r="L31" s="1" t="str">
        <x:f>IF(NOT(ISNUMBER(J31)),"待定",IF(J31&gt;50,"骨架成分",IF(J31&gt;=2,"重要成分","两档成分")))</x:f>
        <x:v>骨架成分</x:v>
      </x:c>
      <x:c r="M31" s="1" t="n">
        <x:f>IF(NOT(ISNUMBER(J31)),"",IF(J31&gt;=2,3,2))</x:f>
        <x:v>3</x:v>
      </x:c>
      <x:c r="N31" s="1" t="str">
        <x:f>IF(NOT(ISNUMBER(J31)),"缺少可算OAV",IF(J31&gt;=2,"最大值、中位值、低值待校准","最大值、中位值"))</x:f>
        <x:v>最大值、中位值、低值待校准</x:v>
      </x:c>
      <x:c r="O31" s="1" t="str">
        <x:f>IF(NOT(ISNUMBER(J31)),"待定",IF(J31&lt;2,"不设第三档",IF(J31&lt;=5,"中位OAV≤5；低档须低于中位浓度","低档需预试确认与中档可区分")))</x:f>
        <x:v>低档需预试确认与中档可区分</x:v>
      </x:c>
    </x:row>
    <x:row r="32" ht="23" customHeight="1">
      <x:c r="A32" s="1" t="n">
        <x:f>IF('全库373行'!A119="","",'全库373行'!A119)</x:f>
        <x:v>114</x:v>
      </x:c>
      <x:c r="B32" s="1" t="str">
        <x:f>IF('全库373行'!B119="","",'全库373行'!B119)</x:f>
        <x:v>乙酸丁酯</x:v>
      </x:c>
      <x:c r="C32" s="1" t="str">
        <x:f>IF('全库373行'!C119="","",'全库373行'!C119)</x:f>
        <x:v>123-86-4</x:v>
      </x:c>
      <x:c r="D32" s="1" t="str">
        <x:f>IF('全库373行'!D119="","",'全库373行'!D119)</x:f>
        <x:v>Butyl acetate</x:v>
      </x:c>
      <x:c r="E32" s="5" t="n">
        <x:f>IF('全库373行'!E119="","",'全库373行'!E119)</x:f>
        <x:v>1800</x:v>
      </x:c>
      <x:c r="F32" s="6" t="n">
        <x:f>IF('全库373行'!F119="","",'全库373行'!F119)</x:f>
        <x:v>30</x:v>
      </x:c>
      <x:c r="G32" s="5" t="n">
        <x:f>IF('全库373行'!G119="","",'全库373行'!G119)</x:f>
        <x:v>47100</x:v>
      </x:c>
      <x:c r="H32" s="5" t="n">
        <x:f>IF('全库373行'!H119="","",'全库373行'!H119)</x:f>
        <x:v>3147.945</x:v>
      </x:c>
      <x:c r="I32" s="7" t="n">
        <x:f>IF('全库373行'!I119="","",'全库373行'!I119)</x:f>
        <x:v>26.166666666666668</x:v>
      </x:c>
      <x:c r="J32" s="7" t="n">
        <x:f>IF('全库373行'!J119="","",'全库373行'!J119)</x:f>
        <x:v>1.7488583333333334</x:v>
      </x:c>
      <x:c r="K32" s="1" t="str">
        <x:f>IF('全库373行'!K119="","",'全库373行'!K119)</x:f>
        <x:v>可计算</x:v>
      </x:c>
      <x:c r="L32" s="1" t="str">
        <x:f>IF(NOT(ISNUMBER(J32)),"待定",IF(J32&gt;50,"骨架成分",IF(J32&gt;=2,"重要成分","两档成分")))</x:f>
        <x:v>两档成分</x:v>
      </x:c>
      <x:c r="M32" s="1" t="n">
        <x:f>IF(NOT(ISNUMBER(J32)),"",IF(J32&gt;=2,3,2))</x:f>
        <x:v>2</x:v>
      </x:c>
      <x:c r="N32" s="1" t="str">
        <x:f>IF(NOT(ISNUMBER(J32)),"缺少可算OAV",IF(J32&gt;=2,"最大值、中位值、低值待校准","最大值、中位值"))</x:f>
        <x:v>最大值、中位值</x:v>
      </x:c>
      <x:c r="O32" s="1" t="str">
        <x:f>IF(NOT(ISNUMBER(J32)),"待定",IF(J32&lt;2,"不设第三档",IF(J32&lt;=5,"中位OAV≤5；低档须低于中位浓度","低档需预试确认与中档可区分")))</x:f>
        <x:v>不设第三档</x:v>
      </x:c>
    </x:row>
    <x:row r="33" ht="23" customHeight="1">
      <x:c r="A33" s="1" t="n">
        <x:f>IF('全库373行'!A120="","",'全库373行'!A120)</x:f>
        <x:v>115</x:v>
      </x:c>
      <x:c r="B33" s="1" t="str">
        <x:f>IF('全库373行'!B120="","",'全库373行'!B120)</x:f>
        <x:v>乙酸异戊酯</x:v>
      </x:c>
      <x:c r="C33" s="1" t="str">
        <x:f>IF('全库373行'!C120="","",'全库373行'!C120)</x:f>
        <x:v>123-92-2</x:v>
      </x:c>
      <x:c r="D33" s="1" t="str">
        <x:f>IF('全库373行'!D120="","",'全库373行'!D120)</x:f>
        <x:v>Isoamyl acetate</x:v>
      </x:c>
      <x:c r="E33" s="5" t="n">
        <x:f>IF('全库373行'!E120="","",'全库373行'!E120)</x:f>
        <x:v>93.9</x:v>
      </x:c>
      <x:c r="F33" s="6" t="n">
        <x:f>IF('全库373行'!F120="","",'全库373行'!F120)</x:f>
        <x:v>48</x:v>
      </x:c>
      <x:c r="G33" s="5" t="n">
        <x:f>IF('全库373行'!G120="","",'全库373行'!G120)</x:f>
        <x:v>6516</x:v>
      </x:c>
      <x:c r="H33" s="5" t="n">
        <x:f>IF('全库373行'!H120="","",'全库373行'!H120)</x:f>
        <x:v>443.16499999999996</x:v>
      </x:c>
      <x:c r="I33" s="7" t="n">
        <x:f>IF('全库373行'!I120="","",'全库373行'!I120)</x:f>
        <x:v>69.39297124600638</x:v>
      </x:c>
      <x:c r="J33" s="7" t="n">
        <x:f>IF('全库373行'!J120="","",'全库373行'!J120)</x:f>
        <x:v>4.719542066027689</x:v>
      </x:c>
      <x:c r="K33" s="1" t="str">
        <x:f>IF('全库373行'!K120="","",'全库373行'!K120)</x:f>
        <x:v>可计算</x:v>
      </x:c>
      <x:c r="L33" s="1" t="str">
        <x:f>IF(NOT(ISNUMBER(J33)),"待定",IF(J33&gt;50,"骨架成分",IF(J33&gt;=2,"重要成分","两档成分")))</x:f>
        <x:v>重要成分</x:v>
      </x:c>
      <x:c r="M33" s="1" t="n">
        <x:f>IF(NOT(ISNUMBER(J33)),"",IF(J33&gt;=2,3,2))</x:f>
        <x:v>3</x:v>
      </x:c>
      <x:c r="N33" s="1" t="str">
        <x:f>IF(NOT(ISNUMBER(J33)),"缺少可算OAV",IF(J33&gt;=2,"最大值、中位值、低值待校准","最大值、中位值"))</x:f>
        <x:v>最大值、中位值、低值待校准</x:v>
      </x:c>
      <x:c r="O33" s="1" t="str">
        <x:f>IF(NOT(ISNUMBER(J33)),"待定",IF(J33&lt;2,"不设第三档",IF(J33&lt;=5,"中位OAV≤5；低档须低于中位浓度","低档需预试确认与中档可区分")))</x:f>
        <x:v>中位OAV≤5；低档须低于中位浓度</x:v>
      </x:c>
    </x:row>
    <x:row r="34" ht="23" customHeight="1">
      <x:c r="A34" s="1" t="n">
        <x:f>IF('全库373行'!A122="","",'全库373行'!A122)</x:f>
        <x:v>117</x:v>
      </x:c>
      <x:c r="B34" s="1" t="str">
        <x:f>IF('全库373行'!B122="","",'全库373行'!B122)</x:f>
        <x:v>辛酸</x:v>
      </x:c>
      <x:c r="C34" s="1" t="str">
        <x:f>IF('全库373行'!C122="","",'全库373行'!C122)</x:f>
        <x:v>124-07-2</x:v>
      </x:c>
      <x:c r="D34" s="1" t="str">
        <x:f>IF('全库373行'!D122="","",'全库373行'!D122)</x:f>
        <x:v>Octanoic acid</x:v>
      </x:c>
      <x:c r="E34" s="5" t="n">
        <x:f>IF('全库373行'!E122="","",'全库373行'!E122)</x:f>
        <x:v>2700</x:v>
      </x:c>
      <x:c r="F34" s="6" t="n">
        <x:f>IF('全库373行'!F122="","",'全库373行'!F122)</x:f>
        <x:v>79</x:v>
      </x:c>
      <x:c r="G34" s="5" t="n">
        <x:f>IF('全库373行'!G122="","",'全库373行'!G122)</x:f>
        <x:v>40201.1</x:v>
      </x:c>
      <x:c r="H34" s="5" t="n">
        <x:f>IF('全库373行'!H122="","",'全库373行'!H122)</x:f>
        <x:v>7200</x:v>
      </x:c>
      <x:c r="I34" s="7" t="n">
        <x:f>IF('全库373行'!I122="","",'全库373行'!I122)</x:f>
        <x:v>14.889296296296296</x:v>
      </x:c>
      <x:c r="J34" s="7" t="n">
        <x:f>IF('全库373行'!J122="","",'全库373行'!J122)</x:f>
        <x:v>2.6666666666666665</x:v>
      </x:c>
      <x:c r="K34" s="1" t="str">
        <x:f>IF('全库373行'!K122="","",'全库373行'!K122)</x:f>
        <x:v>可计算</x:v>
      </x:c>
      <x:c r="L34" s="1" t="str">
        <x:f>IF(NOT(ISNUMBER(J34)),"待定",IF(J34&gt;50,"骨架成分",IF(J34&gt;=2,"重要成分","两档成分")))</x:f>
        <x:v>重要成分</x:v>
      </x:c>
      <x:c r="M34" s="1" t="n">
        <x:f>IF(NOT(ISNUMBER(J34)),"",IF(J34&gt;=2,3,2))</x:f>
        <x:v>3</x:v>
      </x:c>
      <x:c r="N34" s="1" t="str">
        <x:f>IF(NOT(ISNUMBER(J34)),"缺少可算OAV",IF(J34&gt;=2,"最大值、中位值、低值待校准","最大值、中位值"))</x:f>
        <x:v>最大值、中位值、低值待校准</x:v>
      </x:c>
      <x:c r="O34" s="1" t="str">
        <x:f>IF(NOT(ISNUMBER(J34)),"待定",IF(J34&lt;2,"不设第三档",IF(J34&lt;=5,"中位OAV≤5；低档须低于中位浓度","低档需预试确认与中档可区分")))</x:f>
        <x:v>中位OAV≤5；低档须低于中位浓度</x:v>
      </x:c>
    </x:row>
    <x:row r="35" ht="23" customHeight="1">
      <x:c r="A35" s="1" t="n">
        <x:f>IF('全库373行'!A129="","",'全库373行'!A129)</x:f>
        <x:v>124</x:v>
      </x:c>
      <x:c r="B35" s="1" t="str">
        <x:f>IF('全库373行'!B129="","",'全库373行'!B129)</x:f>
        <x:v>乙酸乙酯</x:v>
      </x:c>
      <x:c r="C35" s="1" t="str">
        <x:f>IF('全库373行'!C129="","",'全库373行'!C129)</x:f>
        <x:v>141-78-6</x:v>
      </x:c>
      <x:c r="D35" s="1" t="str">
        <x:f>IF('全库373行'!D129="","",'全库373行'!D129)</x:f>
        <x:v>Ethyl acetate</x:v>
      </x:c>
      <x:c r="E35" s="5" t="n">
        <x:f>IF('全库373行'!E129="","",'全库373行'!E129)</x:f>
        <x:v>32552</x:v>
      </x:c>
      <x:c r="F35" s="6" t="n">
        <x:f>IF('全库373行'!F129="","",'全库373行'!F129)</x:f>
        <x:v>84</x:v>
      </x:c>
      <x:c r="G35" s="5" t="n">
        <x:f>IF('全库373行'!G129="","",'全库373行'!G129)</x:f>
        <x:v>4021850</x:v>
      </x:c>
      <x:c r="H35" s="5" t="n">
        <x:f>IF('全库373行'!H129="","",'全库373行'!H129)</x:f>
        <x:v>11154</x:v>
      </x:c>
      <x:c r="I35" s="7" t="n">
        <x:f>IF('全库373行'!I129="","",'全库373行'!I129)</x:f>
        <x:v>123.55154829196363</x:v>
      </x:c>
      <x:c r="J35" s="7" t="n">
        <x:f>IF('全库373行'!J129="","",'全库373行'!J129)</x:f>
        <x:v>0.3426517571884984</x:v>
      </x:c>
      <x:c r="K35" s="1" t="str">
        <x:f>IF('全库373行'!K129="","",'全库373行'!K129)</x:f>
        <x:v>可计算</x:v>
      </x:c>
      <x:c r="L35" s="1" t="str">
        <x:f>IF(NOT(ISNUMBER(J35)),"待定",IF(J35&gt;50,"骨架成分",IF(J35&gt;=2,"重要成分","两档成分")))</x:f>
        <x:v>两档成分</x:v>
      </x:c>
      <x:c r="M35" s="1" t="n">
        <x:f>IF(NOT(ISNUMBER(J35)),"",IF(J35&gt;=2,3,2))</x:f>
        <x:v>2</x:v>
      </x:c>
      <x:c r="N35" s="1" t="str">
        <x:f>IF(NOT(ISNUMBER(J35)),"缺少可算OAV",IF(J35&gt;=2,"最大值、中位值、低值待校准","最大值、中位值"))</x:f>
        <x:v>最大值、中位值</x:v>
      </x:c>
      <x:c r="O35" s="1" t="str">
        <x:f>IF(NOT(ISNUMBER(J35)),"待定",IF(J35&lt;2,"不设第三档",IF(J35&lt;=5,"中位OAV≤5；低档须低于中位浓度","低档需预试确认与中档可区分")))</x:f>
        <x:v>不设第三档</x:v>
      </x:c>
    </x:row>
    <x:row r="36" ht="23" customHeight="1">
      <x:c r="A36" s="1" t="n">
        <x:f>IF('全库373行'!A131="","",'全库373行'!A131)</x:f>
        <x:v>126</x:v>
      </x:c>
      <x:c r="B36" s="1" t="str">
        <x:f>IF('全库373行'!B131="","",'全库373行'!B131)</x:f>
        <x:v>己酸</x:v>
      </x:c>
      <x:c r="C36" s="1" t="str">
        <x:f>IF('全库373行'!C131="","",'全库373行'!C131)</x:f>
        <x:v>142-62-1</x:v>
      </x:c>
      <x:c r="D36" s="1" t="str">
        <x:f>IF('全库373行'!D131="","",'全库373行'!D131)</x:f>
        <x:v>Hexanole acid</x:v>
      </x:c>
      <x:c r="E36" s="5" t="n">
        <x:f>IF('全库373行'!E131="","",'全库373行'!E131)</x:f>
        <x:v>2520</x:v>
      </x:c>
      <x:c r="F36" s="6" t="n">
        <x:f>IF('全库373行'!F131="","",'全库373行'!F131)</x:f>
        <x:v>89</x:v>
      </x:c>
      <x:c r="G36" s="5" t="n">
        <x:f>IF('全库373行'!G131="","",'全库373行'!G131)</x:f>
        <x:v>1551340.76</x:v>
      </x:c>
      <x:c r="H36" s="5" t="n">
        <x:f>IF('全库373行'!H131="","",'全库373行'!H131)</x:f>
        <x:v>21500</x:v>
      </x:c>
      <x:c r="I36" s="7" t="n">
        <x:f>IF('全库373行'!I131="","",'全库373行'!I131)</x:f>
        <x:v>615.6114126984127</x:v>
      </x:c>
      <x:c r="J36" s="7" t="n">
        <x:f>IF('全库373行'!J131="","",'全库373行'!J131)</x:f>
        <x:v>8.531746031746032</x:v>
      </x:c>
      <x:c r="K36" s="1" t="str">
        <x:f>IF('全库373行'!K131="","",'全库373行'!K131)</x:f>
        <x:v>可计算</x:v>
      </x:c>
      <x:c r="L36" s="1" t="str">
        <x:f>IF(NOT(ISNUMBER(J36)),"待定",IF(J36&gt;50,"骨架成分",IF(J36&gt;=2,"重要成分","两档成分")))</x:f>
        <x:v>重要成分</x:v>
      </x:c>
      <x:c r="M36" s="1" t="n">
        <x:f>IF(NOT(ISNUMBER(J36)),"",IF(J36&gt;=2,3,2))</x:f>
        <x:v>3</x:v>
      </x:c>
      <x:c r="N36" s="1" t="str">
        <x:f>IF(NOT(ISNUMBER(J36)),"缺少可算OAV",IF(J36&gt;=2,"最大值、中位值、低值待校准","最大值、中位值"))</x:f>
        <x:v>最大值、中位值、低值待校准</x:v>
      </x:c>
      <x:c r="O36" s="1" t="str">
        <x:f>IF(NOT(ISNUMBER(J36)),"待定",IF(J36&lt;2,"不设第三档",IF(J36&lt;=5,"中位OAV≤5；低档须低于中位浓度","低档需预试确认与中档可区分")))</x:f>
        <x:v>低档需预试确认与中档可区分</x:v>
      </x:c>
    </x:row>
    <x:row r="37" ht="23" customHeight="1">
      <x:c r="A37" s="1" t="n">
        <x:f>IF('全库373行'!A141="","",'全库373行'!A141)</x:f>
        <x:v>136</x:v>
      </x:c>
      <x:c r="B37" s="1" t="str">
        <x:f>IF('全库373行'!B141="","",'全库373行'!B141)</x:f>
        <x:v>异戊酸/3-甲基丁酸</x:v>
      </x:c>
      <x:c r="C37" s="1" t="str">
        <x:f>IF('全库373行'!C141="","",'全库373行'!C141)</x:f>
        <x:v>503-74-2</x:v>
      </x:c>
      <x:c r="D37" s="1" t="str">
        <x:f>IF('全库373行'!D141="","",'全库373行'!D141)</x:f>
        <x:v>Isovalenic acid</x:v>
      </x:c>
      <x:c r="E37" s="5" t="n">
        <x:f>IF('全库373行'!E141="","",'全库373行'!E141)</x:f>
        <x:v>1050</x:v>
      </x:c>
      <x:c r="F37" s="6" t="n">
        <x:f>IF('全库373行'!F141="","",'全库373行'!F141)</x:f>
        <x:v>73</x:v>
      </x:c>
      <x:c r="G37" s="5" t="n">
        <x:f>IF('全库373行'!G141="","",'全库373行'!G141)</x:f>
        <x:v>44000</x:v>
      </x:c>
      <x:c r="H37" s="5" t="n">
        <x:f>IF('全库373行'!H141="","",'全库373行'!H141)</x:f>
        <x:v>3885</x:v>
      </x:c>
      <x:c r="I37" s="7" t="n">
        <x:f>IF('全库373行'!I141="","",'全库373行'!I141)</x:f>
        <x:v>41.904761904761905</x:v>
      </x:c>
      <x:c r="J37" s="7" t="n">
        <x:f>IF('全库373行'!J141="","",'全库373行'!J141)</x:f>
        <x:v>3.7</x:v>
      </x:c>
      <x:c r="K37" s="1" t="str">
        <x:f>IF('全库373行'!K141="","",'全库373行'!K141)</x:f>
        <x:v>可计算</x:v>
      </x:c>
      <x:c r="L37" s="1" t="str">
        <x:f>IF(NOT(ISNUMBER(J37)),"待定",IF(J37&gt;50,"骨架成分",IF(J37&gt;=2,"重要成分","两档成分")))</x:f>
        <x:v>重要成分</x:v>
      </x:c>
      <x:c r="M37" s="1" t="n">
        <x:f>IF(NOT(ISNUMBER(J37)),"",IF(J37&gt;=2,3,2))</x:f>
        <x:v>3</x:v>
      </x:c>
      <x:c r="N37" s="1" t="str">
        <x:f>IF(NOT(ISNUMBER(J37)),"缺少可算OAV",IF(J37&gt;=2,"最大值、中位值、低值待校准","最大值、中位值"))</x:f>
        <x:v>最大值、中位值、低值待校准</x:v>
      </x:c>
      <x:c r="O37" s="1" t="str">
        <x:f>IF(NOT(ISNUMBER(J37)),"待定",IF(J37&lt;2,"不设第三档",IF(J37&lt;=5,"中位OAV≤5；低档须低于中位浓度","低档需预试确认与中档可区分")))</x:f>
        <x:v>中位OAV≤5；低档须低于中位浓度</x:v>
      </x:c>
    </x:row>
    <x:row r="38" ht="23" customHeight="1">
      <x:c r="A38" s="1" t="n">
        <x:f>IF('全库373行'!A146="","",'全库373行'!A146)</x:f>
        <x:v>141</x:v>
      </x:c>
      <x:c r="B38" s="1" t="str">
        <x:f>IF('全库373行'!B146="","",'全库373行'!B146)</x:f>
        <x:v>戊酸乙酯</x:v>
      </x:c>
      <x:c r="C38" s="1" t="str">
        <x:f>IF('全库373行'!C146="","",'全库373行'!C146)</x:f>
        <x:v>539-82-2</x:v>
      </x:c>
      <x:c r="D38" s="1" t="str">
        <x:f>IF('全库373行'!D146="","",'全库373行'!D146)</x:f>
        <x:v>Ethyl valerate</x:v>
      </x:c>
      <x:c r="E38" s="5" t="n">
        <x:f>IF('全库373行'!E146="","",'全库373行'!E146)</x:f>
        <x:v>26.8</x:v>
      </x:c>
      <x:c r="F38" s="6" t="n">
        <x:f>IF('全库373行'!F146="","",'全库373行'!F146)</x:f>
        <x:v>99</x:v>
      </x:c>
      <x:c r="G38" s="5" t="n">
        <x:f>IF('全库373行'!G146="","",'全库373行'!G146)</x:f>
        <x:v>1039840</x:v>
      </x:c>
      <x:c r="H38" s="5" t="n">
        <x:f>IF('全库373行'!H146="","",'全库373行'!H146)</x:f>
        <x:v>6665</x:v>
      </x:c>
      <x:c r="I38" s="7" t="n">
        <x:f>IF('全库373行'!I146="","",'全库373行'!I146)</x:f>
        <x:v>38800</x:v>
      </x:c>
      <x:c r="J38" s="7" t="n">
        <x:f>IF('全库373行'!J146="","",'全库373行'!J146)</x:f>
        <x:v>248.69402985074626</x:v>
      </x:c>
      <x:c r="K38" s="1" t="str">
        <x:f>IF('全库373行'!K146="","",'全库373行'!K146)</x:f>
        <x:v>可计算</x:v>
      </x:c>
      <x:c r="L38" s="1" t="str">
        <x:f>IF(NOT(ISNUMBER(J38)),"待定",IF(J38&gt;50,"骨架成分",IF(J38&gt;=2,"重要成分","两档成分")))</x:f>
        <x:v>骨架成分</x:v>
      </x:c>
      <x:c r="M38" s="1" t="n">
        <x:f>IF(NOT(ISNUMBER(J38)),"",IF(J38&gt;=2,3,2))</x:f>
        <x:v>3</x:v>
      </x:c>
      <x:c r="N38" s="1" t="str">
        <x:f>IF(NOT(ISNUMBER(J38)),"缺少可算OAV",IF(J38&gt;=2,"最大值、中位值、低值待校准","最大值、中位值"))</x:f>
        <x:v>最大值、中位值、低值待校准</x:v>
      </x:c>
      <x:c r="O38" s="1" t="str">
        <x:f>IF(NOT(ISNUMBER(J38)),"待定",IF(J38&lt;2,"不设第三档",IF(J38&lt;=5,"中位OAV≤5；低档须低于中位浓度","低档需预试确认与中档可区分")))</x:f>
        <x:v>低档需预试确认与中档可区分</x:v>
      </x:c>
    </x:row>
    <x:row r="39" ht="23" customHeight="1">
      <x:c r="A39" s="1" t="n">
        <x:f>IF('全库373行'!A157="","",'全库373行'!A157)</x:f>
        <x:v>152</x:v>
      </x:c>
      <x:c r="B39" s="1" t="str">
        <x:f>IF('全库373行'!B157="","",'全库373行'!B157)</x:f>
        <x:v>异戊醛</x:v>
      </x:c>
      <x:c r="C39" s="1" t="str">
        <x:f>IF('全库373行'!C157="","",'全库373行'!C157)</x:f>
        <x:v>590-86-3</x:v>
      </x:c>
      <x:c r="D39" s="1" t="str">
        <x:f>IF('全库373行'!D157="","",'全库373行'!D157)</x:f>
        <x:v>Isovaleraldehyde</x:v>
      </x:c>
      <x:c r="E39" s="5" t="n">
        <x:f>IF('全库373行'!E157="","",'全库373行'!E157)</x:f>
        <x:v>16.5</x:v>
      </x:c>
      <x:c r="F39" s="6" t="n">
        <x:f>IF('全库373行'!F157="","",'全库373行'!F157)</x:f>
        <x:v>53</x:v>
      </x:c>
      <x:c r="G39" s="5" t="n">
        <x:f>IF('全库373行'!G157="","",'全库373行'!G157)</x:f>
        <x:v>227200</x:v>
      </x:c>
      <x:c r="H39" s="5" t="n">
        <x:f>IF('全库373行'!H157="","",'全库373行'!H157)</x:f>
        <x:v>5545</x:v>
      </x:c>
      <x:c r="I39" s="7" t="n">
        <x:f>IF('全库373行'!I157="","",'全库373行'!I157)</x:f>
        <x:v>13769.69696969697</x:v>
      </x:c>
      <x:c r="J39" s="7" t="n">
        <x:f>IF('全库373行'!J157="","",'全库373行'!J157)</x:f>
        <x:v>336.06060606060606</x:v>
      </x:c>
      <x:c r="K39" s="1" t="str">
        <x:f>IF('全库373行'!K157="","",'全库373行'!K157)</x:f>
        <x:v>可计算</x:v>
      </x:c>
      <x:c r="L39" s="1" t="str">
        <x:f>IF(NOT(ISNUMBER(J39)),"待定",IF(J39&gt;50,"骨架成分",IF(J39&gt;=2,"重要成分","两档成分")))</x:f>
        <x:v>骨架成分</x:v>
      </x:c>
      <x:c r="M39" s="1" t="n">
        <x:f>IF(NOT(ISNUMBER(J39)),"",IF(J39&gt;=2,3,2))</x:f>
        <x:v>3</x:v>
      </x:c>
      <x:c r="N39" s="1" t="str">
        <x:f>IF(NOT(ISNUMBER(J39)),"缺少可算OAV",IF(J39&gt;=2,"最大值、中位值、低值待校准","最大值、中位值"))</x:f>
        <x:v>最大值、中位值、低值待校准</x:v>
      </x:c>
      <x:c r="O39" s="1" t="str">
        <x:f>IF(NOT(ISNUMBER(J39)),"待定",IF(J39&lt;2,"不设第三档",IF(J39&lt;=5,"中位OAV≤5；低档须低于中位浓度","低档需预试确认与中档可区分")))</x:f>
        <x:v>低档需预试确认与中档可区分</x:v>
      </x:c>
    </x:row>
    <x:row r="40" ht="23" customHeight="1">
      <x:c r="A40" s="1" t="n">
        <x:f>IF('全库373行'!A170="","",'全库373行'!A170)</x:f>
        <x:v>165</x:v>
      </x:c>
      <x:c r="B40" s="1" t="str">
        <x:f>IF('全库373行'!B170="","",'全库373行'!B170)</x:f>
        <x:v>己酸丁酯</x:v>
      </x:c>
      <x:c r="C40" s="1" t="str">
        <x:f>IF('全库373行'!C170="","",'全库373行'!C170)</x:f>
        <x:v>626-82-4</x:v>
      </x:c>
      <x:c r="D40" s="1" t="str">
        <x:f>IF('全库373行'!D170="","",'全库373行'!D170)</x:f>
        <x:v>Butyl hexanoate</x:v>
      </x:c>
      <x:c r="E40" s="5" t="n">
        <x:f>IF('全库373行'!E170="","",'全库373行'!E170)</x:f>
        <x:v>677.84</x:v>
      </x:c>
      <x:c r="F40" s="6" t="n">
        <x:f>IF('全库373行'!F170="","",'全库373行'!F170)</x:f>
        <x:v>68</x:v>
      </x:c>
      <x:c r="G40" s="5" t="n">
        <x:f>IF('全库373行'!G170="","",'全库373行'!G170)</x:f>
        <x:v>86300</x:v>
      </x:c>
      <x:c r="H40" s="5" t="n">
        <x:f>IF('全库373行'!H170="","",'全库373行'!H170)</x:f>
        <x:v>823.735</x:v>
      </x:c>
      <x:c r="I40" s="7" t="n">
        <x:f>IF('全库373行'!I170="","",'全库373行'!I170)</x:f>
        <x:v>127.31618080963058</x:v>
      </x:c>
      <x:c r="J40" s="7" t="n">
        <x:f>IF('全库373行'!J170="","",'全库373行'!J170)</x:f>
        <x:v>1.2152351587395256</x:v>
      </x:c>
      <x:c r="K40" s="1" t="str">
        <x:f>IF('全库373行'!K170="","",'全库373行'!K170)</x:f>
        <x:v>可计算</x:v>
      </x:c>
      <x:c r="L40" s="1" t="str">
        <x:f>IF(NOT(ISNUMBER(J40)),"待定",IF(J40&gt;50,"骨架成分",IF(J40&gt;=2,"重要成分","两档成分")))</x:f>
        <x:v>两档成分</x:v>
      </x:c>
      <x:c r="M40" s="1" t="n">
        <x:f>IF(NOT(ISNUMBER(J40)),"",IF(J40&gt;=2,3,2))</x:f>
        <x:v>2</x:v>
      </x:c>
      <x:c r="N40" s="1" t="str">
        <x:f>IF(NOT(ISNUMBER(J40)),"缺少可算OAV",IF(J40&gt;=2,"最大值、中位值、低值待校准","最大值、中位值"))</x:f>
        <x:v>最大值、中位值</x:v>
      </x:c>
      <x:c r="O40" s="1" t="str">
        <x:f>IF(NOT(ISNUMBER(J40)),"待定",IF(J40&lt;2,"不设第三档",IF(J40&lt;=5,"中位OAV≤5；低档须低于中位浓度","低档需预试确认与中档可区分")))</x:f>
        <x:v>不设第三档</x:v>
      </x:c>
    </x:row>
    <x:row r="41" ht="23" customHeight="1">
      <x:c r="A41" s="1" t="n">
        <x:f>IF('全库373行'!A191="","",'全库373行'!A191)</x:f>
        <x:v>186</x:v>
      </x:c>
      <x:c r="B41" s="1" t="str">
        <x:f>IF('全库373行'!B191="","",'全库373行'!B191)</x:f>
        <x:v>3-苯基丙酸乙酯</x:v>
      </x:c>
      <x:c r="C41" s="1" t="str">
        <x:f>IF('全库373行'!C191="","",'全库373行'!C191)</x:f>
        <x:v>2021-28-5</x:v>
      </x:c>
      <x:c r="D41" s="1" t="str">
        <x:f>IF('全库373行'!D191="","",'全库373行'!D191)</x:f>
        <x:v>Ethyl 3-phenylpropionate</x:v>
      </x:c>
      <x:c r="E41" s="5" t="n">
        <x:f>IF('全库373行'!E191="","",'全库373行'!E191)</x:f>
        <x:v>125</x:v>
      </x:c>
      <x:c r="F41" s="6" t="n">
        <x:f>IF('全库373行'!F191="","",'全库373行'!F191)</x:f>
        <x:v>81</x:v>
      </x:c>
      <x:c r="G41" s="5" t="n">
        <x:f>IF('全库373行'!G191="","",'全库373行'!G191)</x:f>
        <x:v>11648000</x:v>
      </x:c>
      <x:c r="H41" s="5" t="n">
        <x:f>IF('全库373行'!H191="","",'全库373行'!H191)</x:f>
        <x:v>635</x:v>
      </x:c>
      <x:c r="I41" s="7" t="n">
        <x:f>IF('全库373行'!I191="","",'全库373行'!I191)</x:f>
        <x:v>93184</x:v>
      </x:c>
      <x:c r="J41" s="7" t="n">
        <x:f>IF('全库373行'!J191="","",'全库373行'!J191)</x:f>
        <x:v>5.08</x:v>
      </x:c>
      <x:c r="K41" s="1" t="str">
        <x:f>IF('全库373行'!K191="","",'全库373行'!K191)</x:f>
        <x:v>可计算</x:v>
      </x:c>
      <x:c r="L41" s="1" t="str">
        <x:f>IF(NOT(ISNUMBER(J41)),"待定",IF(J41&gt;50,"骨架成分",IF(J41&gt;=2,"重要成分","两档成分")))</x:f>
        <x:v>重要成分</x:v>
      </x:c>
      <x:c r="M41" s="1" t="n">
        <x:f>IF(NOT(ISNUMBER(J41)),"",IF(J41&gt;=2,3,2))</x:f>
        <x:v>3</x:v>
      </x:c>
      <x:c r="N41" s="1" t="str">
        <x:f>IF(NOT(ISNUMBER(J41)),"缺少可算OAV",IF(J41&gt;=2,"最大值、中位值、低值待校准","最大值、中位值"))</x:f>
        <x:v>最大值、中位值、低值待校准</x:v>
      </x:c>
      <x:c r="O41" s="1" t="str">
        <x:f>IF(NOT(ISNUMBER(J41)),"待定",IF(J41&lt;2,"不设第三档",IF(J41&lt;=5,"中位OAV≤5；低档须低于中位浓度","低档需预试确认与中档可区分")))</x:f>
        <x:v>低档需预试确认与中档可区分</x:v>
      </x:c>
    </x:row>
    <x:row r="42" ht="23" customHeight="1">
      <x:c r="A42" s="1" t="n">
        <x:f>IF('全库373行'!A212="","",'全库373行'!A212)</x:f>
        <x:v>207</x:v>
      </x:c>
      <x:c r="B42" s="1" t="str">
        <x:f>IF('全库373行'!B212="","",'全库373行'!B212)</x:f>
        <x:v>1-辛烯-3-醇</x:v>
      </x:c>
      <x:c r="C42" s="1" t="str">
        <x:f>IF('全库373行'!C212="","",'全库373行'!C212)</x:f>
        <x:v>3391-86-4</x:v>
      </x:c>
      <x:c r="D42" s="1" t="str">
        <x:f>IF('全库373行'!D212="","",'全库373行'!D212)</x:f>
        <x:v>1-Octen-3-ol</x:v>
      </x:c>
      <x:c r="E42" s="5" t="n">
        <x:f>IF('全库373行'!E212="","",'全库373行'!E212)</x:f>
        <x:v>6.12</x:v>
      </x:c>
      <x:c r="F42" s="6" t="n">
        <x:f>IF('全库373行'!F212="","",'全库373行'!F212)</x:f>
        <x:v>19</x:v>
      </x:c>
      <x:c r="G42" s="5" t="n">
        <x:f>IF('全库373行'!G212="","",'全库373行'!G212)</x:f>
        <x:v>271.45</x:v>
      </x:c>
      <x:c r="H42" s="5" t="n">
        <x:f>IF('全库373行'!H212="","",'全库373行'!H212)</x:f>
        <x:v>99.18</x:v>
      </x:c>
      <x:c r="I42" s="7" t="n">
        <x:f>IF('全库373行'!I212="","",'全库373行'!I212)</x:f>
        <x:v>44.35457516339869</x:v>
      </x:c>
      <x:c r="J42" s="7" t="n">
        <x:f>IF('全库373行'!J212="","",'全库373行'!J212)</x:f>
        <x:v>16.205882352941178</x:v>
      </x:c>
      <x:c r="K42" s="1" t="str">
        <x:f>IF('全库373行'!K212="","",'全库373行'!K212)</x:f>
        <x:v>可计算</x:v>
      </x:c>
      <x:c r="L42" s="1" t="str">
        <x:f>IF(NOT(ISNUMBER(J42)),"待定",IF(J42&gt;50,"骨架成分",IF(J42&gt;=2,"重要成分","两档成分")))</x:f>
        <x:v>重要成分</x:v>
      </x:c>
      <x:c r="M42" s="1" t="n">
        <x:f>IF(NOT(ISNUMBER(J42)),"",IF(J42&gt;=2,3,2))</x:f>
        <x:v>3</x:v>
      </x:c>
      <x:c r="N42" s="1" t="str">
        <x:f>IF(NOT(ISNUMBER(J42)),"缺少可算OAV",IF(J42&gt;=2,"最大值、中位值、低值待校准","最大值、中位值"))</x:f>
        <x:v>最大值、中位值、低值待校准</x:v>
      </x:c>
      <x:c r="O42" s="1" t="str">
        <x:f>IF(NOT(ISNUMBER(J42)),"待定",IF(J42&lt;2,"不设第三档",IF(J42&lt;=5,"中位OAV≤5；低档须低于中位浓度","低档需预试确认与中档可区分")))</x:f>
        <x:v>低档需预试确认与中档可区分</x:v>
      </x:c>
    </x:row>
    <x:row r="43" ht="23" customHeight="1">
      <x:c r="A43" s="1" t="n">
        <x:f>IF('全库373行'!A214="","",'全库373行'!A214)</x:f>
        <x:v>209</x:v>
      </x:c>
      <x:c r="B43" s="1" t="str">
        <x:f>IF('全库373行'!B214="","",'全库373行'!B214)</x:f>
        <x:v>二甲基三硫醚</x:v>
      </x:c>
      <x:c r="C43" s="1" t="str">
        <x:f>IF('全库373行'!C214="","",'全库373行'!C214)</x:f>
        <x:v>3658-80-8</x:v>
      </x:c>
      <x:c r="D43" s="1" t="str">
        <x:f>IF('全库373行'!D214="","",'全库373行'!D214)</x:f>
        <x:v>Dimethyl Trisulfide</x:v>
      </x:c>
      <x:c r="E43" s="5" t="n">
        <x:f>IF('全库373行'!E214="","",'全库373行'!E214)</x:f>
        <x:v>0.36</x:v>
      </x:c>
      <x:c r="F43" s="6" t="n">
        <x:f>IF('全库373行'!F214="","",'全库373行'!F214)</x:f>
        <x:v>28</x:v>
      </x:c>
      <x:c r="G43" s="5" t="n">
        <x:f>IF('全库373行'!G214="","",'全库373行'!G214)</x:f>
        <x:v>4201.44</x:v>
      </x:c>
      <x:c r="H43" s="5" t="n">
        <x:f>IF('全库373行'!H214="","",'全库373行'!H214)</x:f>
        <x:v>623.375</x:v>
      </x:c>
      <x:c r="I43" s="7" t="n">
        <x:f>IF('全库373行'!I214="","",'全库373行'!I214)</x:f>
        <x:v>11670.666666666666</x:v>
      </x:c>
      <x:c r="J43" s="7" t="n">
        <x:f>IF('全库373行'!J214="","",'全库373行'!J214)</x:f>
        <x:v>1731.5972222222224</x:v>
      </x:c>
      <x:c r="K43" s="1" t="str">
        <x:f>IF('全库373行'!K214="","",'全库373行'!K214)</x:f>
        <x:v>可计算</x:v>
      </x:c>
      <x:c r="L43" s="1" t="str">
        <x:f>IF(NOT(ISNUMBER(J43)),"待定",IF(J43&gt;50,"骨架成分",IF(J43&gt;=2,"重要成分","两档成分")))</x:f>
        <x:v>骨架成分</x:v>
      </x:c>
      <x:c r="M43" s="1" t="n">
        <x:f>IF(NOT(ISNUMBER(J43)),"",IF(J43&gt;=2,3,2))</x:f>
        <x:v>3</x:v>
      </x:c>
      <x:c r="N43" s="1" t="str">
        <x:f>IF(NOT(ISNUMBER(J43)),"缺少可算OAV",IF(J43&gt;=2,"最大值、中位值、低值待校准","最大值、中位值"))</x:f>
        <x:v>最大值、中位值、低值待校准</x:v>
      </x:c>
      <x:c r="O43" s="1" t="str">
        <x:f>IF(NOT(ISNUMBER(J43)),"待定",IF(J43&lt;2,"不设第三档",IF(J43&lt;=5,"中位OAV≤5；低档须低于中位浓度","低档需预试确认与中档可区分")))</x:f>
        <x:v>低档需预试确认与中档可区分</x:v>
      </x:c>
    </x:row>
    <x:row r="44" ht="23" customHeight="1">
      <x:c r="A44" s="1" t="n">
        <x:f>IF('全库373行'!A232="","",'全库373行'!A232)</x:f>
        <x:v>227</x:v>
      </x:c>
      <x:c r="B44" s="1" t="str">
        <x:f>IF('全库373行'!B232="","",'全库373行'!B232)</x:f>
        <x:v>己酸己酯</x:v>
      </x:c>
      <x:c r="C44" s="1" t="str">
        <x:f>IF('全库373行'!C232="","",'全库373行'!C232)</x:f>
        <x:v>6378-65-0</x:v>
      </x:c>
      <x:c r="D44" s="1" t="str">
        <x:f>IF('全库373行'!D232="","",'全库373行'!D232)</x:f>
        <x:v>Hexyl hexanoate</x:v>
      </x:c>
      <x:c r="E44" s="5" t="n">
        <x:f>IF('全库373行'!E232="","",'全库373行'!E232)</x:f>
        <x:v>1891</x:v>
      </x:c>
      <x:c r="F44" s="6" t="n">
        <x:f>IF('全库373行'!F232="","",'全库373行'!F232)</x:f>
        <x:v>86</x:v>
      </x:c>
      <x:c r="G44" s="5" t="n">
        <x:f>IF('全库373行'!G232="","",'全库373行'!G232)</x:f>
        <x:v>193759</x:v>
      </x:c>
      <x:c r="H44" s="5" t="n">
        <x:f>IF('全库373行'!H232="","",'全库373行'!H232)</x:f>
        <x:v>6441.62</x:v>
      </x:c>
      <x:c r="I44" s="7" t="n">
        <x:f>IF('全库373行'!I232="","",'全库373行'!I232)</x:f>
        <x:v>102.46377578001058</x:v>
      </x:c>
      <x:c r="J44" s="7" t="n">
        <x:f>IF('全库373行'!J232="","",'全库373行'!J232)</x:f>
        <x:v>3.4064621893178213</x:v>
      </x:c>
      <x:c r="K44" s="1" t="str">
        <x:f>IF('全库373行'!K232="","",'全库373行'!K232)</x:f>
        <x:v>可计算</x:v>
      </x:c>
      <x:c r="L44" s="1" t="str">
        <x:f>IF(NOT(ISNUMBER(J44)),"待定",IF(J44&gt;50,"骨架成分",IF(J44&gt;=2,"重要成分","两档成分")))</x:f>
        <x:v>重要成分</x:v>
      </x:c>
      <x:c r="M44" s="1" t="n">
        <x:f>IF(NOT(ISNUMBER(J44)),"",IF(J44&gt;=2,3,2))</x:f>
        <x:v>3</x:v>
      </x:c>
      <x:c r="N44" s="1" t="str">
        <x:f>IF(NOT(ISNUMBER(J44)),"缺少可算OAV",IF(J44&gt;=2,"最大值、中位值、低值待校准","最大值、中位值"))</x:f>
        <x:v>最大值、中位值、低值待校准</x:v>
      </x:c>
      <x:c r="O44" s="1" t="str">
        <x:f>IF(NOT(ISNUMBER(J44)),"待定",IF(J44&lt;2,"不设第三档",IF(J44&lt;=5,"中位OAV≤5；低档须低于中位浓度","低档需预试确认与中档可区分")))</x:f>
        <x:v>中位OAV≤5；低档须低于中位浓度</x:v>
      </x:c>
    </x:row>
    <x:row r="45" ht="23" customHeight="1">
      <x:c r="A45" s="1" t="n">
        <x:f>IF('全库373行'!A237="","",'全库373行'!A237)</x:f>
        <x:v>232</x:v>
      </x:c>
      <x:c r="B45" s="1" t="str">
        <x:f>IF('全库373行'!B237="","",'全库373行'!B237)</x:f>
        <x:v>2-甲基丁酸乙酯</x:v>
      </x:c>
      <x:c r="C45" s="1" t="str">
        <x:f>IF('全库373行'!C237="","",'全库373行'!C237)</x:f>
        <x:v>7452-79-1</x:v>
      </x:c>
      <x:c r="D45" s="1" t="str">
        <x:f>IF('全库373行'!D237="","",'全库373行'!D237)</x:f>
        <x:v>Ethyl 2-methylbutanoate</x:v>
      </x:c>
      <x:c r="E45" s="5" t="n">
        <x:f>IF('全库373行'!E237="","",'全库373行'!E237)</x:f>
        <x:v>18</x:v>
      </x:c>
      <x:c r="F45" s="6" t="n">
        <x:f>IF('全库373行'!F237="","",'全库373行'!F237)</x:f>
        <x:v>35</x:v>
      </x:c>
      <x:c r="G45" s="5" t="n">
        <x:f>IF('全库373行'!G237="","",'全库373行'!G237)</x:f>
        <x:v>1611</x:v>
      </x:c>
      <x:c r="H45" s="5" t="n">
        <x:f>IF('全库373行'!H237="","",'全库373行'!H237)</x:f>
        <x:v>464</x:v>
      </x:c>
      <x:c r="I45" s="7" t="n">
        <x:f>IF('全库373行'!I237="","",'全库373行'!I237)</x:f>
        <x:v>89.5</x:v>
      </x:c>
      <x:c r="J45" s="7" t="n">
        <x:f>IF('全库373行'!J237="","",'全库373行'!J237)</x:f>
        <x:v>25.77777777777778</x:v>
      </x:c>
      <x:c r="K45" s="1" t="str">
        <x:f>IF('全库373行'!K237="","",'全库373行'!K237)</x:f>
        <x:v>可计算</x:v>
      </x:c>
      <x:c r="L45" s="1" t="str">
        <x:f>IF(NOT(ISNUMBER(J45)),"待定",IF(J45&gt;50,"骨架成分",IF(J45&gt;=2,"重要成分","两档成分")))</x:f>
        <x:v>重要成分</x:v>
      </x:c>
      <x:c r="M45" s="1" t="n">
        <x:f>IF(NOT(ISNUMBER(J45)),"",IF(J45&gt;=2,3,2))</x:f>
        <x:v>3</x:v>
      </x:c>
      <x:c r="N45" s="1" t="str">
        <x:f>IF(NOT(ISNUMBER(J45)),"缺少可算OAV",IF(J45&gt;=2,"最大值、中位值、低值待校准","最大值、中位值"))</x:f>
        <x:v>最大值、中位值、低值待校准</x:v>
      </x:c>
      <x:c r="O45" s="1" t="str">
        <x:f>IF(NOT(ISNUMBER(J45)),"待定",IF(J45&lt;2,"不设第三档",IF(J45&lt;=5,"中位OAV≤5；低档须低于中位浓度","低档需预试确认与中档可区分")))</x:f>
        <x:v>低档需预试确认与中档可区分</x:v>
      </x:c>
    </x:row>
    <x:row r="46" ht="23" customHeight="1">
      <x:c r="A46" s="1" t="n">
        <x:f>IF('全库373行'!A260="","",'全库373行'!A260)</x:f>
        <x:v>255</x:v>
      </x:c>
      <x:c r="B46" s="1" t="str">
        <x:f>IF('全库373行'!B260="","",'全库373行'!B260)</x:f>
        <x:v>β-大马酮</x:v>
      </x:c>
      <x:c r="C46" s="1" t="str">
        <x:f>IF('全库373行'!C260="","",'全库373行'!C260)</x:f>
        <x:v>23726-93-4</x:v>
      </x:c>
      <x:c r="D46" s="1" t="str">
        <x:f>IF('全库373行'!D260="","",'全库373行'!D260)</x:f>
        <x:v>β-damascenone</x:v>
      </x:c>
      <x:c r="E46" s="5" t="n">
        <x:f>IF('全库373行'!E260="","",'全库373行'!E260)</x:f>
        <x:v>0.12</x:v>
      </x:c>
      <x:c r="F46" s="6" t="n">
        <x:f>IF('全库373行'!F260="","",'全库373行'!F260)</x:f>
        <x:v>26</x:v>
      </x:c>
      <x:c r="G46" s="5" t="n">
        <x:f>IF('全库373行'!G260="","",'全库373行'!G260)</x:f>
        <x:v>60.76</x:v>
      </x:c>
      <x:c r="H46" s="5" t="n">
        <x:f>IF('全库373行'!H260="","",'全库373行'!H260)</x:f>
        <x:v>5.42</x:v>
      </x:c>
      <x:c r="I46" s="7" t="n">
        <x:f>IF('全库373行'!I260="","",'全库373行'!I260)</x:f>
        <x:v>506.3333333333333</x:v>
      </x:c>
      <x:c r="J46" s="7" t="n">
        <x:f>IF('全库373行'!J260="","",'全库373行'!J260)</x:f>
        <x:v>45.166666666666664</x:v>
      </x:c>
      <x:c r="K46" s="1" t="str">
        <x:f>IF('全库373行'!K260="","",'全库373行'!K260)</x:f>
        <x:v>可计算</x:v>
      </x:c>
      <x:c r="L46" s="1" t="str">
        <x:f>IF(NOT(ISNUMBER(J46)),"待定",IF(J46&gt;50,"骨架成分",IF(J46&gt;=2,"重要成分","两档成分")))</x:f>
        <x:v>重要成分</x:v>
      </x:c>
      <x:c r="M46" s="1" t="n">
        <x:f>IF(NOT(ISNUMBER(J46)),"",IF(J46&gt;=2,3,2))</x:f>
        <x:v>3</x:v>
      </x:c>
      <x:c r="N46" s="1" t="str">
        <x:f>IF(NOT(ISNUMBER(J46)),"缺少可算OAV",IF(J46&gt;=2,"最大值、中位值、低值待校准","最大值、中位值"))</x:f>
        <x:v>最大值、中位值、低值待校准</x:v>
      </x:c>
      <x:c r="O46" s="1" t="str">
        <x:f>IF(NOT(ISNUMBER(J46)),"待定",IF(J46&lt;2,"不设第三档",IF(J46&lt;=5,"中位OAV≤5；低档须低于中位浓度","低档需预试确认与中档可区分")))</x:f>
        <x:v>低档需预试确认与中档可区分</x:v>
      </x:c>
    </x:row>
  </x:sheetData>
  <x:pageMargins left="0.7" right="0.7" top="0.75" bottom="0.75" header="0.3" footer="0.3"/>
  <x:tableParts count="1">
    <x:tablePart xmlns:r="http://schemas.openxmlformats.org/officeDocument/2006/relationships" r:id="R03fd49b744bb47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4" hidden="0" customWidth="1"/>
    <x:col min="13" max="13" width="12" hidden="0" customWidth="1"/>
    <x:col min="14" max="14" width="36" hidden="0" customWidth="1"/>
    <x:col min="15" max="15" width="48" hidden="0" customWidth="1"/>
  </x:cols>
  <x:sheetData>
    <x:row r="2">
      <x:c r="A2" t="str">
        <x:v>全部化合物最大值、中位值及OAV</x:v>
      </x:c>
    </x:row>
    <x:row r="3">
      <x:c r="A3" t="str">
        <x:v>373行；152行匹配阈值。OAV=浓度÷周表阈值；无阈值或无浓度时留空。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英文名称</x:v>
      </x:c>
      <x:c r="E5" s="4" t="str">
        <x:v>周表阈值(μg/L)</x:v>
      </x:c>
      <x:c r="F5" s="4" t="str">
        <x:v>有效浓度数</x:v>
      </x:c>
      <x:c r="G5" s="4" t="str">
        <x:v>最大浓度(μg/L)</x:v>
      </x:c>
      <x:c r="H5" s="4" t="str">
        <x:v>中位浓度(μg/L)</x:v>
      </x:c>
      <x:c r="I5" s="4" t="str">
        <x:v>最大浓度OAV</x:v>
      </x:c>
      <x:c r="J5" s="4" t="str">
        <x:v>中位浓度OAV</x:v>
      </x:c>
      <x:c r="K5" s="4" t="str">
        <x:v>计算状态</x:v>
      </x:c>
      <x:c r="L5" s="10" t="str">
        <x:v>实验分层（用户规则）</x:v>
      </x:c>
      <x:c r="M5" s="10" t="str">
        <x:v>浓度档数</x:v>
      </x:c>
      <x:c r="N5" s="10" t="str">
        <x:v>采用的浓度水平</x:v>
      </x:c>
      <x:c r="O5" s="10" t="str">
        <x:v>低档设置检查</x:v>
      </x:c>
    </x:row>
    <x:row r="6" ht="23" customHeight="1">
      <x:c r="A6" s="1" t="n">
        <x:f>'浓度与阈值来源'!A6</x:f>
        <x:v>1</x:v>
      </x:c>
      <x:c r="B6" s="1" t="str">
        <x:f>IF('浓度与阈值来源'!B6="","",'浓度与阈值来源'!B6)</x:f>
        <x:v>乳酸a</x:v>
      </x:c>
      <x:c r="C6" s="1" t="str">
        <x:f>IF('浓度与阈值来源'!C6="","",'浓度与阈值来源'!C6)</x:f>
        <x:v>50-21-5</x:v>
      </x:c>
      <x:c r="D6" s="1"/>
      <x:c r="E6" s="5" t="str">
        <x:f>IF('浓度与阈值来源'!D6&gt;0,'浓度与阈值来源'!D6,"")</x:f>
      </x:c>
      <x:c r="F6" s="6" t="n">
        <x:f>COUNT('浓度与阈值来源'!E6:DM6)</x:f>
        <x:v>14</x:v>
      </x:c>
      <x:c r="G6" s="5" t="n">
        <x:f>IF(F6=0,"",MAX('浓度与阈值来源'!E6:DM6))</x:f>
        <x:v>1186</x:v>
      </x:c>
      <x:c r="H6" s="5" t="n">
        <x:f>IF(F6=0,"",MEDIAN('浓度与阈值来源'!E6:DM6))</x:f>
        <x:v>641.31</x:v>
      </x:c>
      <x:c r="I6" s="7" t="str">
        <x:f>IF(AND(ISNUMBER(E6),E6&gt;0,F6&gt;0),G6/E6,"")</x:f>
      </x:c>
      <x:c r="J6" s="7" t="str">
        <x:f>IF(AND(ISNUMBER(E6),E6&gt;0,F6&gt;0),H6/E6,"")</x:f>
      </x:c>
      <x:c r="K6" s="1" t="str">
        <x:f>IF(F6=0,"无浓度数据",IF(E6="","缺周表阈值","可计算"))</x:f>
        <x:v>缺周表阈值</x:v>
      </x:c>
      <x:c r="L6" s="1" t="str">
        <x:f>IF(NOT(ISNUMBER(J6)),"待定",IF(J6&gt;50,"骨架成分",IF(J6&gt;=2,"重要成分","两档成分")))</x:f>
        <x:v>待定</x:v>
      </x:c>
      <x:c r="M6" s="1" t="str">
        <x:f>IF(NOT(ISNUMBER(J6)),"",IF(J6&gt;=2,3,2))</x:f>
      </x:c>
      <x:c r="N6" s="1" t="str">
        <x:f>IF(NOT(ISNUMBER(J6)),"缺少可算OAV",IF(J6&gt;=2,"最大值、中位值、低值待校准","最大值、中位值"))</x:f>
        <x:v>缺少可算OAV</x:v>
      </x:c>
      <x:c r="O6" s="1" t="str">
        <x:f>IF(NOT(ISNUMBER(J6)),"待定",IF(J6&lt;2,"不设第三档",IF(J6&lt;=5,"中位OAV≤5；低档须低于中位浓度","低档需预试确认与中档可区分")))</x:f>
        <x:v>待定</x:v>
      </x:c>
    </x:row>
    <x:row r="7" ht="23" customHeight="1">
      <x:c r="A7" s="1" t="n">
        <x:f>'浓度与阈值来源'!A7</x:f>
        <x:v>2</x:v>
      </x:c>
      <x:c r="B7" s="1" t="str">
        <x:f>IF('浓度与阈值来源'!B7="","",'浓度与阈值来源'!B7)</x:f>
        <x:v>丙二醇</x:v>
      </x:c>
      <x:c r="C7" s="1" t="str">
        <x:f>IF('浓度与阈值来源'!C7="","",'浓度与阈值来源'!C7)</x:f>
        <x:v>57-55-6</x:v>
      </x:c>
      <x:c r="D7" s="1" t="str">
        <x:v>1,2-Propanediol</x:v>
      </x:c>
      <x:c r="E7" s="5" t="str">
        <x:f>IF('浓度与阈值来源'!D7&gt;0,'浓度与阈值来源'!D7,"")</x:f>
      </x:c>
      <x:c r="F7" s="6" t="n">
        <x:f>COUNT('浓度与阈值来源'!E7:DM7)</x:f>
        <x:v>8</x:v>
      </x:c>
      <x:c r="G7" s="5" t="n">
        <x:f>IF(F7=0,"",MAX('浓度与阈值来源'!E7:DM7))</x:f>
        <x:v>25330</x:v>
      </x:c>
      <x:c r="H7" s="5" t="n">
        <x:f>IF(F7=0,"",MEDIAN('浓度与阈值来源'!E7:DM7))</x:f>
        <x:v>4.995</x:v>
      </x:c>
      <x:c r="I7" s="7" t="str">
        <x:f>IF(AND(ISNUMBER(E7),E7&gt;0,F7&gt;0),G7/E7,"")</x:f>
      </x:c>
      <x:c r="J7" s="7" t="str">
        <x:f>IF(AND(ISNUMBER(E7),E7&gt;0,F7&gt;0),H7/E7,"")</x:f>
      </x:c>
      <x:c r="K7" s="1" t="str">
        <x:f>IF(F7=0,"无浓度数据",IF(E7="","缺周表阈值","可计算"))</x:f>
        <x:v>缺周表阈值</x:v>
      </x:c>
      <x:c r="L7" s="1" t="str">
        <x:f>IF(NOT(ISNUMBER(J7)),"待定",IF(J7&gt;50,"骨架成分",IF(J7&gt;=2,"重要成分","两档成分")))</x:f>
        <x:v>待定</x:v>
      </x:c>
      <x:c r="M7" s="1" t="str">
        <x:f>IF(NOT(ISNUMBER(J7)),"",IF(J7&gt;=2,3,2))</x:f>
      </x:c>
      <x:c r="N7" s="1" t="str">
        <x:f>IF(NOT(ISNUMBER(J7)),"缺少可算OAV",IF(J7&gt;=2,"最大值、中位值、低值待校准","最大值、中位值"))</x:f>
        <x:v>缺少可算OAV</x:v>
      </x:c>
      <x:c r="O7" s="1" t="str">
        <x:f>IF(NOT(ISNUMBER(J7)),"待定",IF(J7&lt;2,"不设第三档",IF(J7&lt;=5,"中位OAV≤5；低档须低于中位浓度","低档需预试确认与中档可区分")))</x:f>
        <x:v>待定</x:v>
      </x:c>
    </x:row>
    <x:row r="8" ht="23" customHeight="1">
      <x:c r="A8" s="1" t="n">
        <x:f>'浓度与阈值来源'!A8</x:f>
        <x:v>3</x:v>
      </x:c>
      <x:c r="B8" s="1" t="str">
        <x:f>IF('浓度与阈值来源'!B8="","",'浓度与阈值来源'!B8)</x:f>
        <x:v>2-苯乙醇</x:v>
      </x:c>
      <x:c r="C8" s="1" t="str">
        <x:f>IF('浓度与阈值来源'!C8="","",'浓度与阈值来源'!C8)</x:f>
        <x:v>60-12-8</x:v>
      </x:c>
      <x:c r="D8" s="1" t="str">
        <x:v>Phenethyl alcohol</x:v>
      </x:c>
      <x:c r="E8" s="5" t="n">
        <x:f>IF('浓度与阈值来源'!D8&gt;0,'浓度与阈值来源'!D8,"")</x:f>
        <x:v>28900</x:v>
      </x:c>
      <x:c r="F8" s="6" t="n">
        <x:f>COUNT('浓度与阈值来源'!E8:DM8)</x:f>
        <x:v>69</x:v>
      </x:c>
      <x:c r="G8" s="5" t="n">
        <x:f>IF(F8=0,"",MAX('浓度与阈值来源'!E8:DM8))</x:f>
        <x:v>29500</x:v>
      </x:c>
      <x:c r="H8" s="5" t="n">
        <x:f>IF(F8=0,"",MEDIAN('浓度与阈值来源'!E8:DM8))</x:f>
        <x:v>274.58</x:v>
      </x:c>
      <x:c r="I8" s="7" t="n">
        <x:f>IF(AND(ISNUMBER(E8),E8&gt;0,F8&gt;0),G8/E8,"")</x:f>
        <x:v>1.0207612456747406</x:v>
      </x:c>
      <x:c r="J8" s="7" t="n">
        <x:f>IF(AND(ISNUMBER(E8),E8&gt;0,F8&gt;0),H8/E8,"")</x:f>
        <x:v>0.009501038062283737</x:v>
      </x:c>
      <x:c r="K8" s="1" t="str">
        <x:f>IF(F8=0,"无浓度数据",IF(E8="","缺周表阈值","可计算"))</x:f>
        <x:v>可计算</x:v>
      </x:c>
      <x:c r="L8" s="1" t="str">
        <x:f>IF(NOT(ISNUMBER(J8)),"待定",IF(J8&gt;50,"骨架成分",IF(J8&gt;=2,"重要成分","两档成分")))</x:f>
        <x:v>两档成分</x:v>
      </x:c>
      <x:c r="M8" s="1" t="n">
        <x:f>IF(NOT(ISNUMBER(J8)),"",IF(J8&gt;=2,3,2))</x:f>
        <x:v>2</x:v>
      </x:c>
      <x:c r="N8" s="1" t="str">
        <x:f>IF(NOT(ISNUMBER(J8)),"缺少可算OAV",IF(J8&gt;=2,"最大值、中位值、低值待校准","最大值、中位值"))</x:f>
        <x:v>最大值、中位值</x:v>
      </x:c>
      <x:c r="O8" s="1" t="str">
        <x:f>IF(NOT(ISNUMBER(J8)),"待定",IF(J8&lt;2,"不设第三档",IF(J8&lt;=5,"中位OAV≤5；低档须低于中位浓度","低档需预试确认与中档可区分")))</x:f>
        <x:v>不设第三档</x:v>
      </x:c>
    </x:row>
    <x:row r="9" ht="23" customHeight="1">
      <x:c r="A9" s="1" t="n">
        <x:f>'浓度与阈值来源'!A9</x:f>
        <x:v>4</x:v>
      </x:c>
      <x:c r="B9" s="1" t="str">
        <x:f>IF('浓度与阈值来源'!B9="","",'浓度与阈值来源'!B9)</x:f>
      </x:c>
      <x:c r="C9" s="1" t="str">
        <x:f>IF('浓度与阈值来源'!C9="","",'浓度与阈值来源'!C9)</x:f>
        <x:v>64-18-6</x:v>
      </x:c>
      <x:c r="D9" s="1"/>
      <x:c r="E9" s="5" t="str">
        <x:f>IF('浓度与阈值来源'!D9&gt;0,'浓度与阈值来源'!D9,"")</x:f>
      </x:c>
      <x:c r="F9" s="6" t="n">
        <x:f>COUNT('浓度与阈值来源'!E9:DM9)</x:f>
        <x:v>3</x:v>
      </x:c>
      <x:c r="G9" s="5" t="n">
        <x:f>IF(F9=0,"",MAX('浓度与阈值来源'!E9:DM9))</x:f>
        <x:v>428.09</x:v>
      </x:c>
      <x:c r="H9" s="5" t="n">
        <x:f>IF(F9=0,"",MEDIAN('浓度与阈值来源'!E9:DM9))</x:f>
        <x:v>59.4</x:v>
      </x:c>
      <x:c r="I9" s="7" t="str">
        <x:f>IF(AND(ISNUMBER(E9),E9&gt;0,F9&gt;0),G9/E9,"")</x:f>
      </x:c>
      <x:c r="J9" s="7" t="str">
        <x:f>IF(AND(ISNUMBER(E9),E9&gt;0,F9&gt;0),H9/E9,"")</x:f>
      </x:c>
      <x:c r="K9" s="1" t="str">
        <x:f>IF(F9=0,"无浓度数据",IF(E9="","缺周表阈值","可计算"))</x:f>
        <x:v>缺周表阈值</x:v>
      </x:c>
      <x:c r="L9" s="1" t="str">
        <x:f>IF(NOT(ISNUMBER(J9)),"待定",IF(J9&gt;50,"骨架成分",IF(J9&gt;=2,"重要成分","两档成分")))</x:f>
        <x:v>待定</x:v>
      </x:c>
      <x:c r="M9" s="1" t="str">
        <x:f>IF(NOT(ISNUMBER(J9)),"",IF(J9&gt;=2,3,2))</x:f>
      </x:c>
      <x:c r="N9" s="1" t="str">
        <x:f>IF(NOT(ISNUMBER(J9)),"缺少可算OAV",IF(J9&gt;=2,"最大值、中位值、低值待校准","最大值、中位值"))</x:f>
        <x:v>缺少可算OAV</x:v>
      </x:c>
      <x:c r="O9" s="1" t="str">
        <x:f>IF(NOT(ISNUMBER(J9)),"待定",IF(J9&lt;2,"不设第三档",IF(J9&lt;=5,"中位OAV≤5；低档须低于中位浓度","低档需预试确认与中档可区分")))</x:f>
        <x:v>待定</x:v>
      </x:c>
    </x:row>
    <x:row r="10" ht="23" customHeight="1">
      <x:c r="A10" s="1" t="n">
        <x:f>'浓度与阈值来源'!A10</x:f>
        <x:v>5</x:v>
      </x:c>
      <x:c r="B10" s="1" t="str">
        <x:f>IF('浓度与阈值来源'!B10="","",'浓度与阈值来源'!B10)</x:f>
        <x:v>乙酸</x:v>
      </x:c>
      <x:c r="C10" s="1" t="str">
        <x:f>IF('浓度与阈值来源'!C10="","",'浓度与阈值来源'!C10)</x:f>
        <x:v>64-19-7</x:v>
      </x:c>
      <x:c r="D10" s="1" t="str">
        <x:v>Acetic acid</x:v>
      </x:c>
      <x:c r="E10" s="5" t="n">
        <x:f>IF('浓度与阈值来源'!D10&gt;0,'浓度与阈值来源'!D10,"")</x:f>
        <x:v>160000</x:v>
      </x:c>
      <x:c r="F10" s="6" t="n">
        <x:f>COUNT('浓度与阈值来源'!E10:DM10)</x:f>
        <x:v>93</x:v>
      </x:c>
      <x:c r="G10" s="5" t="n">
        <x:f>IF(F10=0,"",MAX('浓度与阈值来源'!E10:DM10))</x:f>
        <x:v>1800500</x:v>
      </x:c>
      <x:c r="H10" s="5" t="n">
        <x:f>IF(F10=0,"",MEDIAN('浓度与阈值来源'!E10:DM10))</x:f>
        <x:v>3158</x:v>
      </x:c>
      <x:c r="I10" s="7" t="n">
        <x:f>IF(AND(ISNUMBER(E10),E10&gt;0,F10&gt;0),G10/E10,"")</x:f>
        <x:v>11.253125</x:v>
      </x:c>
      <x:c r="J10" s="7" t="n">
        <x:f>IF(AND(ISNUMBER(E10),E10&gt;0,F10&gt;0),H10/E10,"")</x:f>
        <x:v>0.0197375</x:v>
      </x:c>
      <x:c r="K10" s="1" t="str">
        <x:f>IF(F10=0,"无浓度数据",IF(E10="","缺周表阈值","可计算"))</x:f>
        <x:v>可计算</x:v>
      </x:c>
      <x:c r="L10" s="1" t="str">
        <x:f>IF(NOT(ISNUMBER(J10)),"待定",IF(J10&gt;50,"骨架成分",IF(J10&gt;=2,"重要成分","两档成分")))</x:f>
        <x:v>两档成分</x:v>
      </x:c>
      <x:c r="M10" s="1" t="n">
        <x:f>IF(NOT(ISNUMBER(J10)),"",IF(J10&gt;=2,3,2))</x:f>
        <x:v>2</x:v>
      </x:c>
      <x:c r="N10" s="1" t="str">
        <x:f>IF(NOT(ISNUMBER(J10)),"缺少可算OAV",IF(J10&gt;=2,"最大值、中位值、低值待校准","最大值、中位值"))</x:f>
        <x:v>最大值、中位值</x:v>
      </x:c>
      <x:c r="O10" s="1" t="str">
        <x:f>IF(NOT(ISNUMBER(J10)),"待定",IF(J10&lt;2,"不设第三档",IF(J10&lt;=5,"中位OAV≤5；低档须低于中位浓度","低档需预试确认与中档可区分")))</x:f>
        <x:v>不设第三档</x:v>
      </x:c>
    </x:row>
    <x:row r="11" ht="23" customHeight="1">
      <x:c r="A11" s="1" t="n">
        <x:f>'浓度与阈值来源'!A11</x:f>
        <x:v>6</x:v>
      </x:c>
      <x:c r="B11" s="1" t="str">
        <x:f>IF('浓度与阈值来源'!B11="","",'浓度与阈值来源'!B11)</x:f>
      </x:c>
      <x:c r="C11" s="1" t="str">
        <x:f>IF('浓度与阈值来源'!C11="","",'浓度与阈值来源'!C11)</x:f>
        <x:v>66-13-6</x:v>
      </x:c>
      <x:c r="D11" s="1"/>
      <x:c r="E11" s="5" t="str">
        <x:f>IF('浓度与阈值来源'!D11&gt;0,'浓度与阈值来源'!D11,"")</x:f>
      </x:c>
      <x:c r="F11" s="6" t="n">
        <x:f>COUNT('浓度与阈值来源'!E11:DM11)</x:f>
        <x:v>4</x:v>
      </x:c>
      <x:c r="G11" s="5" t="n">
        <x:f>IF(F11=0,"",MAX('浓度与阈值来源'!E11:DM11))</x:f>
        <x:v>141.28</x:v>
      </x:c>
      <x:c r="H11" s="5" t="n">
        <x:f>IF(F11=0,"",MEDIAN('浓度与阈值来源'!E11:DM11))</x:f>
        <x:v>2.9949999999999997</x:v>
      </x:c>
      <x:c r="I11" s="7" t="str">
        <x:f>IF(AND(ISNUMBER(E11),E11&gt;0,F11&gt;0),G11/E11,"")</x:f>
      </x:c>
      <x:c r="J11" s="7" t="str">
        <x:f>IF(AND(ISNUMBER(E11),E11&gt;0,F11&gt;0),H11/E11,"")</x:f>
      </x:c>
      <x:c r="K11" s="1" t="str">
        <x:f>IF(F11=0,"无浓度数据",IF(E11="","缺周表阈值","可计算"))</x:f>
        <x:v>缺周表阈值</x:v>
      </x:c>
      <x:c r="L11" s="1" t="str">
        <x:f>IF(NOT(ISNUMBER(J11)),"待定",IF(J11&gt;50,"骨架成分",IF(J11&gt;=2,"重要成分","两档成分")))</x:f>
        <x:v>待定</x:v>
      </x:c>
      <x:c r="M11" s="1" t="str">
        <x:f>IF(NOT(ISNUMBER(J11)),"",IF(J11&gt;=2,3,2))</x:f>
      </x:c>
      <x:c r="N11" s="1" t="str">
        <x:f>IF(NOT(ISNUMBER(J11)),"缺少可算OAV",IF(J11&gt;=2,"最大值、中位值、低值待校准","最大值、中位值"))</x:f>
        <x:v>缺少可算OAV</x:v>
      </x:c>
      <x:c r="O11" s="1" t="str">
        <x:f>IF(NOT(ISNUMBER(J11)),"待定",IF(J11&lt;2,"不设第三档",IF(J11&lt;=5,"中位OAV≤5；低档须低于中位浓度","低档需预试确认与中档可区分")))</x:f>
        <x:v>待定</x:v>
      </x:c>
    </x:row>
    <x:row r="12" ht="23" customHeight="1">
      <x:c r="A12" s="1" t="n">
        <x:f>'浓度与阈值来源'!A12</x:f>
        <x:v>7</x:v>
      </x:c>
      <x:c r="B12" s="1" t="str">
        <x:f>IF('浓度与阈值来源'!B12="","",'浓度与阈值来源'!B12)</x:f>
        <x:v>己醛</x:v>
      </x:c>
      <x:c r="C12" s="1" t="str">
        <x:f>IF('浓度与阈值来源'!C12="","",'浓度与阈值来源'!C12)</x:f>
        <x:v>66-25-1</x:v>
      </x:c>
      <x:c r="D12" s="1" t="str">
        <x:v>Hexanal</x:v>
      </x:c>
      <x:c r="E12" s="5" t="n">
        <x:f>IF('浓度与阈值来源'!D12&gt;0,'浓度与阈值来源'!D12,"")</x:f>
        <x:v>25.5</x:v>
      </x:c>
      <x:c r="F12" s="6" t="n">
        <x:f>COUNT('浓度与阈值来源'!E12:DM12)</x:f>
        <x:v>29</x:v>
      </x:c>
      <x:c r="G12" s="5" t="n">
        <x:f>IF(F12=0,"",MAX('浓度与阈值来源'!E12:DM12))</x:f>
        <x:v>3075.94</x:v>
      </x:c>
      <x:c r="H12" s="5" t="n">
        <x:f>IF(F12=0,"",MEDIAN('浓度与阈值来源'!E12:DM12))</x:f>
        <x:v>788.69</x:v>
      </x:c>
      <x:c r="I12" s="7" t="n">
        <x:f>IF(AND(ISNUMBER(E12),E12&gt;0,F12&gt;0),G12/E12,"")</x:f>
        <x:v>120.62509803921569</x:v>
      </x:c>
      <x:c r="J12" s="7" t="n">
        <x:f>IF(AND(ISNUMBER(E12),E12&gt;0,F12&gt;0),H12/E12,"")</x:f>
        <x:v>30.929019607843138</x:v>
      </x:c>
      <x:c r="K12" s="1" t="str">
        <x:f>IF(F12=0,"无浓度数据",IF(E12="","缺周表阈值","可计算"))</x:f>
        <x:v>可计算</x:v>
      </x:c>
      <x:c r="L12" s="1" t="str">
        <x:f>IF(NOT(ISNUMBER(J12)),"待定",IF(J12&gt;50,"骨架成分",IF(J12&gt;=2,"重要成分","两档成分")))</x:f>
        <x:v>重要成分</x:v>
      </x:c>
      <x:c r="M12" s="1" t="n">
        <x:f>IF(NOT(ISNUMBER(J12)),"",IF(J12&gt;=2,3,2))</x:f>
        <x:v>3</x:v>
      </x:c>
      <x:c r="N12" s="1" t="str">
        <x:f>IF(NOT(ISNUMBER(J12)),"缺少可算OAV",IF(J12&gt;=2,"最大值、中位值、低值待校准","最大值、中位值"))</x:f>
        <x:v>最大值、中位值、低值待校准</x:v>
      </x:c>
      <x:c r="O12" s="1" t="str">
        <x:f>IF(NOT(ISNUMBER(J12)),"待定",IF(J12&lt;2,"不设第三档",IF(J12&lt;=5,"中位OAV≤5；低档须低于中位浓度","低档需预试确认与中档可区分")))</x:f>
        <x:v>低档需预试确认与中档可区分</x:v>
      </x:c>
    </x:row>
    <x:row r="13" ht="23" customHeight="1">
      <x:c r="A13" s="1" t="n">
        <x:f>'浓度与阈值来源'!A13</x:f>
        <x:v>8</x:v>
      </x:c>
      <x:c r="B13" s="1" t="str">
        <x:f>IF('浓度与阈值来源'!B13="","",'浓度与阈值来源'!B13)</x:f>
        <x:v>甲醇</x:v>
      </x:c>
      <x:c r="C13" s="1" t="str">
        <x:f>IF('浓度与阈值来源'!C13="","",'浓度与阈值来源'!C13)</x:f>
        <x:v>67-56-1</x:v>
      </x:c>
      <x:c r="D13" s="1" t="str">
        <x:v>Methanol</x:v>
      </x:c>
      <x:c r="E13" s="5" t="str">
        <x:f>IF('浓度与阈值来源'!D13&gt;0,'浓度与阈值来源'!D13,"")</x:f>
      </x:c>
      <x:c r="F13" s="6" t="n">
        <x:f>COUNT('浓度与阈值来源'!E13:DM13)</x:f>
        <x:v>15</x:v>
      </x:c>
      <x:c r="G13" s="5" t="n">
        <x:f>IF(F13=0,"",MAX('浓度与阈值来源'!E13:DM13))</x:f>
        <x:v>350900</x:v>
      </x:c>
      <x:c r="H13" s="5" t="n">
        <x:f>IF(F13=0,"",MEDIAN('浓度与阈值来源'!E13:DM13))</x:f>
        <x:v>83700</x:v>
      </x:c>
      <x:c r="I13" s="7" t="str">
        <x:f>IF(AND(ISNUMBER(E13),E13&gt;0,F13&gt;0),G13/E13,"")</x:f>
      </x:c>
      <x:c r="J13" s="7" t="str">
        <x:f>IF(AND(ISNUMBER(E13),E13&gt;0,F13&gt;0),H13/E13,"")</x:f>
      </x:c>
      <x:c r="K13" s="1" t="str">
        <x:f>IF(F13=0,"无浓度数据",IF(E13="","缺周表阈值","可计算"))</x:f>
        <x:v>缺周表阈值</x:v>
      </x:c>
      <x:c r="L13" s="1" t="str">
        <x:f>IF(NOT(ISNUMBER(J13)),"待定",IF(J13&gt;50,"骨架成分",IF(J13&gt;=2,"重要成分","两档成分")))</x:f>
        <x:v>待定</x:v>
      </x:c>
      <x:c r="M13" s="1" t="str">
        <x:f>IF(NOT(ISNUMBER(J13)),"",IF(J13&gt;=2,3,2))</x:f>
      </x:c>
      <x:c r="N13" s="1" t="str">
        <x:f>IF(NOT(ISNUMBER(J13)),"缺少可算OAV",IF(J13&gt;=2,"最大值、中位值、低值待校准","最大值、中位值"))</x:f>
        <x:v>缺少可算OAV</x:v>
      </x:c>
      <x:c r="O13" s="1" t="str">
        <x:f>IF(NOT(ISNUMBER(J13)),"待定",IF(J13&lt;2,"不设第三档",IF(J13&lt;=5,"中位OAV≤5；低档须低于中位浓度","低档需预试确认与中档可区分")))</x:f>
        <x:v>待定</x:v>
      </x:c>
    </x:row>
    <x:row r="14" ht="23" customHeight="1">
      <x:c r="A14" s="1" t="n">
        <x:f>'浓度与阈值来源'!A14</x:f>
        <x:v>9</x:v>
      </x:c>
      <x:c r="B14" s="1" t="str">
        <x:f>IF('浓度与阈值来源'!B14="","",'浓度与阈值来源'!B14)</x:f>
        <x:v>丙酮</x:v>
      </x:c>
      <x:c r="C14" s="1" t="str">
        <x:f>IF('浓度与阈值来源'!C14="","",'浓度与阈值来源'!C14)</x:f>
        <x:v>67-64-1</x:v>
      </x:c>
      <x:c r="D14" s="1"/>
      <x:c r="E14" s="5" t="str">
        <x:f>IF('浓度与阈值来源'!D14&gt;0,'浓度与阈值来源'!D14,"")</x:f>
      </x:c>
      <x:c r="F14" s="6" t="n">
        <x:f>COUNT('浓度与阈值来源'!E14:DM14)</x:f>
        <x:v>10</x:v>
      </x:c>
      <x:c r="G14" s="5" t="n">
        <x:f>IF(F14=0,"",MAX('浓度与阈值来源'!E14:DM14))</x:f>
        <x:v>83600</x:v>
      </x:c>
      <x:c r="H14" s="5" t="n">
        <x:f>IF(F14=0,"",MEDIAN('浓度与阈值来源'!E14:DM14))</x:f>
        <x:v>363.36</x:v>
      </x:c>
      <x:c r="I14" s="7" t="str">
        <x:f>IF(AND(ISNUMBER(E14),E14&gt;0,F14&gt;0),G14/E14,"")</x:f>
      </x:c>
      <x:c r="J14" s="7" t="str">
        <x:f>IF(AND(ISNUMBER(E14),E14&gt;0,F14&gt;0),H14/E14,"")</x:f>
      </x:c>
      <x:c r="K14" s="1" t="str">
        <x:f>IF(F14=0,"无浓度数据",IF(E14="","缺周表阈值","可计算"))</x:f>
        <x:v>缺周表阈值</x:v>
      </x:c>
      <x:c r="L14" s="1" t="str">
        <x:f>IF(NOT(ISNUMBER(J14)),"待定",IF(J14&gt;50,"骨架成分",IF(J14&gt;=2,"重要成分","两档成分")))</x:f>
        <x:v>待定</x:v>
      </x:c>
      <x:c r="M14" s="1" t="str">
        <x:f>IF(NOT(ISNUMBER(J14)),"",IF(J14&gt;=2,3,2))</x:f>
      </x:c>
      <x:c r="N14" s="1" t="str">
        <x:f>IF(NOT(ISNUMBER(J14)),"缺少可算OAV",IF(J14&gt;=2,"最大值、中位值、低值待校准","最大值、中位值"))</x:f>
        <x:v>缺少可算OAV</x:v>
      </x:c>
      <x:c r="O14" s="1" t="str">
        <x:f>IF(NOT(ISNUMBER(J14)),"待定",IF(J14&lt;2,"不设第三档",IF(J14&lt;=5,"中位OAV≤5；低档须低于中位浓度","低档需预试确认与中档可区分")))</x:f>
        <x:v>待定</x:v>
      </x:c>
    </x:row>
    <x:row r="15" ht="23" customHeight="1">
      <x:c r="A15" s="1" t="n">
        <x:f>'浓度与阈值来源'!A15</x:f>
        <x:v>10</x:v>
      </x:c>
      <x:c r="B15" s="1" t="str">
        <x:f>IF('浓度与阈值来源'!B15="","",'浓度与阈值来源'!B15)</x:f>
        <x:v>1-丙醇</x:v>
      </x:c>
      <x:c r="C15" s="1" t="str">
        <x:f>IF('浓度与阈值来源'!C15="","",'浓度与阈值来源'!C15)</x:f>
        <x:v>71-23-8</x:v>
      </x:c>
      <x:c r="D15" s="1" t="str">
        <x:v>1-propanol</x:v>
      </x:c>
      <x:c r="E15" s="5" t="n">
        <x:f>IF('浓度与阈值来源'!D15&gt;0,'浓度与阈值来源'!D15,"")</x:f>
        <x:v>109000</x:v>
      </x:c>
      <x:c r="F15" s="6" t="n">
        <x:f>COUNT('浓度与阈值来源'!E15:DM15)</x:f>
        <x:v>58</x:v>
      </x:c>
      <x:c r="G15" s="5" t="n">
        <x:f>IF(F15=0,"",MAX('浓度与阈值来源'!E15:DM15))</x:f>
        <x:v>471100</x:v>
      </x:c>
      <x:c r="H15" s="5" t="n">
        <x:f>IF(F15=0,"",MEDIAN('浓度与阈值来源'!E15:DM15))</x:f>
        <x:v>149.93</x:v>
      </x:c>
      <x:c r="I15" s="7" t="n">
        <x:f>IF(AND(ISNUMBER(E15),E15&gt;0,F15&gt;0),G15/E15,"")</x:f>
        <x:v>4.322018348623853</x:v>
      </x:c>
      <x:c r="J15" s="7" t="n">
        <x:f>IF(AND(ISNUMBER(E15),E15&gt;0,F15&gt;0),H15/E15,"")</x:f>
        <x:v>0.0013755045871559634</x:v>
      </x:c>
      <x:c r="K15" s="1" t="str">
        <x:f>IF(F15=0,"无浓度数据",IF(E15="","缺周表阈值","可计算"))</x:f>
        <x:v>可计算</x:v>
      </x:c>
      <x:c r="L15" s="1" t="str">
        <x:f>IF(NOT(ISNUMBER(J15)),"待定",IF(J15&gt;50,"骨架成分",IF(J15&gt;=2,"重要成分","两档成分")))</x:f>
        <x:v>两档成分</x:v>
      </x:c>
      <x:c r="M15" s="1" t="n">
        <x:f>IF(NOT(ISNUMBER(J15)),"",IF(J15&gt;=2,3,2))</x:f>
        <x:v>2</x:v>
      </x:c>
      <x:c r="N15" s="1" t="str">
        <x:f>IF(NOT(ISNUMBER(J15)),"缺少可算OAV",IF(J15&gt;=2,"最大值、中位值、低值待校准","最大值、中位值"))</x:f>
        <x:v>最大值、中位值</x:v>
      </x:c>
      <x:c r="O15" s="1" t="str">
        <x:f>IF(NOT(ISNUMBER(J15)),"待定",IF(J15&lt;2,"不设第三档",IF(J15&lt;=5,"中位OAV≤5；低档须低于中位浓度","低档需预试确认与中档可区分")))</x:f>
        <x:v>不设第三档</x:v>
      </x:c>
    </x:row>
    <x:row r="16" ht="23" customHeight="1">
      <x:c r="A16" s="1" t="n">
        <x:f>'浓度与阈值来源'!A16</x:f>
        <x:v>11</x:v>
      </x:c>
      <x:c r="B16" s="1" t="str">
        <x:f>IF('浓度与阈值来源'!B16="","",'浓度与阈值来源'!B16)</x:f>
        <x:v>1-丁醇</x:v>
      </x:c>
      <x:c r="C16" s="1" t="str">
        <x:f>IF('浓度与阈值来源'!C16="","",'浓度与阈值来源'!C16)</x:f>
        <x:v>71-36-3</x:v>
      </x:c>
      <x:c r="D16" s="1" t="str">
        <x:v>1-Butanol</x:v>
      </x:c>
      <x:c r="E16" s="5" t="n">
        <x:f>IF('浓度与阈值来源'!D16&gt;0,'浓度与阈值来源'!D16,"")</x:f>
        <x:v>2733</x:v>
      </x:c>
      <x:c r="F16" s="6" t="n">
        <x:f>COUNT('浓度与阈值来源'!E16:DM16)</x:f>
        <x:v>92</x:v>
      </x:c>
      <x:c r="G16" s="5" t="n">
        <x:f>IF(F16=0,"",MAX('浓度与阈值来源'!E16:DM16))</x:f>
        <x:v>1038900</x:v>
      </x:c>
      <x:c r="H16" s="5" t="n">
        <x:f>IF(F16=0,"",MEDIAN('浓度与阈值来源'!E16:DM16))</x:f>
        <x:v>10974.445</x:v>
      </x:c>
      <x:c r="I16" s="7" t="n">
        <x:f>IF(AND(ISNUMBER(E16),E16&gt;0,F16&gt;0),G16/E16,"")</x:f>
        <x:v>380.1317233809001</x:v>
      </x:c>
      <x:c r="J16" s="7" t="n">
        <x:f>IF(AND(ISNUMBER(E16),E16&gt;0,F16&gt;0),H16/E16,"")</x:f>
        <x:v>4.015530552506403</x:v>
      </x:c>
      <x:c r="K16" s="1" t="str">
        <x:f>IF(F16=0,"无浓度数据",IF(E16="","缺周表阈值","可计算"))</x:f>
        <x:v>可计算</x:v>
      </x:c>
      <x:c r="L16" s="1" t="str">
        <x:f>IF(NOT(ISNUMBER(J16)),"待定",IF(J16&gt;50,"骨架成分",IF(J16&gt;=2,"重要成分","两档成分")))</x:f>
        <x:v>重要成分</x:v>
      </x:c>
      <x:c r="M16" s="1" t="n">
        <x:f>IF(NOT(ISNUMBER(J16)),"",IF(J16&gt;=2,3,2))</x:f>
        <x:v>3</x:v>
      </x:c>
      <x:c r="N16" s="1" t="str">
        <x:f>IF(NOT(ISNUMBER(J16)),"缺少可算OAV",IF(J16&gt;=2,"最大值、中位值、低值待校准","最大值、中位值"))</x:f>
        <x:v>最大值、中位值、低值待校准</x:v>
      </x:c>
      <x:c r="O16" s="1" t="str">
        <x:f>IF(NOT(ISNUMBER(J16)),"待定",IF(J16&lt;2,"不设第三档",IF(J16&lt;=5,"中位OAV≤5；低档须低于中位浓度","低档需预试确认与中档可区分")))</x:f>
        <x:v>中位OAV≤5；低档须低于中位浓度</x:v>
      </x:c>
    </x:row>
    <x:row r="17" ht="23" customHeight="1">
      <x:c r="A17" s="1" t="n">
        <x:f>'浓度与阈值来源'!A17</x:f>
        <x:v>12</x:v>
      </x:c>
      <x:c r="B17" s="1" t="str">
        <x:f>IF('浓度与阈值来源'!B17="","",'浓度与阈值来源'!B17)</x:f>
        <x:v>正戊醇</x:v>
      </x:c>
      <x:c r="C17" s="1" t="str">
        <x:f>IF('浓度与阈值来源'!C17="","",'浓度与阈值来源'!C17)</x:f>
        <x:v>71-41-0</x:v>
      </x:c>
      <x:c r="D17" s="1" t="str">
        <x:v>1-Pentanol</x:v>
      </x:c>
      <x:c r="E17" s="5" t="n">
        <x:f>IF('浓度与阈值来源'!D17&gt;0,'浓度与阈值来源'!D17,"")</x:f>
        <x:v>37400</x:v>
      </x:c>
      <x:c r="F17" s="6" t="n">
        <x:f>COUNT('浓度与阈值来源'!E17:DM17)</x:f>
        <x:v>60</x:v>
      </x:c>
      <x:c r="G17" s="5" t="n">
        <x:f>IF(F17=0,"",MAX('浓度与阈值来源'!E17:DM17))</x:f>
        <x:v>37600</x:v>
      </x:c>
      <x:c r="H17" s="5" t="n">
        <x:f>IF(F17=0,"",MEDIAN('浓度与阈值来源'!E17:DM17))</x:f>
        <x:v>226.505</x:v>
      </x:c>
      <x:c r="I17" s="7" t="n">
        <x:f>IF(AND(ISNUMBER(E17),E17&gt;0,F17&gt;0),G17/E17,"")</x:f>
        <x:v>1.0053475935828877</x:v>
      </x:c>
      <x:c r="J17" s="7" t="n">
        <x:f>IF(AND(ISNUMBER(E17),E17&gt;0,F17&gt;0),H17/E17,"")</x:f>
        <x:v>0.006056283422459893</x:v>
      </x:c>
      <x:c r="K17" s="1" t="str">
        <x:f>IF(F17=0,"无浓度数据",IF(E17="","缺周表阈值","可计算"))</x:f>
        <x:v>可计算</x:v>
      </x:c>
      <x:c r="L17" s="1" t="str">
        <x:f>IF(NOT(ISNUMBER(J17)),"待定",IF(J17&gt;50,"骨架成分",IF(J17&gt;=2,"重要成分","两档成分")))</x:f>
        <x:v>两档成分</x:v>
      </x:c>
      <x:c r="M17" s="1" t="n">
        <x:f>IF(NOT(ISNUMBER(J17)),"",IF(J17&gt;=2,3,2))</x:f>
        <x:v>2</x:v>
      </x:c>
      <x:c r="N17" s="1" t="str">
        <x:f>IF(NOT(ISNUMBER(J17)),"缺少可算OAV",IF(J17&gt;=2,"最大值、中位值、低值待校准","最大值、中位值"))</x:f>
        <x:v>最大值、中位值</x:v>
      </x:c>
      <x:c r="O17" s="1" t="str">
        <x:f>IF(NOT(ISNUMBER(J17)),"待定",IF(J17&lt;2,"不设第三档",IF(J17&lt;=5,"中位OAV≤5；低档须低于中位浓度","低档需预试确认与中档可区分")))</x:f>
        <x:v>不设第三档</x:v>
      </x:c>
    </x:row>
    <x:row r="18" ht="23" customHeight="1">
      <x:c r="A18" s="1" t="n">
        <x:f>'浓度与阈值来源'!A18</x:f>
        <x:v>13</x:v>
      </x:c>
      <x:c r="B18" s="1" t="str">
        <x:f>IF('浓度与阈值来源'!B18="","",'浓度与阈值来源'!B18)</x:f>
        <x:v>甲基硫醇</x:v>
      </x:c>
      <x:c r="C18" s="1" t="str">
        <x:f>IF('浓度与阈值来源'!C18="","",'浓度与阈值来源'!C18)</x:f>
        <x:v>74-93-1</x:v>
      </x:c>
      <x:c r="D18" s="1"/>
      <x:c r="E18" s="5" t="str">
        <x:f>IF('浓度与阈值来源'!D18&gt;0,'浓度与阈值来源'!D18,"")</x:f>
      </x:c>
      <x:c r="F18" s="6" t="n">
        <x:f>COUNT('浓度与阈值来源'!E18:DM18)</x:f>
        <x:v>2</x:v>
      </x:c>
      <x:c r="G18" s="5" t="n">
        <x:f>IF(F18=0,"",MAX('浓度与阈值来源'!E18:DM18))</x:f>
        <x:v>4</x:v>
      </x:c>
      <x:c r="H18" s="5" t="n">
        <x:f>IF(F18=0,"",MEDIAN('浓度与阈值来源'!E18:DM18))</x:f>
        <x:v>3.5</x:v>
      </x:c>
      <x:c r="I18" s="7" t="str">
        <x:f>IF(AND(ISNUMBER(E18),E18&gt;0,F18&gt;0),G18/E18,"")</x:f>
      </x:c>
      <x:c r="J18" s="7" t="str">
        <x:f>IF(AND(ISNUMBER(E18),E18&gt;0,F18&gt;0),H18/E18,"")</x:f>
      </x:c>
      <x:c r="K18" s="1" t="str">
        <x:f>IF(F18=0,"无浓度数据",IF(E18="","缺周表阈值","可计算"))</x:f>
        <x:v>缺周表阈值</x:v>
      </x:c>
      <x:c r="L18" s="1" t="str">
        <x:f>IF(NOT(ISNUMBER(J18)),"待定",IF(J18&gt;50,"骨架成分",IF(J18&gt;=2,"重要成分","两档成分")))</x:f>
        <x:v>待定</x:v>
      </x:c>
      <x:c r="M18" s="1" t="str">
        <x:f>IF(NOT(ISNUMBER(J18)),"",IF(J18&gt;=2,3,2))</x:f>
      </x:c>
      <x:c r="N18" s="1" t="str">
        <x:f>IF(NOT(ISNUMBER(J18)),"缺少可算OAV",IF(J18&gt;=2,"最大值、中位值、低值待校准","最大值、中位值"))</x:f>
        <x:v>缺少可算OAV</x:v>
      </x:c>
      <x:c r="O18" s="1" t="str">
        <x:f>IF(NOT(ISNUMBER(J18)),"待定",IF(J18&lt;2,"不设第三档",IF(J18&lt;=5,"中位OAV≤5；低档须低于中位浓度","低档需预试确认与中档可区分")))</x:f>
        <x:v>待定</x:v>
      </x:c>
    </x:row>
    <x:row r="19" ht="23" customHeight="1">
      <x:c r="A19" s="1" t="n">
        <x:f>'浓度与阈值来源'!A19</x:f>
        <x:v>14</x:v>
      </x:c>
      <x:c r="B19" s="1" t="str">
        <x:f>IF('浓度与阈值来源'!B19="","",'浓度与阈值来源'!B19)</x:f>
        <x:v>乙醛</x:v>
      </x:c>
      <x:c r="C19" s="1" t="str">
        <x:f>IF('浓度与阈值来源'!C19="","",'浓度与阈值来源'!C19)</x:f>
        <x:v>75-07-0</x:v>
      </x:c>
      <x:c r="D19" s="1" t="str">
        <x:v>Acetaldehyde</x:v>
      </x:c>
      <x:c r="E19" s="5" t="n">
        <x:f>IF('浓度与阈值来源'!D19&gt;0,'浓度与阈值来源'!D19,"")</x:f>
        <x:v>14393.85</x:v>
      </x:c>
      <x:c r="F19" s="6" t="n">
        <x:f>COUNT('浓度与阈值来源'!E19:DM19)</x:f>
        <x:v>45</x:v>
      </x:c>
      <x:c r="G19" s="5" t="n">
        <x:f>IF(F19=0,"",MAX('浓度与阈值来源'!E19:DM19))</x:f>
        <x:v>661100</x:v>
      </x:c>
      <x:c r="H19" s="5" t="n">
        <x:f>IF(F19=0,"",MEDIAN('浓度与阈值来源'!E19:DM19))</x:f>
        <x:v>352.8</x:v>
      </x:c>
      <x:c r="I19" s="7" t="n">
        <x:f>IF(AND(ISNUMBER(E19),E19&gt;0,F19&gt;0),G19/E19,"")</x:f>
        <x:v>45.9293378769405</x:v>
      </x:c>
      <x:c r="J19" s="7" t="n">
        <x:f>IF(AND(ISNUMBER(E19),E19&gt;0,F19&gt;0),H19/E19,"")</x:f>
        <x:v>0.02451046801238029</x:v>
      </x:c>
      <x:c r="K19" s="1" t="str">
        <x:f>IF(F19=0,"无浓度数据",IF(E19="","缺周表阈值","可计算"))</x:f>
        <x:v>可计算</x:v>
      </x:c>
      <x:c r="L19" s="1" t="str">
        <x:f>IF(NOT(ISNUMBER(J19)),"待定",IF(J19&gt;50,"骨架成分",IF(J19&gt;=2,"重要成分","两档成分")))</x:f>
        <x:v>两档成分</x:v>
      </x:c>
      <x:c r="M19" s="1" t="n">
        <x:f>IF(NOT(ISNUMBER(J19)),"",IF(J19&gt;=2,3,2))</x:f>
        <x:v>2</x:v>
      </x:c>
      <x:c r="N19" s="1" t="str">
        <x:f>IF(NOT(ISNUMBER(J19)),"缺少可算OAV",IF(J19&gt;=2,"最大值、中位值、低值待校准","最大值、中位值"))</x:f>
        <x:v>最大值、中位值</x:v>
      </x:c>
      <x:c r="O19" s="1" t="str">
        <x:f>IF(NOT(ISNUMBER(J19)),"待定",IF(J19&lt;2,"不设第三档",IF(J19&lt;=5,"中位OAV≤5；低档须低于中位浓度","低档需预试确认与中档可区分")))</x:f>
        <x:v>不设第三档</x:v>
      </x:c>
    </x:row>
    <x:row r="20" ht="23" customHeight="1">
      <x:c r="A20" s="1" t="n">
        <x:f>'浓度与阈值来源'!A20</x:f>
        <x:v>15</x:v>
      </x:c>
      <x:c r="B20" s="1" t="str">
        <x:f>IF('浓度与阈值来源'!B20="","",'浓度与阈值来源'!B20)</x:f>
      </x:c>
      <x:c r="C20" s="1" t="str">
        <x:f>IF('浓度与阈值来源'!C20="","",'浓度与阈值来源'!C20)</x:f>
        <x:v>77-53-2</x:v>
      </x:c>
      <x:c r="D20" s="1"/>
      <x:c r="E20" s="5" t="str">
        <x:f>IF('浓度与阈值来源'!D20&gt;0,'浓度与阈值来源'!D20,"")</x:f>
      </x:c>
      <x:c r="F20" s="6" t="n">
        <x:f>COUNT('浓度与阈值来源'!E20:DM20)</x:f>
        <x:v>3</x:v>
      </x:c>
      <x:c r="G20" s="5" t="n">
        <x:f>IF(F20=0,"",MAX('浓度与阈值来源'!E20:DM20))</x:f>
        <x:v>2.45</x:v>
      </x:c>
      <x:c r="H20" s="5" t="n">
        <x:f>IF(F20=0,"",MEDIAN('浓度与阈值来源'!E20:DM20))</x:f>
        <x:v>0.47</x:v>
      </x:c>
      <x:c r="I20" s="7" t="str">
        <x:f>IF(AND(ISNUMBER(E20),E20&gt;0,F20&gt;0),G20/E20,"")</x:f>
      </x:c>
      <x:c r="J20" s="7" t="str">
        <x:f>IF(AND(ISNUMBER(E20),E20&gt;0,F20&gt;0),H20/E20,"")</x:f>
      </x:c>
      <x:c r="K20" s="1" t="str">
        <x:f>IF(F20=0,"无浓度数据",IF(E20="","缺周表阈值","可计算"))</x:f>
        <x:v>缺周表阈值</x:v>
      </x:c>
      <x:c r="L20" s="1" t="str">
        <x:f>IF(NOT(ISNUMBER(J20)),"待定",IF(J20&gt;50,"骨架成分",IF(J20&gt;=2,"重要成分","两档成分")))</x:f>
        <x:v>待定</x:v>
      </x:c>
      <x:c r="M20" s="1" t="str">
        <x:f>IF(NOT(ISNUMBER(J20)),"",IF(J20&gt;=2,3,2))</x:f>
      </x:c>
      <x:c r="N20" s="1" t="str">
        <x:f>IF(NOT(ISNUMBER(J20)),"缺少可算OAV",IF(J20&gt;=2,"最大值、中位值、低值待校准","最大值、中位值"))</x:f>
        <x:v>缺少可算OAV</x:v>
      </x:c>
      <x:c r="O20" s="1" t="str">
        <x:f>IF(NOT(ISNUMBER(J20)),"待定",IF(J20&lt;2,"不设第三档",IF(J20&lt;=5,"中位OAV≤5；低档须低于中位浓度","低档需预试确认与中档可区分")))</x:f>
        <x:v>待定</x:v>
      </x:c>
    </x:row>
    <x:row r="21" ht="23" customHeight="1">
      <x:c r="A21" s="1" t="n">
        <x:f>'浓度与阈值来源'!A21</x:f>
        <x:v>16</x:v>
      </x:c>
      <x:c r="B21" s="1" t="str">
        <x:f>IF('浓度与阈值来源'!B21="","",'浓度与阈值来源'!B21)</x:f>
      </x:c>
      <x:c r="C21" s="1" t="str">
        <x:f>IF('浓度与阈值来源'!C21="","",'浓度与阈值来源'!C21)</x:f>
        <x:v>78-70-6</x:v>
      </x:c>
      <x:c r="D21" s="1"/>
      <x:c r="E21" s="5" t="str">
        <x:f>IF('浓度与阈值来源'!D21&gt;0,'浓度与阈值来源'!D21,"")</x:f>
      </x:c>
      <x:c r="F21" s="6" t="n">
        <x:f>COUNT('浓度与阈值来源'!E21:DM21)</x:f>
        <x:v>1</x:v>
      </x:c>
      <x:c r="G21" s="5" t="n">
        <x:f>IF(F21=0,"",MAX('浓度与阈值来源'!E21:DM21))</x:f>
        <x:v>0.61</x:v>
      </x:c>
      <x:c r="H21" s="5" t="n">
        <x:f>IF(F21=0,"",MEDIAN('浓度与阈值来源'!E21:DM21))</x:f>
        <x:v>0.61</x:v>
      </x:c>
      <x:c r="I21" s="7" t="str">
        <x:f>IF(AND(ISNUMBER(E21),E21&gt;0,F21&gt;0),G21/E21,"")</x:f>
      </x:c>
      <x:c r="J21" s="7" t="str">
        <x:f>IF(AND(ISNUMBER(E21),E21&gt;0,F21&gt;0),H21/E21,"")</x:f>
      </x:c>
      <x:c r="K21" s="1" t="str">
        <x:f>IF(F21=0,"无浓度数据",IF(E21="","缺周表阈值","可计算"))</x:f>
        <x:v>缺周表阈值</x:v>
      </x:c>
      <x:c r="L21" s="1" t="str">
        <x:f>IF(NOT(ISNUMBER(J21)),"待定",IF(J21&gt;50,"骨架成分",IF(J21&gt;=2,"重要成分","两档成分")))</x:f>
        <x:v>待定</x:v>
      </x:c>
      <x:c r="M21" s="1" t="str">
        <x:f>IF(NOT(ISNUMBER(J21)),"",IF(J21&gt;=2,3,2))</x:f>
      </x:c>
      <x:c r="N21" s="1" t="str">
        <x:f>IF(NOT(ISNUMBER(J21)),"缺少可算OAV",IF(J21&gt;=2,"最大值、中位值、低值待校准","最大值、中位值"))</x:f>
        <x:v>缺少可算OAV</x:v>
      </x:c>
      <x:c r="O21" s="1" t="str">
        <x:f>IF(NOT(ISNUMBER(J21)),"待定",IF(J21&lt;2,"不设第三档",IF(J21&lt;=5,"中位OAV≤5；低档须低于中位浓度","低档需预试确认与中档可区分")))</x:f>
        <x:v>待定</x:v>
      </x:c>
    </x:row>
    <x:row r="22" ht="23" customHeight="1">
      <x:c r="A22" s="1" t="n">
        <x:f>'浓度与阈值来源'!A22</x:f>
        <x:v>17</x:v>
      </x:c>
      <x:c r="B22" s="1" t="str">
        <x:f>IF('浓度与阈值来源'!B22="","",'浓度与阈值来源'!B22)</x:f>
        <x:v>异丁醇</x:v>
      </x:c>
      <x:c r="C22" s="1" t="str">
        <x:f>IF('浓度与阈值来源'!C22="","",'浓度与阈值来源'!C22)</x:f>
        <x:v>78-83-1</x:v>
      </x:c>
      <x:c r="D22" s="1" t="str">
        <x:v>Isobutanol</x:v>
      </x:c>
      <x:c r="E22" s="5" t="n">
        <x:f>IF('浓度与阈值来源'!D22&gt;0,'浓度与阈值来源'!D22,"")</x:f>
        <x:v>28300</x:v>
      </x:c>
      <x:c r="F22" s="6" t="n">
        <x:f>COUNT('浓度与阈值来源'!E22:DM22)</x:f>
        <x:v>91</x:v>
      </x:c>
      <x:c r="G22" s="5" t="n">
        <x:f>IF(F22=0,"",MAX('浓度与阈值来源'!E22:DM22))</x:f>
        <x:v>279260</x:v>
      </x:c>
      <x:c r="H22" s="5" t="n">
        <x:f>IF(F22=0,"",MEDIAN('浓度与阈值来源'!E22:DM22))</x:f>
        <x:v>3650</x:v>
      </x:c>
      <x:c r="I22" s="7" t="n">
        <x:f>IF(AND(ISNUMBER(E22),E22&gt;0,F22&gt;0),G22/E22,"")</x:f>
        <x:v>9.867844522968198</x:v>
      </x:c>
      <x:c r="J22" s="7" t="n">
        <x:f>IF(AND(ISNUMBER(E22),E22&gt;0,F22&gt;0),H22/E22,"")</x:f>
        <x:v>0.12897526501766785</x:v>
      </x:c>
      <x:c r="K22" s="1" t="str">
        <x:f>IF(F22=0,"无浓度数据",IF(E22="","缺周表阈值","可计算"))</x:f>
        <x:v>可计算</x:v>
      </x:c>
      <x:c r="L22" s="1" t="str">
        <x:f>IF(NOT(ISNUMBER(J22)),"待定",IF(J22&gt;50,"骨架成分",IF(J22&gt;=2,"重要成分","两档成分")))</x:f>
        <x:v>两档成分</x:v>
      </x:c>
      <x:c r="M22" s="1" t="n">
        <x:f>IF(NOT(ISNUMBER(J22)),"",IF(J22&gt;=2,3,2))</x:f>
        <x:v>2</x:v>
      </x:c>
      <x:c r="N22" s="1" t="str">
        <x:f>IF(NOT(ISNUMBER(J22)),"缺少可算OAV",IF(J22&gt;=2,"最大值、中位值、低值待校准","最大值、中位值"))</x:f>
        <x:v>最大值、中位值</x:v>
      </x:c>
      <x:c r="O22" s="1" t="str">
        <x:f>IF(NOT(ISNUMBER(J22)),"待定",IF(J22&lt;2,"不设第三档",IF(J22&lt;=5,"中位OAV≤5；低档须低于中位浓度","低档需预试确认与中档可区分")))</x:f>
        <x:v>不设第三档</x:v>
      </x:c>
    </x:row>
    <x:row r="23" ht="23" customHeight="1">
      <x:c r="A23" s="1" t="n">
        <x:f>'浓度与阈值来源'!A23</x:f>
        <x:v>18</x:v>
      </x:c>
      <x:c r="B23" s="1" t="str">
        <x:f>IF('浓度与阈值来源'!B23="","",'浓度与阈值来源'!B23)</x:f>
        <x:v>2-甲基丙醛</x:v>
      </x:c>
      <x:c r="C23" s="1" t="str">
        <x:f>IF('浓度与阈值来源'!C23="","",'浓度与阈值来源'!C23)</x:f>
        <x:v>78-84-2</x:v>
      </x:c>
      <x:c r="D23" s="1" t="str">
        <x:v>Isobutyraldehyde</x:v>
      </x:c>
      <x:c r="E23" s="5" t="n">
        <x:f>IF('浓度与阈值来源'!D23&gt;0,'浓度与阈值来源'!D23,"")</x:f>
        <x:v>5.9</x:v>
      </x:c>
      <x:c r="F23" s="6" t="n">
        <x:f>COUNT('浓度与阈值来源'!E23:DM23)</x:f>
        <x:v>34</x:v>
      </x:c>
      <x:c r="G23" s="5" t="n">
        <x:f>IF(F23=0,"",MAX('浓度与阈值来源'!E23:DM23))</x:f>
        <x:v>35900</x:v>
      </x:c>
      <x:c r="H23" s="5" t="n">
        <x:f>IF(F23=0,"",MEDIAN('浓度与阈值来源'!E23:DM23))</x:f>
        <x:v>954.06</x:v>
      </x:c>
      <x:c r="I23" s="7" t="n">
        <x:f>IF(AND(ISNUMBER(E23),E23&gt;0,F23&gt;0),G23/E23,"")</x:f>
        <x:v>6084.745762711864</x:v>
      </x:c>
      <x:c r="J23" s="7" t="n">
        <x:f>IF(AND(ISNUMBER(E23),E23&gt;0,F23&gt;0),H23/E23,"")</x:f>
        <x:v>161.7050847457627</x:v>
      </x:c>
      <x:c r="K23" s="1" t="str">
        <x:f>IF(F23=0,"无浓度数据",IF(E23="","缺周表阈值","可计算"))</x:f>
        <x:v>可计算</x:v>
      </x:c>
      <x:c r="L23" s="1" t="str">
        <x:f>IF(NOT(ISNUMBER(J23)),"待定",IF(J23&gt;50,"骨架成分",IF(J23&gt;=2,"重要成分","两档成分")))</x:f>
        <x:v>骨架成分</x:v>
      </x:c>
      <x:c r="M23" s="1" t="n">
        <x:f>IF(NOT(ISNUMBER(J23)),"",IF(J23&gt;=2,3,2))</x:f>
        <x:v>3</x:v>
      </x:c>
      <x:c r="N23" s="1" t="str">
        <x:f>IF(NOT(ISNUMBER(J23)),"缺少可算OAV",IF(J23&gt;=2,"最大值、中位值、低值待校准","最大值、中位值"))</x:f>
        <x:v>最大值、中位值、低值待校准</x:v>
      </x:c>
      <x:c r="O23" s="1" t="str">
        <x:f>IF(NOT(ISNUMBER(J23)),"待定",IF(J23&lt;2,"不设第三档",IF(J23&lt;=5,"中位OAV≤5；低档须低于中位浓度","低档需预试确认与中档可区分")))</x:f>
        <x:v>低档需预试确认与中档可区分</x:v>
      </x:c>
    </x:row>
    <x:row r="24" ht="23" customHeight="1">
      <x:c r="A24" s="1" t="n">
        <x:f>'浓度与阈值来源'!A24</x:f>
        <x:v>19</x:v>
      </x:c>
      <x:c r="B24" s="1" t="str">
        <x:f>IF('浓度与阈值来源'!B24="","",'浓度与阈值来源'!B24)</x:f>
        <x:v>2-丁醇a</x:v>
      </x:c>
      <x:c r="C24" s="1" t="str">
        <x:f>IF('浓度与阈值来源'!C24="","",'浓度与阈值来源'!C24)</x:f>
        <x:v>78-92-2</x:v>
      </x:c>
      <x:c r="D24" s="1" t="str">
        <x:v>2-Butanol</x:v>
      </x:c>
      <x:c r="E24" s="5" t="n">
        <x:f>IF('浓度与阈值来源'!D24&gt;0,'浓度与阈值来源'!D24,"")</x:f>
        <x:v>50000</x:v>
      </x:c>
      <x:c r="F24" s="6" t="n">
        <x:f>COUNT('浓度与阈值来源'!E24:DM24)</x:f>
        <x:v>61</x:v>
      </x:c>
      <x:c r="G24" s="5" t="n">
        <x:f>IF(F24=0,"",MAX('浓度与阈值来源'!E24:DM24))</x:f>
        <x:v>173670</x:v>
      </x:c>
      <x:c r="H24" s="5" t="n">
        <x:f>IF(F24=0,"",MEDIAN('浓度与阈值来源'!E24:DM24))</x:f>
        <x:v>75.76</x:v>
      </x:c>
      <x:c r="I24" s="7" t="n">
        <x:f>IF(AND(ISNUMBER(E24),E24&gt;0,F24&gt;0),G24/E24,"")</x:f>
        <x:v>3.4734</x:v>
      </x:c>
      <x:c r="J24" s="7" t="n">
        <x:f>IF(AND(ISNUMBER(E24),E24&gt;0,F24&gt;0),H24/E24,"")</x:f>
        <x:v>0.0015152000000000002</x:v>
      </x:c>
      <x:c r="K24" s="1" t="str">
        <x:f>IF(F24=0,"无浓度数据",IF(E24="","缺周表阈值","可计算"))</x:f>
        <x:v>可计算</x:v>
      </x:c>
      <x:c r="L24" s="1" t="str">
        <x:f>IF(NOT(ISNUMBER(J24)),"待定",IF(J24&gt;50,"骨架成分",IF(J24&gt;=2,"重要成分","两档成分")))</x:f>
        <x:v>两档成分</x:v>
      </x:c>
      <x:c r="M24" s="1" t="n">
        <x:f>IF(NOT(ISNUMBER(J24)),"",IF(J24&gt;=2,3,2))</x:f>
        <x:v>2</x:v>
      </x:c>
      <x:c r="N24" s="1" t="str">
        <x:f>IF(NOT(ISNUMBER(J24)),"缺少可算OAV",IF(J24&gt;=2,"最大值、中位值、低值待校准","最大值、中位值"))</x:f>
        <x:v>最大值、中位值</x:v>
      </x:c>
      <x:c r="O24" s="1" t="str">
        <x:f>IF(NOT(ISNUMBER(J24)),"待定",IF(J24&lt;2,"不设第三档",IF(J24&lt;=5,"中位OAV≤5；低档须低于中位浓度","低档需预试确认与中档可区分")))</x:f>
        <x:v>不设第三档</x:v>
      </x:c>
    </x:row>
    <x:row r="25" ht="23" customHeight="1">
      <x:c r="A25" s="1" t="n">
        <x:f>'浓度与阈值来源'!A25</x:f>
        <x:v>20</x:v>
      </x:c>
      <x:c r="B25" s="1" t="str">
        <x:f>IF('浓度与阈值来源'!B25="","",'浓度与阈值来源'!B25)</x:f>
        <x:v>丙酸</x:v>
      </x:c>
      <x:c r="C25" s="1" t="str">
        <x:f>IF('浓度与阈值来源'!C25="","",'浓度与阈值来源'!C25)</x:f>
        <x:v>79-09-4</x:v>
      </x:c>
      <x:c r="D25" s="1" t="str">
        <x:v>Propionic acid</x:v>
      </x:c>
      <x:c r="E25" s="5" t="n">
        <x:f>IF('浓度与阈值来源'!D25&gt;0,'浓度与阈值来源'!D25,"")</x:f>
        <x:v>18200</x:v>
      </x:c>
      <x:c r="F25" s="6" t="n">
        <x:f>COUNT('浓度与阈值来源'!E25:DM25)</x:f>
        <x:v>62</x:v>
      </x:c>
      <x:c r="G25" s="5" t="n">
        <x:f>IF(F25=0,"",MAX('浓度与阈值来源'!E25:DM25))</x:f>
        <x:v>24900</x:v>
      </x:c>
      <x:c r="H25" s="5" t="n">
        <x:f>IF(F25=0,"",MEDIAN('浓度与阈值来源'!E25:DM25))</x:f>
        <x:v>1630</x:v>
      </x:c>
      <x:c r="I25" s="7" t="n">
        <x:f>IF(AND(ISNUMBER(E25),E25&gt;0,F25&gt;0),G25/E25,"")</x:f>
        <x:v>1.3681318681318682</x:v>
      </x:c>
      <x:c r="J25" s="7" t="n">
        <x:f>IF(AND(ISNUMBER(E25),E25&gt;0,F25&gt;0),H25/E25,"")</x:f>
        <x:v>0.08956043956043956</x:v>
      </x:c>
      <x:c r="K25" s="1" t="str">
        <x:f>IF(F25=0,"无浓度数据",IF(E25="","缺周表阈值","可计算"))</x:f>
        <x:v>可计算</x:v>
      </x:c>
      <x:c r="L25" s="1" t="str">
        <x:f>IF(NOT(ISNUMBER(J25)),"待定",IF(J25&gt;50,"骨架成分",IF(J25&gt;=2,"重要成分","两档成分")))</x:f>
        <x:v>两档成分</x:v>
      </x:c>
      <x:c r="M25" s="1" t="n">
        <x:f>IF(NOT(ISNUMBER(J25)),"",IF(J25&gt;=2,3,2))</x:f>
        <x:v>2</x:v>
      </x:c>
      <x:c r="N25" s="1" t="str">
        <x:f>IF(NOT(ISNUMBER(J25)),"缺少可算OAV",IF(J25&gt;=2,"最大值、中位值、低值待校准","最大值、中位值"))</x:f>
        <x:v>最大值、中位值</x:v>
      </x:c>
      <x:c r="O25" s="1" t="str">
        <x:f>IF(NOT(ISNUMBER(J25)),"待定",IF(J25&lt;2,"不设第三档",IF(J25&lt;=5,"中位OAV≤5；低档须低于中位浓度","低档需预试确认与中档可区分")))</x:f>
        <x:v>不设第三档</x:v>
      </x:c>
    </x:row>
    <x:row r="26" ht="23" customHeight="1">
      <x:c r="A26" s="1" t="n">
        <x:f>'浓度与阈值来源'!A26</x:f>
        <x:v>21</x:v>
      </x:c>
      <x:c r="B26" s="1" t="str">
        <x:f>IF('浓度与阈值来源'!B26="","",'浓度与阈值来源'!B26)</x:f>
        <x:v>异丁酸</x:v>
      </x:c>
      <x:c r="C26" s="1" t="str">
        <x:f>IF('浓度与阈值来源'!C26="","",'浓度与阈值来源'!C26)</x:f>
        <x:v>79-31-2</x:v>
      </x:c>
      <x:c r="D26" s="1" t="str">
        <x:v>2-methylpropionic acid/Isobutyric Acid</x:v>
      </x:c>
      <x:c r="E26" s="5" t="n">
        <x:f>IF('浓度与阈值来源'!D26&gt;0,'浓度与阈值来源'!D26,"")</x:f>
        <x:v>1580</x:v>
      </x:c>
      <x:c r="F26" s="6" t="n">
        <x:f>COUNT('浓度与阈值来源'!E26:DM26)</x:f>
        <x:v>68</x:v>
      </x:c>
      <x:c r="G26" s="5" t="n">
        <x:f>IF(F26=0,"",MAX('浓度与阈值来源'!E26:DM26))</x:f>
        <x:v>11637.33</x:v>
      </x:c>
      <x:c r="H26" s="5" t="n">
        <x:f>IF(F26=0,"",MEDIAN('浓度与阈值来源'!E26:DM26))</x:f>
        <x:v>16.76</x:v>
      </x:c>
      <x:c r="I26" s="7" t="n">
        <x:f>IF(AND(ISNUMBER(E26),E26&gt;0,F26&gt;0),G26/E26,"")</x:f>
        <x:v>7.365398734177215</x:v>
      </x:c>
      <x:c r="J26" s="7" t="n">
        <x:f>IF(AND(ISNUMBER(E26),E26&gt;0,F26&gt;0),H26/E26,"")</x:f>
        <x:v>0.010607594936708861</x:v>
      </x:c>
      <x:c r="K26" s="1" t="str">
        <x:f>IF(F26=0,"无浓度数据",IF(E26="","缺周表阈值","可计算"))</x:f>
        <x:v>可计算</x:v>
      </x:c>
      <x:c r="L26" s="1" t="str">
        <x:f>IF(NOT(ISNUMBER(J26)),"待定",IF(J26&gt;50,"骨架成分",IF(J26&gt;=2,"重要成分","两档成分")))</x:f>
        <x:v>两档成分</x:v>
      </x:c>
      <x:c r="M26" s="1" t="n">
        <x:f>IF(NOT(ISNUMBER(J26)),"",IF(J26&gt;=2,3,2))</x:f>
        <x:v>2</x:v>
      </x:c>
      <x:c r="N26" s="1" t="str">
        <x:f>IF(NOT(ISNUMBER(J26)),"缺少可算OAV",IF(J26&gt;=2,"最大值、中位值、低值待校准","最大值、中位值"))</x:f>
        <x:v>最大值、中位值</x:v>
      </x:c>
      <x:c r="O26" s="1" t="str">
        <x:f>IF(NOT(ISNUMBER(J26)),"待定",IF(J26&lt;2,"不设第三档",IF(J26&lt;=5,"中位OAV≤5；低档须低于中位浓度","低档需预试确认与中档可区分")))</x:f>
        <x:v>不设第三档</x:v>
      </x:c>
    </x:row>
    <x:row r="27" ht="23" customHeight="1">
      <x:c r="A27" s="1" t="n">
        <x:f>'浓度与阈值来源'!A27</x:f>
        <x:v>22</x:v>
      </x:c>
      <x:c r="B27" s="1" t="str">
        <x:f>IF('浓度与阈值来源'!B27="","",'浓度与阈值来源'!B27)</x:f>
      </x:c>
      <x:c r="C27" s="1" t="str">
        <x:f>IF('浓度与阈值来源'!C27="","",'浓度与阈值来源'!C27)</x:f>
        <x:v>83-34-1</x:v>
      </x:c>
      <x:c r="D27" s="1" t="str">
        <x:v>3-methylindole</x:v>
      </x:c>
      <x:c r="E27" s="5" t="str">
        <x:f>IF('浓度与阈值来源'!D27&gt;0,'浓度与阈值来源'!D27,"")</x:f>
      </x:c>
      <x:c r="F27" s="6" t="n">
        <x:f>COUNT('浓度与阈值来源'!E27:DM27)</x:f>
        <x:v>1</x:v>
      </x:c>
      <x:c r="G27" s="5" t="n">
        <x:f>IF(F27=0,"",MAX('浓度与阈值来源'!E27:DM27))</x:f>
        <x:v>46</x:v>
      </x:c>
      <x:c r="H27" s="5" t="n">
        <x:f>IF(F27=0,"",MEDIAN('浓度与阈值来源'!E27:DM27))</x:f>
        <x:v>46</x:v>
      </x:c>
      <x:c r="I27" s="7" t="str">
        <x:f>IF(AND(ISNUMBER(E27),E27&gt;0,F27&gt;0),G27/E27,"")</x:f>
      </x:c>
      <x:c r="J27" s="7" t="str">
        <x:f>IF(AND(ISNUMBER(E27),E27&gt;0,F27&gt;0),H27/E27,"")</x:f>
      </x:c>
      <x:c r="K27" s="1" t="str">
        <x:f>IF(F27=0,"无浓度数据",IF(E27="","缺周表阈值","可计算"))</x:f>
        <x:v>缺周表阈值</x:v>
      </x:c>
      <x:c r="L27" s="1" t="str">
        <x:f>IF(NOT(ISNUMBER(J27)),"待定",IF(J27&gt;50,"骨架成分",IF(J27&gt;=2,"重要成分","两档成分")))</x:f>
        <x:v>待定</x:v>
      </x:c>
      <x:c r="M27" s="1" t="str">
        <x:f>IF(NOT(ISNUMBER(J27)),"",IF(J27&gt;=2,3,2))</x:f>
      </x:c>
      <x:c r="N27" s="1" t="str">
        <x:f>IF(NOT(ISNUMBER(J27)),"缺少可算OAV",IF(J27&gt;=2,"最大值、中位值、低值待校准","最大值、中位值"))</x:f>
        <x:v>缺少可算OAV</x:v>
      </x:c>
      <x:c r="O27" s="1" t="str">
        <x:f>IF(NOT(ISNUMBER(J27)),"待定",IF(J27&lt;2,"不设第三档",IF(J27&lt;=5,"中位OAV≤5；低档须低于中位浓度","低档需预试确认与中档可区分")))</x:f>
        <x:v>待定</x:v>
      </x:c>
    </x:row>
    <x:row r="28" ht="23" customHeight="1">
      <x:c r="A28" s="1" t="n">
        <x:f>'浓度与阈值来源'!A28</x:f>
        <x:v>23</x:v>
      </x:c>
      <x:c r="B28" s="1" t="str">
        <x:f>IF('浓度与阈值来源'!B28="","",'浓度与阈值来源'!B28)</x:f>
      </x:c>
      <x:c r="C28" s="1" t="str">
        <x:f>IF('浓度与阈值来源'!C28="","",'浓度与阈值来源'!C28)</x:f>
        <x:v>84-74-2</x:v>
      </x:c>
      <x:c r="D28" s="1" t="str">
        <x:v>Dibutyl phthalate</x:v>
      </x:c>
      <x:c r="E28" s="5" t="str">
        <x:f>IF('浓度与阈值来源'!D28&gt;0,'浓度与阈值来源'!D28,"")</x:f>
      </x:c>
      <x:c r="F28" s="6" t="n">
        <x:f>COUNT('浓度与阈值来源'!E28:DM28)</x:f>
        <x:v>6</x:v>
      </x:c>
      <x:c r="G28" s="5" t="n">
        <x:f>IF(F28=0,"",MAX('浓度与阈值来源'!E28:DM28))</x:f>
        <x:v>1568</x:v>
      </x:c>
      <x:c r="H28" s="5" t="n">
        <x:f>IF(F28=0,"",MEDIAN('浓度与阈值来源'!E28:DM28))</x:f>
        <x:v>1095.5</x:v>
      </x:c>
      <x:c r="I28" s="7" t="str">
        <x:f>IF(AND(ISNUMBER(E28),E28&gt;0,F28&gt;0),G28/E28,"")</x:f>
      </x:c>
      <x:c r="J28" s="7" t="str">
        <x:f>IF(AND(ISNUMBER(E28),E28&gt;0,F28&gt;0),H28/E28,"")</x:f>
      </x:c>
      <x:c r="K28" s="1" t="str">
        <x:f>IF(F28=0,"无浓度数据",IF(E28="","缺周表阈值","可计算"))</x:f>
        <x:v>缺周表阈值</x:v>
      </x:c>
      <x:c r="L28" s="1" t="str">
        <x:f>IF(NOT(ISNUMBER(J28)),"待定",IF(J28&gt;50,"骨架成分",IF(J28&gt;=2,"重要成分","两档成分")))</x:f>
        <x:v>待定</x:v>
      </x:c>
      <x:c r="M28" s="1" t="str">
        <x:f>IF(NOT(ISNUMBER(J28)),"",IF(J28&gt;=2,3,2))</x:f>
      </x:c>
      <x:c r="N28" s="1" t="str">
        <x:f>IF(NOT(ISNUMBER(J28)),"缺少可算OAV",IF(J28&gt;=2,"最大值、中位值、低值待校准","最大值、中位值"))</x:f>
        <x:v>缺少可算OAV</x:v>
      </x:c>
      <x:c r="O28" s="1" t="str">
        <x:f>IF(NOT(ISNUMBER(J28)),"待定",IF(J28&lt;2,"不设第三档",IF(J28&lt;=5,"中位OAV≤5；低档须低于中位浓度","低档需预试确认与中档可区分")))</x:f>
        <x:v>待定</x:v>
      </x:c>
    </x:row>
    <x:row r="29" ht="23" customHeight="1">
      <x:c r="A29" s="1" t="n">
        <x:f>'浓度与阈值来源'!A29</x:f>
        <x:v>24</x:v>
      </x:c>
      <x:c r="B29" s="1" t="str">
        <x:f>IF('浓度与阈值来源'!B29="","",'浓度与阈值来源'!B29)</x:f>
        <x:v>百里酚</x:v>
      </x:c>
      <x:c r="C29" s="1" t="str">
        <x:f>IF('浓度与阈值来源'!C29="","",'浓度与阈值来源'!C29)</x:f>
        <x:v>89-83-8</x:v>
      </x:c>
      <x:c r="D29" s="1"/>
      <x:c r="E29" s="5" t="str">
        <x:f>IF('浓度与阈值来源'!D29&gt;0,'浓度与阈值来源'!D29,"")</x:f>
      </x:c>
      <x:c r="F29" s="6" t="n">
        <x:f>COUNT('浓度与阈值来源'!E29:DM29)</x:f>
        <x:v>1</x:v>
      </x:c>
      <x:c r="G29" s="5" t="n">
        <x:f>IF(F29=0,"",MAX('浓度与阈值来源'!E29:DM29))</x:f>
        <x:v>1</x:v>
      </x:c>
      <x:c r="H29" s="5" t="n">
        <x:f>IF(F29=0,"",MEDIAN('浓度与阈值来源'!E29:DM29))</x:f>
        <x:v>1</x:v>
      </x:c>
      <x:c r="I29" s="7" t="str">
        <x:f>IF(AND(ISNUMBER(E29),E29&gt;0,F29&gt;0),G29/E29,"")</x:f>
      </x:c>
      <x:c r="J29" s="7" t="str">
        <x:f>IF(AND(ISNUMBER(E29),E29&gt;0,F29&gt;0),H29/E29,"")</x:f>
      </x:c>
      <x:c r="K29" s="1" t="str">
        <x:f>IF(F29=0,"无浓度数据",IF(E29="","缺周表阈值","可计算"))</x:f>
        <x:v>缺周表阈值</x:v>
      </x:c>
      <x:c r="L29" s="1" t="str">
        <x:f>IF(NOT(ISNUMBER(J29)),"待定",IF(J29&gt;50,"骨架成分",IF(J29&gt;=2,"重要成分","两档成分")))</x:f>
        <x:v>待定</x:v>
      </x:c>
      <x:c r="M29" s="1" t="str">
        <x:f>IF(NOT(ISNUMBER(J29)),"",IF(J29&gt;=2,3,2))</x:f>
      </x:c>
      <x:c r="N29" s="1" t="str">
        <x:f>IF(NOT(ISNUMBER(J29)),"缺少可算OAV",IF(J29&gt;=2,"最大值、中位值、低值待校准","最大值、中位值"))</x:f>
        <x:v>缺少可算OAV</x:v>
      </x:c>
      <x:c r="O29" s="1" t="str">
        <x:f>IF(NOT(ISNUMBER(J29)),"待定",IF(J29&lt;2,"不设第三档",IF(J29&lt;=5,"中位OAV≤5；低档须低于中位浓度","低档需预试确认与中档可区分")))</x:f>
        <x:v>待定</x:v>
      </x:c>
    </x:row>
    <x:row r="30" ht="23" customHeight="1">
      <x:c r="A30" s="1" t="n">
        <x:f>'浓度与阈值来源'!A30</x:f>
        <x:v>25</x:v>
      </x:c>
      <x:c r="B30" s="1" t="str">
        <x:f>IF('浓度与阈值来源'!B30="","",'浓度与阈值来源'!B30)</x:f>
        <x:v>愈创木酚</x:v>
      </x:c>
      <x:c r="C30" s="1" t="str">
        <x:f>IF('浓度与阈值来源'!C30="","",'浓度与阈值来源'!C30)</x:f>
        <x:v>90-05-1</x:v>
      </x:c>
      <x:c r="D30" s="1" t="str">
        <x:v>Guaiacol</x:v>
      </x:c>
      <x:c r="E30" s="5" t="n">
        <x:f>IF('浓度与阈值来源'!D30&gt;0,'浓度与阈值来源'!D30,"")</x:f>
        <x:v>9.2</x:v>
      </x:c>
      <x:c r="F30" s="6" t="n">
        <x:f>COUNT('浓度与阈值来源'!E30:DM30)</x:f>
        <x:v>9</x:v>
      </x:c>
      <x:c r="G30" s="5" t="n">
        <x:f>IF(F30=0,"",MAX('浓度与阈值来源'!E30:DM30))</x:f>
        <x:v>40100</x:v>
      </x:c>
      <x:c r="H30" s="5" t="n">
        <x:f>IF(F30=0,"",MEDIAN('浓度与阈值来源'!E30:DM30))</x:f>
        <x:v>25500</x:v>
      </x:c>
      <x:c r="I30" s="7" t="n">
        <x:f>IF(AND(ISNUMBER(E30),E30&gt;0,F30&gt;0),G30/E30,"")</x:f>
        <x:v>4358.695652173913</x:v>
      </x:c>
      <x:c r="J30" s="7" t="n">
        <x:f>IF(AND(ISNUMBER(E30),E30&gt;0,F30&gt;0),H30/E30,"")</x:f>
        <x:v>2771.739130434783</x:v>
      </x:c>
      <x:c r="K30" s="1" t="str">
        <x:f>IF(F30=0,"无浓度数据",IF(E30="","缺周表阈值","可计算"))</x:f>
        <x:v>可计算</x:v>
      </x:c>
      <x:c r="L30" s="1" t="str">
        <x:f>IF(NOT(ISNUMBER(J30)),"待定",IF(J30&gt;50,"骨架成分",IF(J30&gt;=2,"重要成分","两档成分")))</x:f>
        <x:v>骨架成分</x:v>
      </x:c>
      <x:c r="M30" s="1" t="n">
        <x:f>IF(NOT(ISNUMBER(J30)),"",IF(J30&gt;=2,3,2))</x:f>
        <x:v>3</x:v>
      </x:c>
      <x:c r="N30" s="1" t="str">
        <x:f>IF(NOT(ISNUMBER(J30)),"缺少可算OAV",IF(J30&gt;=2,"最大值、中位值、低值待校准","最大值、中位值"))</x:f>
        <x:v>最大值、中位值、低值待校准</x:v>
      </x:c>
      <x:c r="O30" s="1" t="str">
        <x:f>IF(NOT(ISNUMBER(J30)),"待定",IF(J30&lt;2,"不设第三档",IF(J30&lt;=5,"中位OAV≤5；低档须低于中位浓度","低档需预试确认与中档可区分")))</x:f>
        <x:v>低档需预试确认与中档可区分</x:v>
      </x:c>
    </x:row>
    <x:row r="31" ht="23" customHeight="1">
      <x:c r="A31" s="1" t="n">
        <x:f>'浓度与阈值来源'!A31</x:f>
        <x:v>26</x:v>
      </x:c>
      <x:c r="B31" s="1" t="str">
        <x:f>IF('浓度与阈值来源'!B31="","",'浓度与阈值来源'!B31)</x:f>
        <x:v>2-甲氧基-4-甲基苯酚（2-甲氧基对甲酚）</x:v>
      </x:c>
      <x:c r="C31" s="1" t="str">
        <x:f>IF('浓度与阈值来源'!C31="","",'浓度与阈值来源'!C31)</x:f>
        <x:v>93-51-6</x:v>
      </x:c>
      <x:c r="D31" s="1" t="str">
        <x:v>2-Methoxy-4-methylphenol</x:v>
      </x:c>
      <x:c r="E31" s="5" t="str">
        <x:f>IF('浓度与阈值来源'!D31&gt;0,'浓度与阈值来源'!D31,"")</x:f>
      </x:c>
      <x:c r="F31" s="6" t="n">
        <x:f>COUNT('浓度与阈值来源'!E31:DM31)</x:f>
        <x:v>34</x:v>
      </x:c>
      <x:c r="G31" s="5" t="n">
        <x:f>IF(F31=0,"",MAX('浓度与阈值来源'!E31:DM31))</x:f>
        <x:v>1931</x:v>
      </x:c>
      <x:c r="H31" s="5" t="n">
        <x:f>IF(F31=0,"",MEDIAN('浓度与阈值来源'!E31:DM31))</x:f>
        <x:v>221.79500000000002</x:v>
      </x:c>
      <x:c r="I31" s="7" t="str">
        <x:f>IF(AND(ISNUMBER(E31),E31&gt;0,F31&gt;0),G31/E31,"")</x:f>
      </x:c>
      <x:c r="J31" s="7" t="str">
        <x:f>IF(AND(ISNUMBER(E31),E31&gt;0,F31&gt;0),H31/E31,"")</x:f>
      </x:c>
      <x:c r="K31" s="1" t="str">
        <x:f>IF(F31=0,"无浓度数据",IF(E31="","缺周表阈值","可计算"))</x:f>
        <x:v>缺周表阈值</x:v>
      </x:c>
      <x:c r="L31" s="1" t="str">
        <x:f>IF(NOT(ISNUMBER(J31)),"待定",IF(J31&gt;50,"骨架成分",IF(J31&gt;=2,"重要成分","两档成分")))</x:f>
        <x:v>待定</x:v>
      </x:c>
      <x:c r="M31" s="1" t="str">
        <x:f>IF(NOT(ISNUMBER(J31)),"",IF(J31&gt;=2,3,2))</x:f>
      </x:c>
      <x:c r="N31" s="1" t="str">
        <x:f>IF(NOT(ISNUMBER(J31)),"缺少可算OAV",IF(J31&gt;=2,"最大值、中位值、低值待校准","最大值、中位值"))</x:f>
        <x:v>缺少可算OAV</x:v>
      </x:c>
      <x:c r="O31" s="1" t="str">
        <x:f>IF(NOT(ISNUMBER(J31)),"待定",IF(J31&lt;2,"不设第三档",IF(J31&lt;=5,"中位OAV≤5；低档须低于中位浓度","低档需预试确认与中档可区分")))</x:f>
        <x:v>待定</x:v>
      </x:c>
    </x:row>
    <x:row r="32" ht="23" customHeight="1">
      <x:c r="A32" s="1" t="n">
        <x:f>'浓度与阈值来源'!A32</x:f>
        <x:v>27</x:v>
      </x:c>
      <x:c r="B32" s="1" t="str">
        <x:f>IF('浓度与阈值来源'!B32="","",'浓度与阈值来源'!B32)</x:f>
        <x:v>苯甲酸甲酯</x:v>
      </x:c>
      <x:c r="C32" s="1" t="str">
        <x:f>IF('浓度与阈值来源'!C32="","",'浓度与阈值来源'!C32)</x:f>
        <x:v>93-58-3</x:v>
      </x:c>
      <x:c r="D32" s="1"/>
      <x:c r="E32" s="5" t="str">
        <x:f>IF('浓度与阈值来源'!D32&gt;0,'浓度与阈值来源'!D32,"")</x:f>
      </x:c>
      <x:c r="F32" s="6" t="n">
        <x:f>COUNT('浓度与阈值来源'!E32:DM32)</x:f>
        <x:v>13</x:v>
      </x:c>
      <x:c r="G32" s="5" t="n">
        <x:f>IF(F32=0,"",MAX('浓度与阈值来源'!E32:DM32))</x:f>
        <x:v>224.22</x:v>
      </x:c>
      <x:c r="H32" s="5" t="n">
        <x:f>IF(F32=0,"",MEDIAN('浓度与阈值来源'!E32:DM32))</x:f>
        <x:v>114.17</x:v>
      </x:c>
      <x:c r="I32" s="7" t="str">
        <x:f>IF(AND(ISNUMBER(E32),E32&gt;0,F32&gt;0),G32/E32,"")</x:f>
      </x:c>
      <x:c r="J32" s="7" t="str">
        <x:f>IF(AND(ISNUMBER(E32),E32&gt;0,F32&gt;0),H32/E32,"")</x:f>
      </x:c>
      <x:c r="K32" s="1" t="str">
        <x:f>IF(F32=0,"无浓度数据",IF(E32="","缺周表阈值","可计算"))</x:f>
        <x:v>缺周表阈值</x:v>
      </x:c>
      <x:c r="L32" s="1" t="str">
        <x:f>IF(NOT(ISNUMBER(J32)),"待定",IF(J32&gt;50,"骨架成分",IF(J32&gt;=2,"重要成分","两档成分")))</x:f>
        <x:v>待定</x:v>
      </x:c>
      <x:c r="M32" s="1" t="str">
        <x:f>IF(NOT(ISNUMBER(J32)),"",IF(J32&gt;=2,3,2))</x:f>
      </x:c>
      <x:c r="N32" s="1" t="str">
        <x:f>IF(NOT(ISNUMBER(J32)),"缺少可算OAV",IF(J32&gt;=2,"最大值、中位值、低值待校准","最大值、中位值"))</x:f>
        <x:v>缺少可算OAV</x:v>
      </x:c>
      <x:c r="O32" s="1" t="str">
        <x:f>IF(NOT(ISNUMBER(J32)),"待定",IF(J32&lt;2,"不设第三档",IF(J32&lt;=5,"中位OAV≤5；低档须低于中位浓度","低档需预试确认与中档可区分")))</x:f>
        <x:v>待定</x:v>
      </x:c>
    </x:row>
    <x:row r="33" ht="23" customHeight="1">
      <x:c r="A33" s="1" t="n">
        <x:f>'浓度与阈值来源'!A33</x:f>
        <x:v>28</x:v>
      </x:c>
      <x:c r="B33" s="1" t="str">
        <x:f>IF('浓度与阈值来源'!B33="","",'浓度与阈值来源'!B33)</x:f>
        <x:v>苯甲酸乙酯</x:v>
      </x:c>
      <x:c r="C33" s="1" t="str">
        <x:f>IF('浓度与阈值来源'!C33="","",'浓度与阈值来源'!C33)</x:f>
        <x:v>93-89-0</x:v>
      </x:c>
      <x:c r="D33" s="1" t="str">
        <x:v>Ethyl benzoate</x:v>
      </x:c>
      <x:c r="E33" s="5" t="n">
        <x:f>IF('浓度与阈值来源'!D33&gt;0,'浓度与阈值来源'!D33,"")</x:f>
        <x:v>407</x:v>
      </x:c>
      <x:c r="F33" s="6" t="n">
        <x:f>COUNT('浓度与阈值来源'!E33:DM33)</x:f>
        <x:v>36</x:v>
      </x:c>
      <x:c r="G33" s="5" t="n">
        <x:f>IF(F33=0,"",MAX('浓度与阈值来源'!E33:DM33))</x:f>
        <x:v>4640</x:v>
      </x:c>
      <x:c r="H33" s="5" t="n">
        <x:f>IF(F33=0,"",MEDIAN('浓度与阈值来源'!E33:DM33))</x:f>
        <x:v>54.97</x:v>
      </x:c>
      <x:c r="I33" s="7" t="n">
        <x:f>IF(AND(ISNUMBER(E33),E33&gt;0,F33&gt;0),G33/E33,"")</x:f>
        <x:v>11.4004914004914</x:v>
      </x:c>
      <x:c r="J33" s="7" t="n">
        <x:f>IF(AND(ISNUMBER(E33),E33&gt;0,F33&gt;0),H33/E33,"")</x:f>
        <x:v>0.13506142506142507</x:v>
      </x:c>
      <x:c r="K33" s="1" t="str">
        <x:f>IF(F33=0,"无浓度数据",IF(E33="","缺周表阈值","可计算"))</x:f>
        <x:v>可计算</x:v>
      </x:c>
      <x:c r="L33" s="1" t="str">
        <x:f>IF(NOT(ISNUMBER(J33)),"待定",IF(J33&gt;50,"骨架成分",IF(J33&gt;=2,"重要成分","两档成分")))</x:f>
        <x:v>两档成分</x:v>
      </x:c>
      <x:c r="M33" s="1" t="n">
        <x:f>IF(NOT(ISNUMBER(J33)),"",IF(J33&gt;=2,3,2))</x:f>
        <x:v>2</x:v>
      </x:c>
      <x:c r="N33" s="1" t="str">
        <x:f>IF(NOT(ISNUMBER(J33)),"缺少可算OAV",IF(J33&gt;=2,"最大值、中位值、低值待校准","最大值、中位值"))</x:f>
        <x:v>最大值、中位值</x:v>
      </x:c>
      <x:c r="O33" s="1" t="str">
        <x:f>IF(NOT(ISNUMBER(J33)),"待定",IF(J33&lt;2,"不设第三档",IF(J33&lt;=5,"中位OAV≤5；低档须低于中位浓度","低档需预试确认与中档可区分")))</x:f>
        <x:v>不设第三档</x:v>
      </x:c>
    </x:row>
    <x:row r="34" ht="23" customHeight="1">
      <x:c r="A34" s="1" t="n">
        <x:f>'浓度与阈值来源'!A34</x:f>
        <x:v>29</x:v>
      </x:c>
      <x:c r="B34" s="1" t="str">
        <x:f>IF('浓度与阈值来源'!B34="","",'浓度与阈值来源'!B34)</x:f>
        <x:v>2-甲基丁醛</x:v>
      </x:c>
      <x:c r="C34" s="1" t="str">
        <x:f>IF('浓度与阈值来源'!C34="","",'浓度与阈值来源'!C34)</x:f>
        <x:v>96-17-3</x:v>
      </x:c>
      <x:c r="D34" s="1"/>
      <x:c r="E34" s="5" t="str">
        <x:f>IF('浓度与阈值来源'!D34&gt;0,'浓度与阈值来源'!D34,"")</x:f>
      </x:c>
      <x:c r="F34" s="6" t="n">
        <x:f>COUNT('浓度与阈值来源'!E34:DM34)</x:f>
        <x:v>5</x:v>
      </x:c>
      <x:c r="G34" s="5" t="n">
        <x:f>IF(F34=0,"",MAX('浓度与阈值来源'!E34:DM34))</x:f>
        <x:v>435</x:v>
      </x:c>
      <x:c r="H34" s="5" t="n">
        <x:f>IF(F34=0,"",MEDIAN('浓度与阈值来源'!E34:DM34))</x:f>
        <x:v>6.53</x:v>
      </x:c>
      <x:c r="I34" s="7" t="str">
        <x:f>IF(AND(ISNUMBER(E34),E34&gt;0,F34&gt;0),G34/E34,"")</x:f>
      </x:c>
      <x:c r="J34" s="7" t="str">
        <x:f>IF(AND(ISNUMBER(E34),E34&gt;0,F34&gt;0),H34/E34,"")</x:f>
      </x:c>
      <x:c r="K34" s="1" t="str">
        <x:f>IF(F34=0,"无浓度数据",IF(E34="","缺周表阈值","可计算"))</x:f>
        <x:v>缺周表阈值</x:v>
      </x:c>
      <x:c r="L34" s="1" t="str">
        <x:f>IF(NOT(ISNUMBER(J34)),"待定",IF(J34&gt;50,"骨架成分",IF(J34&gt;=2,"重要成分","两档成分")))</x:f>
        <x:v>待定</x:v>
      </x:c>
      <x:c r="M34" s="1" t="str">
        <x:f>IF(NOT(ISNUMBER(J34)),"",IF(J34&gt;=2,3,2))</x:f>
      </x:c>
      <x:c r="N34" s="1" t="str">
        <x:f>IF(NOT(ISNUMBER(J34)),"缺少可算OAV",IF(J34&gt;=2,"最大值、中位值、低值待校准","最大值、中位值"))</x:f>
        <x:v>缺少可算OAV</x:v>
      </x:c>
      <x:c r="O34" s="1" t="str">
        <x:f>IF(NOT(ISNUMBER(J34)),"待定",IF(J34&lt;2,"不设第三档",IF(J34&lt;=5,"中位OAV≤5；低档须低于中位浓度","低档需预试确认与中档可区分")))</x:f>
        <x:v>待定</x:v>
      </x:c>
    </x:row>
    <x:row r="35" ht="23" customHeight="1">
      <x:c r="A35" s="1" t="n">
        <x:f>'浓度与阈值来源'!A35</x:f>
        <x:v>30</x:v>
      </x:c>
      <x:c r="B35" s="1" t="str">
        <x:f>IF('浓度与阈值来源'!B35="","",'浓度与阈值来源'!B35)</x:f>
      </x:c>
      <x:c r="C35" s="1" t="str">
        <x:f>IF('浓度与阈值来源'!C35="","",'浓度与阈值来源'!C35)</x:f>
        <x:v>96-41-3</x:v>
      </x:c>
      <x:c r="D35" s="1" t="str">
        <x:v>Cyclopentanol</x:v>
      </x:c>
      <x:c r="E35" s="5" t="str">
        <x:f>IF('浓度与阈值来源'!D35&gt;0,'浓度与阈值来源'!D35,"")</x:f>
      </x:c>
      <x:c r="F35" s="6" t="n">
        <x:f>COUNT('浓度与阈值来源'!E35:DM35)</x:f>
        <x:v>8</x:v>
      </x:c>
      <x:c r="G35" s="5" t="n">
        <x:f>IF(F35=0,"",MAX('浓度与阈值来源'!E35:DM35))</x:f>
        <x:v>42900</x:v>
      </x:c>
      <x:c r="H35" s="5" t="n">
        <x:f>IF(F35=0,"",MEDIAN('浓度与阈值来源'!E35:DM35))</x:f>
        <x:v>6860</x:v>
      </x:c>
      <x:c r="I35" s="7" t="str">
        <x:f>IF(AND(ISNUMBER(E35),E35&gt;0,F35&gt;0),G35/E35,"")</x:f>
      </x:c>
      <x:c r="J35" s="7" t="str">
        <x:f>IF(AND(ISNUMBER(E35),E35&gt;0,F35&gt;0),H35/E35,"")</x:f>
      </x:c>
      <x:c r="K35" s="1" t="str">
        <x:f>IF(F35=0,"无浓度数据",IF(E35="","缺周表阈值","可计算"))</x:f>
        <x:v>缺周表阈值</x:v>
      </x:c>
      <x:c r="L35" s="1" t="str">
        <x:f>IF(NOT(ISNUMBER(J35)),"待定",IF(J35&gt;50,"骨架成分",IF(J35&gt;=2,"重要成分","两档成分")))</x:f>
        <x:v>待定</x:v>
      </x:c>
      <x:c r="M35" s="1" t="str">
        <x:f>IF(NOT(ISNUMBER(J35)),"",IF(J35&gt;=2,3,2))</x:f>
      </x:c>
      <x:c r="N35" s="1" t="str">
        <x:f>IF(NOT(ISNUMBER(J35)),"缺少可算OAV",IF(J35&gt;=2,"最大值、中位值、低值待校准","最大值、中位值"))</x:f>
        <x:v>缺少可算OAV</x:v>
      </x:c>
      <x:c r="O35" s="1" t="str">
        <x:f>IF(NOT(ISNUMBER(J35)),"待定",IF(J35&lt;2,"不设第三档",IF(J35&lt;=5,"中位OAV≤5；低档须低于中位浓度","低档需预试确认与中档可区分")))</x:f>
        <x:v>待定</x:v>
      </x:c>
    </x:row>
    <x:row r="36" ht="23" customHeight="1">
      <x:c r="A36" s="1" t="n">
        <x:f>'浓度与阈值来源'!A36</x:f>
        <x:v>31</x:v>
      </x:c>
      <x:c r="B36" s="1" t="str">
        <x:f>IF('浓度与阈值来源'!B36="","",'浓度与阈值来源'!B36)</x:f>
        <x:v>γ-丁内酯</x:v>
      </x:c>
      <x:c r="C36" s="1" t="str">
        <x:f>IF('浓度与阈值来源'!C36="","",'浓度与阈值来源'!C36)</x:f>
        <x:v>96-48-0</x:v>
      </x:c>
      <x:c r="D36" s="1"/>
      <x:c r="E36" s="5" t="str">
        <x:f>IF('浓度与阈值来源'!D36&gt;0,'浓度与阈值来源'!D36,"")</x:f>
      </x:c>
      <x:c r="F36" s="6" t="n">
        <x:f>COUNT('浓度与阈值来源'!E36:DM36)</x:f>
        <x:v>13</x:v>
      </x:c>
      <x:c r="G36" s="5" t="n">
        <x:f>IF(F36=0,"",MAX('浓度与阈值来源'!E36:DM36))</x:f>
        <x:v>14.88</x:v>
      </x:c>
      <x:c r="H36" s="5" t="n">
        <x:f>IF(F36=0,"",MEDIAN('浓度与阈值来源'!E36:DM36))</x:f>
        <x:v>7</x:v>
      </x:c>
      <x:c r="I36" s="7" t="str">
        <x:f>IF(AND(ISNUMBER(E36),E36&gt;0,F36&gt;0),G36/E36,"")</x:f>
      </x:c>
      <x:c r="J36" s="7" t="str">
        <x:f>IF(AND(ISNUMBER(E36),E36&gt;0,F36&gt;0),H36/E36,"")</x:f>
      </x:c>
      <x:c r="K36" s="1" t="str">
        <x:f>IF(F36=0,"无浓度数据",IF(E36="","缺周表阈值","可计算"))</x:f>
        <x:v>缺周表阈值</x:v>
      </x:c>
      <x:c r="L36" s="1" t="str">
        <x:f>IF(NOT(ISNUMBER(J36)),"待定",IF(J36&gt;50,"骨架成分",IF(J36&gt;=2,"重要成分","两档成分")))</x:f>
        <x:v>待定</x:v>
      </x:c>
      <x:c r="M36" s="1" t="str">
        <x:f>IF(NOT(ISNUMBER(J36)),"",IF(J36&gt;=2,3,2))</x:f>
      </x:c>
      <x:c r="N36" s="1" t="str">
        <x:f>IF(NOT(ISNUMBER(J36)),"缺少可算OAV",IF(J36&gt;=2,"最大值、中位值、低值待校准","最大值、中位值"))</x:f>
        <x:v>缺少可算OAV</x:v>
      </x:c>
      <x:c r="O36" s="1" t="str">
        <x:f>IF(NOT(ISNUMBER(J36)),"待定",IF(J36&lt;2,"不设第三档",IF(J36&lt;=5,"中位OAV≤5；低档须低于中位浓度","低档需预试确认与中档可区分")))</x:f>
        <x:v>待定</x:v>
      </x:c>
    </x:row>
    <x:row r="37" ht="23" customHeight="1">
      <x:c r="A37" s="1" t="n">
        <x:f>'浓度与阈值来源'!A37</x:f>
        <x:v>32</x:v>
      </x:c>
      <x:c r="B37" s="1" t="str">
        <x:f>IF('浓度与阈值来源'!B37="","",'浓度与阈值来源'!B37)</x:f>
        <x:v>异丁酸乙酯</x:v>
      </x:c>
      <x:c r="C37" s="1" t="str">
        <x:f>IF('浓度与阈值来源'!C37="","",'浓度与阈值来源'!C37)</x:f>
        <x:v>97-62-1</x:v>
      </x:c>
      <x:c r="D37" s="1" t="str">
        <x:v>Ethyl isobutyrate</x:v>
      </x:c>
      <x:c r="E37" s="5" t="n">
        <x:f>IF('浓度与阈值来源'!D37&gt;0,'浓度与阈值来源'!D37,"")</x:f>
        <x:v>57.5</x:v>
      </x:c>
      <x:c r="F37" s="6" t="n">
        <x:f>COUNT('浓度与阈值来源'!E37:DM37)</x:f>
        <x:v>44</x:v>
      </x:c>
      <x:c r="G37" s="5" t="n">
        <x:f>IF(F37=0,"",MAX('浓度与阈值来源'!E37:DM37))</x:f>
        <x:v>37489</x:v>
      </x:c>
      <x:c r="H37" s="5" t="n">
        <x:f>IF(F37=0,"",MEDIAN('浓度与阈值来源'!E37:DM37))</x:f>
        <x:v>2894.4</x:v>
      </x:c>
      <x:c r="I37" s="7" t="n">
        <x:f>IF(AND(ISNUMBER(E37),E37&gt;0,F37&gt;0),G37/E37,"")</x:f>
        <x:v>651.9826086956522</x:v>
      </x:c>
      <x:c r="J37" s="7" t="n">
        <x:f>IF(AND(ISNUMBER(E37),E37&gt;0,F37&gt;0),H37/E37,"")</x:f>
        <x:v>50.337391304347825</x:v>
      </x:c>
      <x:c r="K37" s="1" t="str">
        <x:f>IF(F37=0,"无浓度数据",IF(E37="","缺周表阈值","可计算"))</x:f>
        <x:v>可计算</x:v>
      </x:c>
      <x:c r="L37" s="1" t="str">
        <x:f>IF(NOT(ISNUMBER(J37)),"待定",IF(J37&gt;50,"骨架成分",IF(J37&gt;=2,"重要成分","两档成分")))</x:f>
        <x:v>骨架成分</x:v>
      </x:c>
      <x:c r="M37" s="1" t="n">
        <x:f>IF(NOT(ISNUMBER(J37)),"",IF(J37&gt;=2,3,2))</x:f>
        <x:v>3</x:v>
      </x:c>
      <x:c r="N37" s="1" t="str">
        <x:f>IF(NOT(ISNUMBER(J37)),"缺少可算OAV",IF(J37&gt;=2,"最大值、中位值、低值待校准","最大值、中位值"))</x:f>
        <x:v>最大值、中位值、低值待校准</x:v>
      </x:c>
      <x:c r="O37" s="1" t="str">
        <x:f>IF(NOT(ISNUMBER(J37)),"待定",IF(J37&lt;2,"不设第三档",IF(J37&lt;=5,"中位OAV≤5；低档须低于中位浓度","低档需预试确认与中档可区分")))</x:f>
        <x:v>低档需预试确认与中档可区分</x:v>
      </x:c>
    </x:row>
    <x:row r="38" ht="23" customHeight="1">
      <x:c r="A38" s="1" t="n">
        <x:f>'浓度与阈值来源'!A38</x:f>
        <x:v>33</x:v>
      </x:c>
      <x:c r="B38" s="1" t="str">
        <x:f>IF('浓度与阈值来源'!B38="","",'浓度与阈值来源'!B38)</x:f>
        <x:v>乳酸乙酯</x:v>
      </x:c>
      <x:c r="C38" s="1" t="str">
        <x:f>IF('浓度与阈值来源'!C38="","",'浓度与阈值来源'!C38)</x:f>
        <x:v>97-64-3</x:v>
      </x:c>
      <x:c r="D38" s="1" t="str">
        <x:v>Ethyl lactate</x:v>
      </x:c>
      <x:c r="E38" s="5" t="n">
        <x:f>IF('浓度与阈值来源'!D38&gt;0,'浓度与阈值来源'!D38,"")</x:f>
        <x:v>100000</x:v>
      </x:c>
      <x:c r="F38" s="6" t="n">
        <x:f>COUNT('浓度与阈值来源'!E38:DM38)</x:f>
        <x:v>71</x:v>
      </x:c>
      <x:c r="G38" s="5" t="n">
        <x:f>IF(F38=0,"",MAX('浓度与阈值来源'!E38:DM38))</x:f>
        <x:v>1067145</x:v>
      </x:c>
      <x:c r="H38" s="5" t="n">
        <x:f>IF(F38=0,"",MEDIAN('浓度与阈值来源'!E38:DM38))</x:f>
        <x:v>1616.91</x:v>
      </x:c>
      <x:c r="I38" s="7" t="n">
        <x:f>IF(AND(ISNUMBER(E38),E38&gt;0,F38&gt;0),G38/E38,"")</x:f>
        <x:v>10.67145</x:v>
      </x:c>
      <x:c r="J38" s="7" t="n">
        <x:f>IF(AND(ISNUMBER(E38),E38&gt;0,F38&gt;0),H38/E38,"")</x:f>
        <x:v>0.016169100000000002</x:v>
      </x:c>
      <x:c r="K38" s="1" t="str">
        <x:f>IF(F38=0,"无浓度数据",IF(E38="","缺周表阈值","可计算"))</x:f>
        <x:v>可计算</x:v>
      </x:c>
      <x:c r="L38" s="1" t="str">
        <x:f>IF(NOT(ISNUMBER(J38)),"待定",IF(J38&gt;50,"骨架成分",IF(J38&gt;=2,"重要成分","两档成分")))</x:f>
        <x:v>两档成分</x:v>
      </x:c>
      <x:c r="M38" s="1" t="n">
        <x:f>IF(NOT(ISNUMBER(J38)),"",IF(J38&gt;=2,3,2))</x:f>
        <x:v>2</x:v>
      </x:c>
      <x:c r="N38" s="1" t="str">
        <x:f>IF(NOT(ISNUMBER(J38)),"缺少可算OAV",IF(J38&gt;=2,"最大值、中位值、低值待校准","最大值、中位值"))</x:f>
        <x:v>最大值、中位值</x:v>
      </x:c>
      <x:c r="O38" s="1" t="str">
        <x:f>IF(NOT(ISNUMBER(J38)),"待定",IF(J38&lt;2,"不设第三档",IF(J38&lt;=5,"中位OAV≤5；低档须低于中位浓度","低档需预试确认与中档可区分")))</x:f>
        <x:v>不设第三档</x:v>
      </x:c>
    </x:row>
    <x:row r="39" ht="23" customHeight="1">
      <x:c r="A39" s="1" t="n">
        <x:f>'浓度与阈值来源'!A39</x:f>
        <x:v>34</x:v>
      </x:c>
      <x:c r="B39" s="1" t="str">
        <x:f>IF('浓度与阈值来源'!B39="","",'浓度与阈值来源'!B39)</x:f>
        <x:v>糠醇</x:v>
      </x:c>
      <x:c r="C39" s="1" t="str">
        <x:f>IF('浓度与阈值来源'!C39="","",'浓度与阈值来源'!C39)</x:f>
        <x:v>98-00-0</x:v>
      </x:c>
      <x:c r="D39" s="1" t="str">
        <x:v>Furfuryl alcohol</x:v>
      </x:c>
      <x:c r="E39" s="5" t="n">
        <x:f>IF('浓度与阈值来源'!D39&gt;0,'浓度与阈值来源'!D39,"")</x:f>
        <x:v>15000</x:v>
      </x:c>
      <x:c r="F39" s="6" t="n">
        <x:f>COUNT('浓度与阈值来源'!E39:DM39)</x:f>
        <x:v>43</x:v>
      </x:c>
      <x:c r="G39" s="5" t="n">
        <x:f>IF(F39=0,"",MAX('浓度与阈值来源'!E39:DM39))</x:f>
        <x:v>279000</x:v>
      </x:c>
      <x:c r="H39" s="5" t="n">
        <x:f>IF(F39=0,"",MEDIAN('浓度与阈值来源'!E39:DM39))</x:f>
        <x:v>30</x:v>
      </x:c>
      <x:c r="I39" s="7" t="n">
        <x:f>IF(AND(ISNUMBER(E39),E39&gt;0,F39&gt;0),G39/E39,"")</x:f>
        <x:v>18.6</x:v>
      </x:c>
      <x:c r="J39" s="7" t="n">
        <x:f>IF(AND(ISNUMBER(E39),E39&gt;0,F39&gt;0),H39/E39,"")</x:f>
        <x:v>0.002</x:v>
      </x:c>
      <x:c r="K39" s="1" t="str">
        <x:f>IF(F39=0,"无浓度数据",IF(E39="","缺周表阈值","可计算"))</x:f>
        <x:v>可计算</x:v>
      </x:c>
      <x:c r="L39" s="1" t="str">
        <x:f>IF(NOT(ISNUMBER(J39)),"待定",IF(J39&gt;50,"骨架成分",IF(J39&gt;=2,"重要成分","两档成分")))</x:f>
        <x:v>两档成分</x:v>
      </x:c>
      <x:c r="M39" s="1" t="n">
        <x:f>IF(NOT(ISNUMBER(J39)),"",IF(J39&gt;=2,3,2))</x:f>
        <x:v>2</x:v>
      </x:c>
      <x:c r="N39" s="1" t="str">
        <x:f>IF(NOT(ISNUMBER(J39)),"缺少可算OAV",IF(J39&gt;=2,"最大值、中位值、低值待校准","最大值、中位值"))</x:f>
        <x:v>最大值、中位值</x:v>
      </x:c>
      <x:c r="O39" s="1" t="str">
        <x:f>IF(NOT(ISNUMBER(J39)),"待定",IF(J39&lt;2,"不设第三档",IF(J39&lt;=5,"中位OAV≤5；低档须低于中位浓度","低档需预试确认与中档可区分")))</x:f>
        <x:v>不设第三档</x:v>
      </x:c>
    </x:row>
    <x:row r="40" ht="23" customHeight="1">
      <x:c r="A40" s="1" t="n">
        <x:f>'浓度与阈值来源'!A40</x:f>
        <x:v>35</x:v>
      </x:c>
      <x:c r="B40" s="1" t="str">
        <x:f>IF('浓度与阈值来源'!B40="","",'浓度与阈值来源'!B40)</x:f>
        <x:v>糠醛</x:v>
      </x:c>
      <x:c r="C40" s="1" t="str">
        <x:f>IF('浓度与阈值来源'!C40="","",'浓度与阈值来源'!C40)</x:f>
        <x:v>98-01-1</x:v>
      </x:c>
      <x:c r="D40" s="1" t="str">
        <x:v>Furfural</x:v>
      </x:c>
      <x:c r="E40" s="5" t="n">
        <x:f>IF('浓度与阈值来源'!D40&gt;0,'浓度与阈值来源'!D40,"")</x:f>
        <x:v>44000</x:v>
      </x:c>
      <x:c r="F40" s="6" t="n">
        <x:f>COUNT('浓度与阈值来源'!E40:DM40)</x:f>
        <x:v>71</x:v>
      </x:c>
      <x:c r="G40" s="5" t="n">
        <x:f>IF(F40=0,"",MAX('浓度与阈值来源'!E40:DM40))</x:f>
        <x:v>202500</x:v>
      </x:c>
      <x:c r="H40" s="5" t="n">
        <x:f>IF(F40=0,"",MEDIAN('浓度与阈值来源'!E40:DM40))</x:f>
        <x:v>6102.98</x:v>
      </x:c>
      <x:c r="I40" s="7" t="n">
        <x:f>IF(AND(ISNUMBER(E40),E40&gt;0,F40&gt;0),G40/E40,"")</x:f>
        <x:v>4.6022727272727275</x:v>
      </x:c>
      <x:c r="J40" s="7" t="n">
        <x:f>IF(AND(ISNUMBER(E40),E40&gt;0,F40&gt;0),H40/E40,"")</x:f>
        <x:v>0.1387040909090909</x:v>
      </x:c>
      <x:c r="K40" s="1" t="str">
        <x:f>IF(F40=0,"无浓度数据",IF(E40="","缺周表阈值","可计算"))</x:f>
        <x:v>可计算</x:v>
      </x:c>
      <x:c r="L40" s="1" t="str">
        <x:f>IF(NOT(ISNUMBER(J40)),"待定",IF(J40&gt;50,"骨架成分",IF(J40&gt;=2,"重要成分","两档成分")))</x:f>
        <x:v>两档成分</x:v>
      </x:c>
      <x:c r="M40" s="1" t="n">
        <x:f>IF(NOT(ISNUMBER(J40)),"",IF(J40&gt;=2,3,2))</x:f>
        <x:v>2</x:v>
      </x:c>
      <x:c r="N40" s="1" t="str">
        <x:f>IF(NOT(ISNUMBER(J40)),"缺少可算OAV",IF(J40&gt;=2,"最大值、中位值、低值待校准","最大值、中位值"))</x:f>
        <x:v>最大值、中位值</x:v>
      </x:c>
      <x:c r="O40" s="1" t="str">
        <x:f>IF(NOT(ISNUMBER(J40)),"待定",IF(J40&lt;2,"不设第三档",IF(J40&lt;=5,"中位OAV≤5；低档须低于中位浓度","低档需预试确认与中档可区分")))</x:f>
        <x:v>不设第三档</x:v>
      </x:c>
    </x:row>
    <x:row r="41" ht="23" customHeight="1">
      <x:c r="A41" s="1" t="n">
        <x:f>'浓度与阈值来源'!A41</x:f>
        <x:v>36</x:v>
      </x:c>
      <x:c r="B41" s="1" t="str">
        <x:f>IF('浓度与阈值来源'!B41="","",'浓度与阈值来源'!B41)</x:f>
      </x:c>
      <x:c r="C41" s="1" t="str">
        <x:f>IF('浓度与阈值来源'!C41="","",'浓度与阈值来源'!C41)</x:f>
        <x:v>98-03-3</x:v>
      </x:c>
      <x:c r="D41" s="1" t="str">
        <x:v>2-thenaldehyde</x:v>
      </x:c>
      <x:c r="E41" s="5" t="str">
        <x:f>IF('浓度与阈值来源'!D41&gt;0,'浓度与阈值来源'!D41,"")</x:f>
      </x:c>
      <x:c r="F41" s="6" t="n">
        <x:f>COUNT('浓度与阈值来源'!E41:DM41)</x:f>
        <x:v>2</x:v>
      </x:c>
      <x:c r="G41" s="5" t="n">
        <x:f>IF(F41=0,"",MAX('浓度与阈值来源'!E41:DM41))</x:f>
        <x:v>22</x:v>
      </x:c>
      <x:c r="H41" s="5" t="n">
        <x:f>IF(F41=0,"",MEDIAN('浓度与阈值来源'!E41:DM41))</x:f>
        <x:v>16.5</x:v>
      </x:c>
      <x:c r="I41" s="7" t="str">
        <x:f>IF(AND(ISNUMBER(E41),E41&gt;0,F41&gt;0),G41/E41,"")</x:f>
      </x:c>
      <x:c r="J41" s="7" t="str">
        <x:f>IF(AND(ISNUMBER(E41),E41&gt;0,F41&gt;0),H41/E41,"")</x:f>
      </x:c>
      <x:c r="K41" s="1" t="str">
        <x:f>IF(F41=0,"无浓度数据",IF(E41="","缺周表阈值","可计算"))</x:f>
        <x:v>缺周表阈值</x:v>
      </x:c>
      <x:c r="L41" s="1" t="str">
        <x:f>IF(NOT(ISNUMBER(J41)),"待定",IF(J41&gt;50,"骨架成分",IF(J41&gt;=2,"重要成分","两档成分")))</x:f>
        <x:v>待定</x:v>
      </x:c>
      <x:c r="M41" s="1" t="str">
        <x:f>IF(NOT(ISNUMBER(J41)),"",IF(J41&gt;=2,3,2))</x:f>
      </x:c>
      <x:c r="N41" s="1" t="str">
        <x:f>IF(NOT(ISNUMBER(J41)),"缺少可算OAV",IF(J41&gt;=2,"最大值、中位值、低值待校准","最大值、中位值"))</x:f>
        <x:v>缺少可算OAV</x:v>
      </x:c>
      <x:c r="O41" s="1" t="str">
        <x:f>IF(NOT(ISNUMBER(J41)),"待定",IF(J41&lt;2,"不设第三档",IF(J41&lt;=5,"中位OAV≤5；低档须低于中位浓度","低档需预试确认与中档可区分")))</x:f>
        <x:v>待定</x:v>
      </x:c>
    </x:row>
    <x:row r="42" ht="23" customHeight="1">
      <x:c r="A42" s="1" t="n">
        <x:f>'浓度与阈值来源'!A42</x:f>
        <x:v>37</x:v>
      </x:c>
      <x:c r="B42" s="1" t="str">
        <x:f>IF('浓度与阈值来源'!B42="","",'浓度与阈值来源'!B42)</x:f>
        <x:v>苯乙酮</x:v>
      </x:c>
      <x:c r="C42" s="1" t="str">
        <x:f>IF('浓度与阈值来源'!C42="","",'浓度与阈值来源'!C42)</x:f>
        <x:v>98-86-2</x:v>
      </x:c>
      <x:c r="D42" s="1" t="str">
        <x:v>1-phenylethanone</x:v>
      </x:c>
      <x:c r="E42" s="5" t="n">
        <x:f>IF('浓度与阈值来源'!D42&gt;0,'浓度与阈值来源'!D42,"")</x:f>
        <x:v>256</x:v>
      </x:c>
      <x:c r="F42" s="6" t="n">
        <x:f>COUNT('浓度与阈值来源'!E42:DM42)</x:f>
        <x:v>31</x:v>
      </x:c>
      <x:c r="G42" s="5" t="n">
        <x:f>IF(F42=0,"",MAX('浓度与阈值来源'!E42:DM42))</x:f>
        <x:v>369</x:v>
      </x:c>
      <x:c r="H42" s="5" t="n">
        <x:f>IF(F42=0,"",MEDIAN('浓度与阈值来源'!E42:DM42))</x:f>
        <x:v>43.13</x:v>
      </x:c>
      <x:c r="I42" s="7" t="n">
        <x:f>IF(AND(ISNUMBER(E42),E42&gt;0,F42&gt;0),G42/E42,"")</x:f>
        <x:v>1.44140625</x:v>
      </x:c>
      <x:c r="J42" s="7" t="n">
        <x:f>IF(AND(ISNUMBER(E42),E42&gt;0,F42&gt;0),H42/E42,"")</x:f>
        <x:v>0.1684765625</x:v>
      </x:c>
      <x:c r="K42" s="1" t="str">
        <x:f>IF(F42=0,"无浓度数据",IF(E42="","缺周表阈值","可计算"))</x:f>
        <x:v>可计算</x:v>
      </x:c>
      <x:c r="L42" s="1" t="str">
        <x:f>IF(NOT(ISNUMBER(J42)),"待定",IF(J42&gt;50,"骨架成分",IF(J42&gt;=2,"重要成分","两档成分")))</x:f>
        <x:v>两档成分</x:v>
      </x:c>
      <x:c r="M42" s="1" t="n">
        <x:f>IF(NOT(ISNUMBER(J42)),"",IF(J42&gt;=2,3,2))</x:f>
        <x:v>2</x:v>
      </x:c>
      <x:c r="N42" s="1" t="str">
        <x:f>IF(NOT(ISNUMBER(J42)),"缺少可算OAV",IF(J42&gt;=2,"最大值、中位值、低值待校准","最大值、中位值"))</x:f>
        <x:v>最大值、中位值</x:v>
      </x:c>
      <x:c r="O42" s="1" t="str">
        <x:f>IF(NOT(ISNUMBER(J42)),"待定",IF(J42&lt;2,"不设第三档",IF(J42&lt;=5,"中位OAV≤5；低档须低于中位浓度","低档需预试确认与中档可区分")))</x:f>
        <x:v>不设第三档</x:v>
      </x:c>
    </x:row>
    <x:row r="43" ht="23" customHeight="1">
      <x:c r="A43" s="1" t="n">
        <x:f>'浓度与阈值来源'!A43</x:f>
        <x:v>38</x:v>
      </x:c>
      <x:c r="B43" s="1" t="str">
        <x:f>IF('浓度与阈值来源'!B43="","",'浓度与阈值来源'!B43)</x:f>
        <x:v>苯甲醇</x:v>
      </x:c>
      <x:c r="C43" s="1" t="str">
        <x:f>IF('浓度与阈值来源'!C43="","",'浓度与阈值来源'!C43)</x:f>
        <x:v>100-51-6</x:v>
      </x:c>
      <x:c r="D43" s="1" t="str">
        <x:v>phenylmethanol</x:v>
      </x:c>
      <x:c r="E43" s="5" t="n">
        <x:f>IF('浓度与阈值来源'!D43&gt;0,'浓度与阈值来源'!D43,"")</x:f>
        <x:v>40927</x:v>
      </x:c>
      <x:c r="F43" s="6" t="n">
        <x:f>COUNT('浓度与阈值来源'!E43:DM43)</x:f>
        <x:v>17</x:v>
      </x:c>
      <x:c r="G43" s="5" t="n">
        <x:f>IF(F43=0,"",MAX('浓度与阈值来源'!E43:DM43))</x:f>
        <x:v>125.07</x:v>
      </x:c>
      <x:c r="H43" s="5" t="n">
        <x:f>IF(F43=0,"",MEDIAN('浓度与阈值来源'!E43:DM43))</x:f>
        <x:v>26.7</x:v>
      </x:c>
      <x:c r="I43" s="7" t="n">
        <x:f>IF(AND(ISNUMBER(E43),E43&gt;0,F43&gt;0),G43/E43,"")</x:f>
        <x:v>0.0030559288489261367</x:v>
      </x:c>
      <x:c r="J43" s="7" t="n">
        <x:f>IF(AND(ISNUMBER(E43),E43&gt;0,F43&gt;0),H43/E43,"")</x:f>
        <x:v>0.0006523810687321328</x:v>
      </x:c>
      <x:c r="K43" s="1" t="str">
        <x:f>IF(F43=0,"无浓度数据",IF(E43="","缺周表阈值","可计算"))</x:f>
        <x:v>可计算</x:v>
      </x:c>
      <x:c r="L43" s="1" t="str">
        <x:f>IF(NOT(ISNUMBER(J43)),"待定",IF(J43&gt;50,"骨架成分",IF(J43&gt;=2,"重要成分","两档成分")))</x:f>
        <x:v>两档成分</x:v>
      </x:c>
      <x:c r="M43" s="1" t="n">
        <x:f>IF(NOT(ISNUMBER(J43)),"",IF(J43&gt;=2,3,2))</x:f>
        <x:v>2</x:v>
      </x:c>
      <x:c r="N43" s="1" t="str">
        <x:f>IF(NOT(ISNUMBER(J43)),"缺少可算OAV",IF(J43&gt;=2,"最大值、中位值、低值待校准","最大值、中位值"))</x:f>
        <x:v>最大值、中位值</x:v>
      </x:c>
      <x:c r="O43" s="1" t="str">
        <x:f>IF(NOT(ISNUMBER(J43)),"待定",IF(J43&lt;2,"不设第三档",IF(J43&lt;=5,"中位OAV≤5；低档须低于中位浓度","低档需预试确认与中档可区分")))</x:f>
        <x:v>不设第三档</x:v>
      </x:c>
    </x:row>
    <x:row r="44" ht="23" customHeight="1">
      <x:c r="A44" s="1" t="n">
        <x:f>'浓度与阈值来源'!A44</x:f>
        <x:v>39</x:v>
      </x:c>
      <x:c r="B44" s="1" t="str">
        <x:f>IF('浓度与阈值来源'!B44="","",'浓度与阈值来源'!B44)</x:f>
        <x:v>苯甲醛</x:v>
      </x:c>
      <x:c r="C44" s="1" t="str">
        <x:f>IF('浓度与阈值来源'!C44="","",'浓度与阈值来源'!C44)</x:f>
        <x:v>100-52-7</x:v>
      </x:c>
      <x:c r="D44" s="1" t="str">
        <x:v>Benzaldehyde</x:v>
      </x:c>
      <x:c r="E44" s="5" t="n">
        <x:f>IF('浓度与阈值来源'!D44&gt;0,'浓度与阈值来源'!D44,"")</x:f>
        <x:v>4203</x:v>
      </x:c>
      <x:c r="F44" s="6" t="n">
        <x:f>COUNT('浓度与阈值来源'!E44:DM44)</x:f>
        <x:v>44</x:v>
      </x:c>
      <x:c r="G44" s="5" t="n">
        <x:f>IF(F44=0,"",MAX('浓度与阈值来源'!E44:DM44))</x:f>
        <x:v>8572.82</x:v>
      </x:c>
      <x:c r="H44" s="5" t="n">
        <x:f>IF(F44=0,"",MEDIAN('浓度与阈值来源'!E44:DM44))</x:f>
        <x:v>1710</x:v>
      </x:c>
      <x:c r="I44" s="7" t="n">
        <x:f>IF(AND(ISNUMBER(E44),E44&gt;0,F44&gt;0),G44/E44,"")</x:f>
        <x:v>2.0396906971211037</x:v>
      </x:c>
      <x:c r="J44" s="7" t="n">
        <x:f>IF(AND(ISNUMBER(E44),E44&gt;0,F44&gt;0),H44/E44,"")</x:f>
        <x:v>0.4068522483940043</x:v>
      </x:c>
      <x:c r="K44" s="1" t="str">
        <x:f>IF(F44=0,"无浓度数据",IF(E44="","缺周表阈值","可计算"))</x:f>
        <x:v>可计算</x:v>
      </x:c>
      <x:c r="L44" s="1" t="str">
        <x:f>IF(NOT(ISNUMBER(J44)),"待定",IF(J44&gt;50,"骨架成分",IF(J44&gt;=2,"重要成分","两档成分")))</x:f>
        <x:v>两档成分</x:v>
      </x:c>
      <x:c r="M44" s="1" t="n">
        <x:f>IF(NOT(ISNUMBER(J44)),"",IF(J44&gt;=2,3,2))</x:f>
        <x:v>2</x:v>
      </x:c>
      <x:c r="N44" s="1" t="str">
        <x:f>IF(NOT(ISNUMBER(J44)),"缺少可算OAV",IF(J44&gt;=2,"最大值、中位值、低值待校准","最大值、中位值"))</x:f>
        <x:v>最大值、中位值</x:v>
      </x:c>
      <x:c r="O44" s="1" t="str">
        <x:f>IF(NOT(ISNUMBER(J44)),"待定",IF(J44&lt;2,"不设第三档",IF(J44&lt;=5,"中位OAV≤5；低档须低于中位浓度","低档需预试确认与中档可区分")))</x:f>
        <x:v>不设第三档</x:v>
      </x:c>
    </x:row>
    <x:row r="45" ht="23" customHeight="1">
      <x:c r="A45" s="1" t="n">
        <x:f>'浓度与阈值来源'!A45</x:f>
        <x:v>40</x:v>
      </x:c>
      <x:c r="B45" s="1" t="str">
        <x:f>IF('浓度与阈值来源'!B45="","",'浓度与阈值来源'!B45)</x:f>
        <x:v>苯乙酸乙酯</x:v>
      </x:c>
      <x:c r="C45" s="1" t="str">
        <x:f>IF('浓度与阈值来源'!C45="","",'浓度与阈值来源'!C45)</x:f>
        <x:v>101-97-3</x:v>
      </x:c>
      <x:c r="D45" s="1" t="str">
        <x:v>Ethyl phenylacetate</x:v>
      </x:c>
      <x:c r="E45" s="5" t="n">
        <x:f>IF('浓度与阈值来源'!D45&gt;0,'浓度与阈值来源'!D45,"")</x:f>
        <x:v>407</x:v>
      </x:c>
      <x:c r="F45" s="6" t="n">
        <x:f>COUNT('浓度与阈值来源'!E45:DM45)</x:f>
        <x:v>85</x:v>
      </x:c>
      <x:c r="G45" s="5" t="n">
        <x:f>IF(F45=0,"",MAX('浓度与阈值来源'!E45:DM45))</x:f>
        <x:v>21400</x:v>
      </x:c>
      <x:c r="H45" s="5" t="n">
        <x:f>IF(F45=0,"",MEDIAN('浓度与阈值来源'!E45:DM45))</x:f>
        <x:v>883.62</x:v>
      </x:c>
      <x:c r="I45" s="7" t="n">
        <x:f>IF(AND(ISNUMBER(E45),E45&gt;0,F45&gt;0),G45/E45,"")</x:f>
        <x:v>52.57985257985258</x:v>
      </x:c>
      <x:c r="J45" s="7" t="n">
        <x:f>IF(AND(ISNUMBER(E45),E45&gt;0,F45&gt;0),H45/E45,"")</x:f>
        <x:v>2.171056511056511</x:v>
      </x:c>
      <x:c r="K45" s="1" t="str">
        <x:f>IF(F45=0,"无浓度数据",IF(E45="","缺周表阈值","可计算"))</x:f>
        <x:v>可计算</x:v>
      </x:c>
      <x:c r="L45" s="1" t="str">
        <x:f>IF(NOT(ISNUMBER(J45)),"待定",IF(J45&gt;50,"骨架成分",IF(J45&gt;=2,"重要成分","两档成分")))</x:f>
        <x:v>重要成分</x:v>
      </x:c>
      <x:c r="M45" s="1" t="n">
        <x:f>IF(NOT(ISNUMBER(J45)),"",IF(J45&gt;=2,3,2))</x:f>
        <x:v>3</x:v>
      </x:c>
      <x:c r="N45" s="1" t="str">
        <x:f>IF(NOT(ISNUMBER(J45)),"缺少可算OAV",IF(J45&gt;=2,"最大值、中位值、低值待校准","最大值、中位值"))</x:f>
        <x:v>最大值、中位值、低值待校准</x:v>
      </x:c>
      <x:c r="O45" s="1" t="str">
        <x:f>IF(NOT(ISNUMBER(J45)),"待定",IF(J45&lt;2,"不设第三档",IF(J45&lt;=5,"中位OAV≤5；低档须低于中位浓度","低档需预试确认与中档可区分")))</x:f>
        <x:v>中位OAV≤5；低档须低于中位浓度</x:v>
      </x:c>
    </x:row>
    <x:row r="46" ht="23" customHeight="1">
      <x:c r="A46" s="1" t="n">
        <x:f>'浓度与阈值来源'!A46</x:f>
        <x:v>41</x:v>
      </x:c>
      <x:c r="B46" s="1" t="str">
        <x:f>IF('浓度与阈值来源'!B46="","",'浓度与阈值来源'!B46)</x:f>
        <x:v>乙酸苯乙酯</x:v>
      </x:c>
      <x:c r="C46" s="1" t="str">
        <x:f>IF('浓度与阈值来源'!C46="","",'浓度与阈值来源'!C46)</x:f>
        <x:v>103-45-7</x:v>
      </x:c>
      <x:c r="D46" s="1" t="str">
        <x:v>Phenethyl acetate</x:v>
      </x:c>
      <x:c r="E46" s="5" t="n">
        <x:f>IF('浓度与阈值来源'!D46&gt;0,'浓度与阈值来源'!D46,"")</x:f>
        <x:v>909</x:v>
      </x:c>
      <x:c r="F46" s="6" t="n">
        <x:f>COUNT('浓度与阈值来源'!E46:DM46)</x:f>
        <x:v>59</x:v>
      </x:c>
      <x:c r="G46" s="5" t="n">
        <x:f>IF(F46=0,"",MAX('浓度与阈值来源'!E46:DM46))</x:f>
        <x:v>94600</x:v>
      </x:c>
      <x:c r="H46" s="5" t="n">
        <x:f>IF(F46=0,"",MEDIAN('浓度与阈值来源'!E46:DM46))</x:f>
        <x:v>290</x:v>
      </x:c>
      <x:c r="I46" s="7" t="n">
        <x:f>IF(AND(ISNUMBER(E46),E46&gt;0,F46&gt;0),G46/E46,"")</x:f>
        <x:v>104.07040704070407</x:v>
      </x:c>
      <x:c r="J46" s="7" t="n">
        <x:f>IF(AND(ISNUMBER(E46),E46&gt;0,F46&gt;0),H46/E46,"")</x:f>
        <x:v>0.31903190319031904</x:v>
      </x:c>
      <x:c r="K46" s="1" t="str">
        <x:f>IF(F46=0,"无浓度数据",IF(E46="","缺周表阈值","可计算"))</x:f>
        <x:v>可计算</x:v>
      </x:c>
      <x:c r="L46" s="1" t="str">
        <x:f>IF(NOT(ISNUMBER(J46)),"待定",IF(J46&gt;50,"骨架成分",IF(J46&gt;=2,"重要成分","两档成分")))</x:f>
        <x:v>两档成分</x:v>
      </x:c>
      <x:c r="M46" s="1" t="n">
        <x:f>IF(NOT(ISNUMBER(J46)),"",IF(J46&gt;=2,3,2))</x:f>
        <x:v>2</x:v>
      </x:c>
      <x:c r="N46" s="1" t="str">
        <x:f>IF(NOT(ISNUMBER(J46)),"缺少可算OAV",IF(J46&gt;=2,"最大值、中位值、低值待校准","最大值、中位值"))</x:f>
        <x:v>最大值、中位值</x:v>
      </x:c>
      <x:c r="O46" s="1" t="str">
        <x:f>IF(NOT(ISNUMBER(J46)),"待定",IF(J46&lt;2,"不设第三档",IF(J46&lt;=5,"中位OAV≤5；低档须低于中位浓度","低档需预试确认与中档可区分")))</x:f>
        <x:v>不设第三档</x:v>
      </x:c>
    </x:row>
    <x:row r="47" ht="23" customHeight="1">
      <x:c r="A47" s="1" t="n">
        <x:f>'浓度与阈值来源'!A47</x:f>
        <x:v>42</x:v>
      </x:c>
      <x:c r="B47" s="1" t="str">
        <x:f>IF('浓度与阈值来源'!B47="","",'浓度与阈值来源'!B47)</x:f>
        <x:v>异丁酸苯乙酯</x:v>
      </x:c>
      <x:c r="C47" s="1" t="str">
        <x:f>IF('浓度与阈值来源'!C47="","",'浓度与阈值来源'!C47)</x:f>
        <x:v>103-48-0</x:v>
      </x:c>
      <x:c r="D47" s="1"/>
      <x:c r="E47" s="5" t="str">
        <x:f>IF('浓度与阈值来源'!D47&gt;0,'浓度与阈值来源'!D47,"")</x:f>
      </x:c>
      <x:c r="F47" s="6" t="n">
        <x:f>COUNT('浓度与阈值来源'!E47:DM47)</x:f>
        <x:v>1</x:v>
      </x:c>
      <x:c r="G47" s="5" t="n">
        <x:f>IF(F47=0,"",MAX('浓度与阈值来源'!E47:DM47))</x:f>
        <x:v>152</x:v>
      </x:c>
      <x:c r="H47" s="5" t="n">
        <x:f>IF(F47=0,"",MEDIAN('浓度与阈值来源'!E47:DM47))</x:f>
        <x:v>152</x:v>
      </x:c>
      <x:c r="I47" s="7" t="str">
        <x:f>IF(AND(ISNUMBER(E47),E47&gt;0,F47&gt;0),G47/E47,"")</x:f>
      </x:c>
      <x:c r="J47" s="7" t="str">
        <x:f>IF(AND(ISNUMBER(E47),E47&gt;0,F47&gt;0),H47/E47,"")</x:f>
      </x:c>
      <x:c r="K47" s="1" t="str">
        <x:f>IF(F47=0,"无浓度数据",IF(E47="","缺周表阈值","可计算"))</x:f>
        <x:v>缺周表阈值</x:v>
      </x:c>
      <x:c r="L47" s="1" t="str">
        <x:f>IF(NOT(ISNUMBER(J47)),"待定",IF(J47&gt;50,"骨架成分",IF(J47&gt;=2,"重要成分","两档成分")))</x:f>
        <x:v>待定</x:v>
      </x:c>
      <x:c r="M47" s="1" t="str">
        <x:f>IF(NOT(ISNUMBER(J47)),"",IF(J47&gt;=2,3,2))</x:f>
      </x:c>
      <x:c r="N47" s="1" t="str">
        <x:f>IF(NOT(ISNUMBER(J47)),"缺少可算OAV",IF(J47&gt;=2,"最大值、中位值、低值待校准","最大值、中位值"))</x:f>
        <x:v>缺少可算OAV</x:v>
      </x:c>
      <x:c r="O47" s="1" t="str">
        <x:f>IF(NOT(ISNUMBER(J47)),"待定",IF(J47&lt;2,"不设第三档",IF(J47&lt;=5,"中位OAV≤5；低档须低于中位浓度","低档需预试确认与中档可区分")))</x:f>
        <x:v>待定</x:v>
      </x:c>
    </x:row>
    <x:row r="48" ht="23" customHeight="1">
      <x:c r="A48" s="1" t="n">
        <x:f>'浓度与阈值来源'!A48</x:f>
        <x:v>43</x:v>
      </x:c>
      <x:c r="B48" s="1" t="str">
        <x:f>IF('浓度与阈值来源'!B48="","",'浓度与阈值来源'!B48)</x:f>
        <x:v>丁酸-2-苯乙酯</x:v>
      </x:c>
      <x:c r="C48" s="1" t="str">
        <x:f>IF('浓度与阈值来源'!C48="","",'浓度与阈值来源'!C48)</x:f>
        <x:v>103-52-6</x:v>
      </x:c>
      <x:c r="D48" s="1"/>
      <x:c r="E48" s="5" t="str">
        <x:f>IF('浓度与阈值来源'!D48&gt;0,'浓度与阈值来源'!D48,"")</x:f>
      </x:c>
      <x:c r="F48" s="6" t="n">
        <x:f>COUNT('浓度与阈值来源'!E48:DM48)</x:f>
        <x:v>22</x:v>
      </x:c>
      <x:c r="G48" s="5" t="n">
        <x:f>IF(F48=0,"",MAX('浓度与阈值来源'!E48:DM48))</x:f>
        <x:v>620.21</x:v>
      </x:c>
      <x:c r="H48" s="5" t="n">
        <x:f>IF(F48=0,"",MEDIAN('浓度与阈值来源'!E48:DM48))</x:f>
        <x:v>36.085</x:v>
      </x:c>
      <x:c r="I48" s="7" t="str">
        <x:f>IF(AND(ISNUMBER(E48),E48&gt;0,F48&gt;0),G48/E48,"")</x:f>
      </x:c>
      <x:c r="J48" s="7" t="str">
        <x:f>IF(AND(ISNUMBER(E48),E48&gt;0,F48&gt;0),H48/E48,"")</x:f>
      </x:c>
      <x:c r="K48" s="1" t="str">
        <x:f>IF(F48=0,"无浓度数据",IF(E48="","缺周表阈值","可计算"))</x:f>
        <x:v>缺周表阈值</x:v>
      </x:c>
      <x:c r="L48" s="1" t="str">
        <x:f>IF(NOT(ISNUMBER(J48)),"待定",IF(J48&gt;50,"骨架成分",IF(J48&gt;=2,"重要成分","两档成分")))</x:f>
        <x:v>待定</x:v>
      </x:c>
      <x:c r="M48" s="1" t="str">
        <x:f>IF(NOT(ISNUMBER(J48)),"",IF(J48&gt;=2,3,2))</x:f>
      </x:c>
      <x:c r="N48" s="1" t="str">
        <x:f>IF(NOT(ISNUMBER(J48)),"缺少可算OAV",IF(J48&gt;=2,"最大值、中位值、低值待校准","最大值、中位值"))</x:f>
        <x:v>缺少可算OAV</x:v>
      </x:c>
      <x:c r="O48" s="1" t="str">
        <x:f>IF(NOT(ISNUMBER(J48)),"待定",IF(J48&lt;2,"不设第三档",IF(J48&lt;=5,"中位OAV≤5；低档须低于中位浓度","低档需预试确认与中档可区分")))</x:f>
        <x:v>待定</x:v>
      </x:c>
    </x:row>
    <x:row r="49" ht="23" customHeight="1">
      <x:c r="A49" s="1" t="n">
        <x:f>'浓度与阈值来源'!A49</x:f>
        <x:v>44</x:v>
      </x:c>
      <x:c r="B49" s="1" t="str">
        <x:f>IF('浓度与阈值来源'!B49="","",'浓度与阈值来源'!B49)</x:f>
      </x:c>
      <x:c r="C49" s="1" t="str">
        <x:f>IF('浓度与阈值来源'!C49="","",'浓度与阈值来源'!C49)</x:f>
        <x:v>103-82-2</x:v>
      </x:c>
      <x:c r="D49" s="1" t="str">
        <x:v>benzeneacetic acid</x:v>
      </x:c>
      <x:c r="E49" s="5" t="str">
        <x:f>IF('浓度与阈值来源'!D49&gt;0,'浓度与阈值来源'!D49,"")</x:f>
      </x:c>
      <x:c r="F49" s="6" t="n">
        <x:f>COUNT('浓度与阈值来源'!E49:DM49)</x:f>
        <x:v>2</x:v>
      </x:c>
      <x:c r="G49" s="5" t="n">
        <x:f>IF(F49=0,"",MAX('浓度与阈值来源'!E49:DM49))</x:f>
        <x:v>469</x:v>
      </x:c>
      <x:c r="H49" s="5" t="n">
        <x:f>IF(F49=0,"",MEDIAN('浓度与阈值来源'!E49:DM49))</x:f>
        <x:v>442</x:v>
      </x:c>
      <x:c r="I49" s="7" t="str">
        <x:f>IF(AND(ISNUMBER(E49),E49&gt;0,F49&gt;0),G49/E49,"")</x:f>
      </x:c>
      <x:c r="J49" s="7" t="str">
        <x:f>IF(AND(ISNUMBER(E49),E49&gt;0,F49&gt;0),H49/E49,"")</x:f>
      </x:c>
      <x:c r="K49" s="1" t="str">
        <x:f>IF(F49=0,"无浓度数据",IF(E49="","缺周表阈值","可计算"))</x:f>
        <x:v>缺周表阈值</x:v>
      </x:c>
      <x:c r="L49" s="1" t="str">
        <x:f>IF(NOT(ISNUMBER(J49)),"待定",IF(J49&gt;50,"骨架成分",IF(J49&gt;=2,"重要成分","两档成分")))</x:f>
        <x:v>待定</x:v>
      </x:c>
      <x:c r="M49" s="1" t="str">
        <x:f>IF(NOT(ISNUMBER(J49)),"",IF(J49&gt;=2,3,2))</x:f>
      </x:c>
      <x:c r="N49" s="1" t="str">
        <x:f>IF(NOT(ISNUMBER(J49)),"缺少可算OAV",IF(J49&gt;=2,"最大值、中位值、低值待校准","最大值、中位值"))</x:f>
        <x:v>缺少可算OAV</x:v>
      </x:c>
      <x:c r="O49" s="1" t="str">
        <x:f>IF(NOT(ISNUMBER(J49)),"待定",IF(J49&lt;2,"不设第三档",IF(J49&lt;=5,"中位OAV≤5；低档须低于中位浓度","低档需预试确认与中档可区分")))</x:f>
        <x:v>待定</x:v>
      </x:c>
    </x:row>
    <x:row r="50" ht="23" customHeight="1">
      <x:c r="A50" s="1" t="n">
        <x:f>'浓度与阈值来源'!A50</x:f>
        <x:v>45</x:v>
      </x:c>
      <x:c r="B50" s="1" t="str">
        <x:f>IF('浓度与阈值来源'!B50="","",'浓度与阈值来源'!B50)</x:f>
        <x:v>γ-辛内酯</x:v>
      </x:c>
      <x:c r="C50" s="1" t="str">
        <x:f>IF('浓度与阈值来源'!C50="","",'浓度与阈值来源'!C50)</x:f>
        <x:v>104-50-7</x:v>
      </x:c>
      <x:c r="D50" s="1" t="str">
        <x:v>5-butyloxolan--2-one</x:v>
      </x:c>
      <x:c r="E50" s="5" t="n">
        <x:f>IF('浓度与阈值来源'!D50&gt;0,'浓度与阈值来源'!D50,"")</x:f>
        <x:v>2816</x:v>
      </x:c>
      <x:c r="F50" s="6" t="n">
        <x:f>COUNT('浓度与阈值来源'!E50:DM50)</x:f>
        <x:v>12</x:v>
      </x:c>
      <x:c r="G50" s="5" t="n">
        <x:f>IF(F50=0,"",MAX('浓度与阈值来源'!E50:DM50))</x:f>
        <x:v>50.79</x:v>
      </x:c>
      <x:c r="H50" s="5" t="n">
        <x:f>IF(F50=0,"",MEDIAN('浓度与阈值来源'!E50:DM50))</x:f>
        <x:v>14.76</x:v>
      </x:c>
      <x:c r="I50" s="7" t="n">
        <x:f>IF(AND(ISNUMBER(E50),E50&gt;0,F50&gt;0),G50/E50,"")</x:f>
        <x:v>0.01803622159090909</x:v>
      </x:c>
      <x:c r="J50" s="7" t="n">
        <x:f>IF(AND(ISNUMBER(E50),E50&gt;0,F50&gt;0),H50/E50,"")</x:f>
        <x:v>0.005241477272727273</x:v>
      </x:c>
      <x:c r="K50" s="1" t="str">
        <x:f>IF(F50=0,"无浓度数据",IF(E50="","缺周表阈值","可计算"))</x:f>
        <x:v>可计算</x:v>
      </x:c>
      <x:c r="L50" s="1" t="str">
        <x:f>IF(NOT(ISNUMBER(J50)),"待定",IF(J50&gt;50,"骨架成分",IF(J50&gt;=2,"重要成分","两档成分")))</x:f>
        <x:v>两档成分</x:v>
      </x:c>
      <x:c r="M50" s="1" t="n">
        <x:f>IF(NOT(ISNUMBER(J50)),"",IF(J50&gt;=2,3,2))</x:f>
        <x:v>2</x:v>
      </x:c>
      <x:c r="N50" s="1" t="str">
        <x:f>IF(NOT(ISNUMBER(J50)),"缺少可算OAV",IF(J50&gt;=2,"最大值、中位值、低值待校准","最大值、中位值"))</x:f>
        <x:v>最大值、中位值</x:v>
      </x:c>
      <x:c r="O50" s="1" t="str">
        <x:f>IF(NOT(ISNUMBER(J50)),"待定",IF(J50&lt;2,"不设第三档",IF(J50&lt;=5,"中位OAV≤5；低档须低于中位浓度","低档需预试确认与中档可区分")))</x:f>
        <x:v>不设第三档</x:v>
      </x:c>
    </x:row>
    <x:row r="51" ht="23" customHeight="1">
      <x:c r="A51" s="1" t="n">
        <x:f>'浓度与阈值来源'!A51</x:f>
        <x:v>46</x:v>
      </x:c>
      <x:c r="B51" s="1" t="str">
        <x:f>IF('浓度与阈值来源'!B51="","",'浓度与阈值来源'!B51)</x:f>
        <x:v>γ-壬内酯</x:v>
      </x:c>
      <x:c r="C51" s="1" t="str">
        <x:f>IF('浓度与阈值来源'!C51="","",'浓度与阈值来源'!C51)</x:f>
        <x:v>104-61-0</x:v>
      </x:c>
      <x:c r="D51" s="1" t="str">
        <x:v>Gamma-Nonanolactone</x:v>
      </x:c>
      <x:c r="E51" s="5" t="n">
        <x:f>IF('浓度与阈值来源'!D51&gt;0,'浓度与阈值来源'!D51,"")</x:f>
        <x:v>90.7</x:v>
      </x:c>
      <x:c r="F51" s="6" t="n">
        <x:f>COUNT('浓度与阈值来源'!E51:DM51)</x:f>
        <x:v>21</x:v>
      </x:c>
      <x:c r="G51" s="5" t="n">
        <x:f>IF(F51=0,"",MAX('浓度与阈值来源'!E51:DM51))</x:f>
        <x:v>191.58</x:v>
      </x:c>
      <x:c r="H51" s="5" t="n">
        <x:f>IF(F51=0,"",MEDIAN('浓度与阈值来源'!E51:DM51))</x:f>
        <x:v>68.65</x:v>
      </x:c>
      <x:c r="I51" s="7" t="n">
        <x:f>IF(AND(ISNUMBER(E51),E51&gt;0,F51&gt;0),G51/E51,"")</x:f>
        <x:v>2.112238147739802</x:v>
      </x:c>
      <x:c r="J51" s="7" t="n">
        <x:f>IF(AND(ISNUMBER(E51),E51&gt;0,F51&gt;0),H51/E51,"")</x:f>
        <x:v>0.756890848952591</x:v>
      </x:c>
      <x:c r="K51" s="1" t="str">
        <x:f>IF(F51=0,"无浓度数据",IF(E51="","缺周表阈值","可计算"))</x:f>
        <x:v>可计算</x:v>
      </x:c>
      <x:c r="L51" s="1" t="str">
        <x:f>IF(NOT(ISNUMBER(J51)),"待定",IF(J51&gt;50,"骨架成分",IF(J51&gt;=2,"重要成分","两档成分")))</x:f>
        <x:v>两档成分</x:v>
      </x:c>
      <x:c r="M51" s="1" t="n">
        <x:f>IF(NOT(ISNUMBER(J51)),"",IF(J51&gt;=2,3,2))</x:f>
        <x:v>2</x:v>
      </x:c>
      <x:c r="N51" s="1" t="str">
        <x:f>IF(NOT(ISNUMBER(J51)),"缺少可算OAV",IF(J51&gt;=2,"最大值、中位值、低值待校准","最大值、中位值"))</x:f>
        <x:v>最大值、中位值</x:v>
      </x:c>
      <x:c r="O51" s="1" t="str">
        <x:f>IF(NOT(ISNUMBER(J51)),"待定",IF(J51&lt;2,"不设第三档",IF(J51&lt;=5,"中位OAV≤5；低档须低于中位浓度","低档需预试确认与中档可区分")))</x:f>
        <x:v>不设第三档</x:v>
      </x:c>
    </x:row>
    <x:row r="52" ht="23" customHeight="1">
      <x:c r="A52" s="1" t="n">
        <x:f>'浓度与阈值来源'!A52</x:f>
        <x:v>47</x:v>
      </x:c>
      <x:c r="B52" s="1" t="str">
        <x:f>IF('浓度与阈值来源'!B52="","",'浓度与阈值来源'!B52)</x:f>
      </x:c>
      <x:c r="C52" s="1" t="str">
        <x:f>IF('浓度与阈值来源'!C52="","",'浓度与阈值来源'!C52)</x:f>
        <x:v>104-67-6</x:v>
      </x:c>
      <x:c r="D52" s="1"/>
      <x:c r="E52" s="5" t="str">
        <x:f>IF('浓度与阈值来源'!D52&gt;0,'浓度与阈值来源'!D52,"")</x:f>
      </x:c>
      <x:c r="F52" s="6" t="n">
        <x:f>COUNT('浓度与阈值来源'!E52:DM52)</x:f>
        <x:v>2</x:v>
      </x:c>
      <x:c r="G52" s="5" t="n">
        <x:f>IF(F52=0,"",MAX('浓度与阈值来源'!E52:DM52))</x:f>
        <x:v>0.2</x:v>
      </x:c>
      <x:c r="H52" s="5" t="n">
        <x:f>IF(F52=0,"",MEDIAN('浓度与阈值来源'!E52:DM52))</x:f>
        <x:v>0.18</x:v>
      </x:c>
      <x:c r="I52" s="7" t="str">
        <x:f>IF(AND(ISNUMBER(E52),E52&gt;0,F52&gt;0),G52/E52,"")</x:f>
      </x:c>
      <x:c r="J52" s="7" t="str">
        <x:f>IF(AND(ISNUMBER(E52),E52&gt;0,F52&gt;0),H52/E52,"")</x:f>
      </x:c>
      <x:c r="K52" s="1" t="str">
        <x:f>IF(F52=0,"无浓度数据",IF(E52="","缺周表阈值","可计算"))</x:f>
        <x:v>缺周表阈值</x:v>
      </x:c>
      <x:c r="L52" s="1" t="str">
        <x:f>IF(NOT(ISNUMBER(J52)),"待定",IF(J52&gt;50,"骨架成分",IF(J52&gt;=2,"重要成分","两档成分")))</x:f>
        <x:v>待定</x:v>
      </x:c>
      <x:c r="M52" s="1" t="str">
        <x:f>IF(NOT(ISNUMBER(J52)),"",IF(J52&gt;=2,3,2))</x:f>
      </x:c>
      <x:c r="N52" s="1" t="str">
        <x:f>IF(NOT(ISNUMBER(J52)),"缺少可算OAV",IF(J52&gt;=2,"最大值、中位值、低值待校准","最大值、中位值"))</x:f>
        <x:v>缺少可算OAV</x:v>
      </x:c>
      <x:c r="O52" s="1" t="str">
        <x:f>IF(NOT(ISNUMBER(J52)),"待定",IF(J52&lt;2,"不设第三档",IF(J52&lt;=5,"中位OAV≤5；低档须低于中位浓度","低档需预试确认与中档可区分")))</x:f>
        <x:v>待定</x:v>
      </x:c>
    </x:row>
    <x:row r="53" ht="23" customHeight="1">
      <x:c r="A53" s="1" t="n">
        <x:f>'浓度与阈值来源'!A53</x:f>
        <x:v>48</x:v>
      </x:c>
      <x:c r="B53" s="1" t="str">
        <x:f>IF('浓度与阈值来源'!B53="","",'浓度与阈值来源'!B53)</x:f>
        <x:v>γ-庚内酯</x:v>
      </x:c>
      <x:c r="C53" s="1" t="str">
        <x:f>IF('浓度与阈值来源'!C53="","",'浓度与阈值来源'!C53)</x:f>
        <x:v>105-21-5</x:v>
      </x:c>
      <x:c r="D53" s="1" t="str">
        <x:v>5-propyloxolan-2-one</x:v>
      </x:c>
      <x:c r="E53" s="5" t="n">
        <x:f>IF('浓度与阈值来源'!D53&gt;0,'浓度与阈值来源'!D53,"")</x:f>
        <x:v>1000</x:v>
      </x:c>
      <x:c r="F53" s="6" t="n">
        <x:f>COUNT('浓度与阈值来源'!E53:DM53)</x:f>
        <x:v>10</x:v>
      </x:c>
      <x:c r="G53" s="5" t="n">
        <x:f>IF(F53=0,"",MAX('浓度与阈值来源'!E53:DM53))</x:f>
        <x:v>15.99</x:v>
      </x:c>
      <x:c r="H53" s="5" t="n">
        <x:f>IF(F53=0,"",MEDIAN('浓度与阈值来源'!E53:DM53))</x:f>
        <x:v>5.795</x:v>
      </x:c>
      <x:c r="I53" s="7" t="n">
        <x:f>IF(AND(ISNUMBER(E53),E53&gt;0,F53&gt;0),G53/E53,"")</x:f>
        <x:v>0.01599</x:v>
      </x:c>
      <x:c r="J53" s="7" t="n">
        <x:f>IF(AND(ISNUMBER(E53),E53&gt;0,F53&gt;0),H53/E53,"")</x:f>
        <x:v>0.005795</x:v>
      </x:c>
      <x:c r="K53" s="1" t="str">
        <x:f>IF(F53=0,"无浓度数据",IF(E53="","缺周表阈值","可计算"))</x:f>
        <x:v>可计算</x:v>
      </x:c>
      <x:c r="L53" s="1" t="str">
        <x:f>IF(NOT(ISNUMBER(J53)),"待定",IF(J53&gt;50,"骨架成分",IF(J53&gt;=2,"重要成分","两档成分")))</x:f>
        <x:v>两档成分</x:v>
      </x:c>
      <x:c r="M53" s="1" t="n">
        <x:f>IF(NOT(ISNUMBER(J53)),"",IF(J53&gt;=2,3,2))</x:f>
        <x:v>2</x:v>
      </x:c>
      <x:c r="N53" s="1" t="str">
        <x:f>IF(NOT(ISNUMBER(J53)),"缺少可算OAV",IF(J53&gt;=2,"最大值、中位值、低值待校准","最大值、中位值"))</x:f>
        <x:v>最大值、中位值</x:v>
      </x:c>
      <x:c r="O53" s="1" t="str">
        <x:f>IF(NOT(ISNUMBER(J53)),"待定",IF(J53&lt;2,"不设第三档",IF(J53&lt;=5,"中位OAV≤5；低档须低于中位浓度","低档需预试确认与中档可区分")))</x:f>
        <x:v>不设第三档</x:v>
      </x:c>
    </x:row>
    <x:row r="54" ht="23" customHeight="1">
      <x:c r="A54" s="1" t="n">
        <x:f>'浓度与阈值来源'!A54</x:f>
        <x:v>49</x:v>
      </x:c>
      <x:c r="B54" s="1" t="str">
        <x:f>IF('浓度与阈值来源'!B54="","",'浓度与阈值来源'!B54)</x:f>
        <x:v>丙酸乙酯a</x:v>
      </x:c>
      <x:c r="C54" s="1" t="str">
        <x:f>IF('浓度与阈值来源'!C54="","",'浓度与阈值来源'!C54)</x:f>
        <x:v>105-37-3</x:v>
      </x:c>
      <x:c r="D54" s="1" t="str">
        <x:v>Ethyl propionate</x:v>
      </x:c>
      <x:c r="E54" s="5" t="str">
        <x:f>IF('浓度与阈值来源'!D54&gt;0,'浓度与阈值来源'!D54,"")</x:f>
      </x:c>
      <x:c r="F54" s="6" t="n">
        <x:f>COUNT('浓度与阈值来源'!E54:DM54)</x:f>
        <x:v>29</x:v>
      </x:c>
      <x:c r="G54" s="5" t="n">
        <x:f>IF(F54=0,"",MAX('浓度与阈值来源'!E54:DM54))</x:f>
        <x:v>13828.86</x:v>
      </x:c>
      <x:c r="H54" s="5" t="n">
        <x:f>IF(F54=0,"",MEDIAN('浓度与阈值来源'!E54:DM54))</x:f>
        <x:v>105.48</x:v>
      </x:c>
      <x:c r="I54" s="7" t="str">
        <x:f>IF(AND(ISNUMBER(E54),E54&gt;0,F54&gt;0),G54/E54,"")</x:f>
      </x:c>
      <x:c r="J54" s="7" t="str">
        <x:f>IF(AND(ISNUMBER(E54),E54&gt;0,F54&gt;0),H54/E54,"")</x:f>
      </x:c>
      <x:c r="K54" s="1" t="str">
        <x:f>IF(F54=0,"无浓度数据",IF(E54="","缺周表阈值","可计算"))</x:f>
        <x:v>缺周表阈值</x:v>
      </x:c>
      <x:c r="L54" s="1" t="str">
        <x:f>IF(NOT(ISNUMBER(J54)),"待定",IF(J54&gt;50,"骨架成分",IF(J54&gt;=2,"重要成分","两档成分")))</x:f>
        <x:v>待定</x:v>
      </x:c>
      <x:c r="M54" s="1" t="str">
        <x:f>IF(NOT(ISNUMBER(J54)),"",IF(J54&gt;=2,3,2))</x:f>
      </x:c>
      <x:c r="N54" s="1" t="str">
        <x:f>IF(NOT(ISNUMBER(J54)),"缺少可算OAV",IF(J54&gt;=2,"最大值、中位值、低值待校准","最大值、中位值"))</x:f>
        <x:v>缺少可算OAV</x:v>
      </x:c>
      <x:c r="O54" s="1" t="str">
        <x:f>IF(NOT(ISNUMBER(J54)),"待定",IF(J54&lt;2,"不设第三档",IF(J54&lt;=5,"中位OAV≤5；低档须低于中位浓度","低档需预试确认与中档可区分")))</x:f>
        <x:v>待定</x:v>
      </x:c>
    </x:row>
    <x:row r="55" ht="23" customHeight="1">
      <x:c r="A55" s="1" t="n">
        <x:f>'浓度与阈值来源'!A55</x:f>
        <x:v>50</x:v>
      </x:c>
      <x:c r="B55" s="1" t="str">
        <x:f>IF('浓度与阈值来源'!B55="","",'浓度与阈值来源'!B55)</x:f>
      </x:c>
      <x:c r="C55" s="1" t="str">
        <x:f>IF('浓度与阈值来源'!C55="","",'浓度与阈值来源'!C55)</x:f>
        <x:v>105-43-1</x:v>
      </x:c>
      <x:c r="D55" s="1" t="str">
        <x:v>3-Methyl pentatonic acid</x:v>
      </x:c>
      <x:c r="E55" s="5" t="str">
        <x:f>IF('浓度与阈值来源'!D55&gt;0,'浓度与阈值来源'!D55,"")</x:f>
      </x:c>
      <x:c r="F55" s="6" t="n">
        <x:f>COUNT('浓度与阈值来源'!E55:DM55)</x:f>
        <x:v>6</x:v>
      </x:c>
      <x:c r="G55" s="5" t="n">
        <x:f>IF(F55=0,"",MAX('浓度与阈值来源'!E55:DM55))</x:f>
        <x:v>126.52</x:v>
      </x:c>
      <x:c r="H55" s="5" t="n">
        <x:f>IF(F55=0,"",MEDIAN('浓度与阈值来源'!E55:DM55))</x:f>
        <x:v>3.5949999999999998</x:v>
      </x:c>
      <x:c r="I55" s="7" t="str">
        <x:f>IF(AND(ISNUMBER(E55),E55&gt;0,F55&gt;0),G55/E55,"")</x:f>
      </x:c>
      <x:c r="J55" s="7" t="str">
        <x:f>IF(AND(ISNUMBER(E55),E55&gt;0,F55&gt;0),H55/E55,"")</x:f>
      </x:c>
      <x:c r="K55" s="1" t="str">
        <x:f>IF(F55=0,"无浓度数据",IF(E55="","缺周表阈值","可计算"))</x:f>
        <x:v>缺周表阈值</x:v>
      </x:c>
      <x:c r="L55" s="1" t="str">
        <x:f>IF(NOT(ISNUMBER(J55)),"待定",IF(J55&gt;50,"骨架成分",IF(J55&gt;=2,"重要成分","两档成分")))</x:f>
        <x:v>待定</x:v>
      </x:c>
      <x:c r="M55" s="1" t="str">
        <x:f>IF(NOT(ISNUMBER(J55)),"",IF(J55&gt;=2,3,2))</x:f>
      </x:c>
      <x:c r="N55" s="1" t="str">
        <x:f>IF(NOT(ISNUMBER(J55)),"缺少可算OAV",IF(J55&gt;=2,"最大值、中位值、低值待校准","最大值、中位值"))</x:f>
        <x:v>缺少可算OAV</x:v>
      </x:c>
      <x:c r="O55" s="1" t="str">
        <x:f>IF(NOT(ISNUMBER(J55)),"待定",IF(J55&lt;2,"不设第三档",IF(J55&lt;=5,"中位OAV≤5；低档须低于中位浓度","低档需预试确认与中档可区分")))</x:f>
        <x:v>待定</x:v>
      </x:c>
    </x:row>
    <x:row r="56" ht="23" customHeight="1">
      <x:c r="A56" s="1" t="n">
        <x:f>'浓度与阈值来源'!A56</x:f>
        <x:v>51</x:v>
      </x:c>
      <x:c r="B56" s="1" t="str">
        <x:f>IF('浓度与阈值来源'!B56="","",'浓度与阈值来源'!B56)</x:f>
        <x:v>乙酸仲丁酯</x:v>
      </x:c>
      <x:c r="C56" s="1" t="str">
        <x:f>IF('浓度与阈值来源'!C56="","",'浓度与阈值来源'!C56)</x:f>
        <x:v>105-46-4</x:v>
      </x:c>
      <x:c r="D56" s="1"/>
      <x:c r="E56" s="5" t="str">
        <x:f>IF('浓度与阈值来源'!D56&gt;0,'浓度与阈值来源'!D56,"")</x:f>
      </x:c>
      <x:c r="F56" s="6" t="n">
        <x:f>COUNT('浓度与阈值来源'!E56:DM56)</x:f>
        <x:v>2</x:v>
      </x:c>
      <x:c r="G56" s="5" t="n">
        <x:f>IF(F56=0,"",MAX('浓度与阈值来源'!E56:DM56))</x:f>
        <x:v>316</x:v>
      </x:c>
      <x:c r="H56" s="5" t="n">
        <x:f>IF(F56=0,"",MEDIAN('浓度与阈值来源'!E56:DM56))</x:f>
        <x:v>277</x:v>
      </x:c>
      <x:c r="I56" s="7" t="str">
        <x:f>IF(AND(ISNUMBER(E56),E56&gt;0,F56&gt;0),G56/E56,"")</x:f>
      </x:c>
      <x:c r="J56" s="7" t="str">
        <x:f>IF(AND(ISNUMBER(E56),E56&gt;0,F56&gt;0),H56/E56,"")</x:f>
      </x:c>
      <x:c r="K56" s="1" t="str">
        <x:f>IF(F56=0,"无浓度数据",IF(E56="","缺周表阈值","可计算"))</x:f>
        <x:v>缺周表阈值</x:v>
      </x:c>
      <x:c r="L56" s="1" t="str">
        <x:f>IF(NOT(ISNUMBER(J56)),"待定",IF(J56&gt;50,"骨架成分",IF(J56&gt;=2,"重要成分","两档成分")))</x:f>
        <x:v>待定</x:v>
      </x:c>
      <x:c r="M56" s="1" t="str">
        <x:f>IF(NOT(ISNUMBER(J56)),"",IF(J56&gt;=2,3,2))</x:f>
      </x:c>
      <x:c r="N56" s="1" t="str">
        <x:f>IF(NOT(ISNUMBER(J56)),"缺少可算OAV",IF(J56&gt;=2,"最大值、中位值、低值待校准","最大值、中位值"))</x:f>
        <x:v>缺少可算OAV</x:v>
      </x:c>
      <x:c r="O56" s="1" t="str">
        <x:f>IF(NOT(ISNUMBER(J56)),"待定",IF(J56&lt;2,"不设第三档",IF(J56&lt;=5,"中位OAV≤5；低档须低于中位浓度","低档需预试确认与中档可区分")))</x:f>
        <x:v>待定</x:v>
      </x:c>
    </x:row>
    <x:row r="57" ht="23" customHeight="1">
      <x:c r="A57" s="1" t="n">
        <x:f>'浓度与阈值来源'!A57</x:f>
        <x:v>52</x:v>
      </x:c>
      <x:c r="B57" s="1" t="str">
        <x:f>IF('浓度与阈值来源'!B57="","",'浓度与阈值来源'!B57)</x:f>
        <x:v>丁酸乙酯</x:v>
      </x:c>
      <x:c r="C57" s="1" t="str">
        <x:f>IF('浓度与阈值来源'!C57="","",'浓度与阈值来源'!C57)</x:f>
        <x:v>105-54-4</x:v>
      </x:c>
      <x:c r="D57" s="1" t="str">
        <x:v>Ethyl butyrate</x:v>
      </x:c>
      <x:c r="E57" s="5" t="n">
        <x:f>IF('浓度与阈值来源'!D57&gt;0,'浓度与阈值来源'!D57,"")</x:f>
        <x:v>81.5</x:v>
      </x:c>
      <x:c r="F57" s="6" t="n">
        <x:f>COUNT('浓度与阈值来源'!E57:DM57)</x:f>
        <x:v>97</x:v>
      </x:c>
      <x:c r="G57" s="5" t="n">
        <x:f>IF(F57=0,"",MAX('浓度与阈值来源'!E57:DM57))</x:f>
        <x:v>1290235</x:v>
      </x:c>
      <x:c r="H57" s="5" t="n">
        <x:f>IF(F57=0,"",MEDIAN('浓度与阈值来源'!E57:DM57))</x:f>
        <x:v>11516</x:v>
      </x:c>
      <x:c r="I57" s="7" t="n">
        <x:f>IF(AND(ISNUMBER(E57),E57&gt;0,F57&gt;0),G57/E57,"")</x:f>
        <x:v>15831.104294478528</x:v>
      </x:c>
      <x:c r="J57" s="7" t="n">
        <x:f>IF(AND(ISNUMBER(E57),E57&gt;0,F57&gt;0),H57/E57,"")</x:f>
        <x:v>141.30061349693253</x:v>
      </x:c>
      <x:c r="K57" s="1" t="str">
        <x:f>IF(F57=0,"无浓度数据",IF(E57="","缺周表阈值","可计算"))</x:f>
        <x:v>可计算</x:v>
      </x:c>
      <x:c r="L57" s="1" t="str">
        <x:f>IF(NOT(ISNUMBER(J57)),"待定",IF(J57&gt;50,"骨架成分",IF(J57&gt;=2,"重要成分","两档成分")))</x:f>
        <x:v>骨架成分</x:v>
      </x:c>
      <x:c r="M57" s="1" t="n">
        <x:f>IF(NOT(ISNUMBER(J57)),"",IF(J57&gt;=2,3,2))</x:f>
        <x:v>3</x:v>
      </x:c>
      <x:c r="N57" s="1" t="str">
        <x:f>IF(NOT(ISNUMBER(J57)),"缺少可算OAV",IF(J57&gt;=2,"最大值、中位值、低值待校准","最大值、中位值"))</x:f>
        <x:v>最大值、中位值、低值待校准</x:v>
      </x:c>
      <x:c r="O57" s="1" t="str">
        <x:f>IF(NOT(ISNUMBER(J57)),"待定",IF(J57&lt;2,"不设第三档",IF(J57&lt;=5,"中位OAV≤5；低档须低于中位浓度","低档需预试确认与中档可区分")))</x:f>
        <x:v>低档需预试确认与中档可区分</x:v>
      </x:c>
    </x:row>
    <x:row r="58" ht="23" customHeight="1">
      <x:c r="A58" s="1" t="n">
        <x:f>'浓度与阈值来源'!A58</x:f>
        <x:v>53</x:v>
      </x:c>
      <x:c r="B58" s="1" t="str">
        <x:f>IF('浓度与阈值来源'!B58="","",'浓度与阈值来源'!B58)</x:f>
        <x:v>乙醛二乙缩醛</x:v>
      </x:c>
      <x:c r="C58" s="1" t="str">
        <x:f>IF('浓度与阈值来源'!C58="","",'浓度与阈值来源'!C58)</x:f>
        <x:v>105-57-7</x:v>
      </x:c>
      <x:c r="D58" s="1" t="str">
        <x:v>Acetal</x:v>
      </x:c>
      <x:c r="E58" s="5" t="n">
        <x:f>IF('浓度与阈值来源'!D58&gt;0,'浓度与阈值来源'!D58,"")</x:f>
        <x:v>2090</x:v>
      </x:c>
      <x:c r="F58" s="6" t="n">
        <x:f>COUNT('浓度与阈值来源'!E58:DM58)</x:f>
        <x:v>63</x:v>
      </x:c>
      <x:c r="G58" s="5" t="n">
        <x:f>IF(F58=0,"",MAX('浓度与阈值来源'!E58:DM58))</x:f>
        <x:v>784300</x:v>
      </x:c>
      <x:c r="H58" s="5" t="n">
        <x:f>IF(F58=0,"",MEDIAN('浓度与阈值来源'!E58:DM58))</x:f>
        <x:v>77200</x:v>
      </x:c>
      <x:c r="I58" s="7" t="n">
        <x:f>IF(AND(ISNUMBER(E58),E58&gt;0,F58&gt;0),G58/E58,"")</x:f>
        <x:v>375.2631578947368</x:v>
      </x:c>
      <x:c r="J58" s="7" t="n">
        <x:f>IF(AND(ISNUMBER(E58),E58&gt;0,F58&gt;0),H58/E58,"")</x:f>
        <x:v>36.9377990430622</x:v>
      </x:c>
      <x:c r="K58" s="1" t="str">
        <x:f>IF(F58=0,"无浓度数据",IF(E58="","缺周表阈值","可计算"))</x:f>
        <x:v>可计算</x:v>
      </x:c>
      <x:c r="L58" s="1" t="str">
        <x:f>IF(NOT(ISNUMBER(J58)),"待定",IF(J58&gt;50,"骨架成分",IF(J58&gt;=2,"重要成分","两档成分")))</x:f>
        <x:v>重要成分</x:v>
      </x:c>
      <x:c r="M58" s="1" t="n">
        <x:f>IF(NOT(ISNUMBER(J58)),"",IF(J58&gt;=2,3,2))</x:f>
        <x:v>3</x:v>
      </x:c>
      <x:c r="N58" s="1" t="str">
        <x:f>IF(NOT(ISNUMBER(J58)),"缺少可算OAV",IF(J58&gt;=2,"最大值、中位值、低值待校准","最大值、中位值"))</x:f>
        <x:v>最大值、中位值、低值待校准</x:v>
      </x:c>
      <x:c r="O58" s="1" t="str">
        <x:f>IF(NOT(ISNUMBER(J58)),"待定",IF(J58&lt;2,"不设第三档",IF(J58&lt;=5,"中位OAV≤5；低档须低于中位浓度","低档需预试确认与中档可区分")))</x:f>
        <x:v>低档需预试确认与中档可区分</x:v>
      </x:c>
    </x:row>
    <x:row r="59" ht="23" customHeight="1">
      <x:c r="A59" s="1" t="n">
        <x:f>'浓度与阈值来源'!A59</x:f>
        <x:v>54</x:v>
      </x:c>
      <x:c r="B59" s="1" t="str">
        <x:f>IF('浓度与阈值来源'!B59="","",'浓度与阈值来源'!B59)</x:f>
        <x:v>丁酸丙酯propyl butanoate</x:v>
      </x:c>
      <x:c r="C59" s="1" t="str">
        <x:f>IF('浓度与阈值来源'!C59="","",'浓度与阈值来源'!C59)</x:f>
        <x:v>105-66-8</x:v>
      </x:c>
      <x:c r="D59" s="1"/>
      <x:c r="E59" s="5" t="str">
        <x:f>IF('浓度与阈值来源'!D59&gt;0,'浓度与阈值来源'!D59,"")</x:f>
      </x:c>
      <x:c r="F59" s="6" t="n">
        <x:f>COUNT('浓度与阈值来源'!E59:DM59)</x:f>
        <x:v>4</x:v>
      </x:c>
      <x:c r="G59" s="5" t="n">
        <x:f>IF(F59=0,"",MAX('浓度与阈值来源'!E59:DM59))</x:f>
        <x:v>1150</x:v>
      </x:c>
      <x:c r="H59" s="5" t="n">
        <x:f>IF(F59=0,"",MEDIAN('浓度与阈值来源'!E59:DM59))</x:f>
        <x:v>729</x:v>
      </x:c>
      <x:c r="I59" s="7" t="str">
        <x:f>IF(AND(ISNUMBER(E59),E59&gt;0,F59&gt;0),G59/E59,"")</x:f>
      </x:c>
      <x:c r="J59" s="7" t="str">
        <x:f>IF(AND(ISNUMBER(E59),E59&gt;0,F59&gt;0),H59/E59,"")</x:f>
      </x:c>
      <x:c r="K59" s="1" t="str">
        <x:f>IF(F59=0,"无浓度数据",IF(E59="","缺周表阈值","可计算"))</x:f>
        <x:v>缺周表阈值</x:v>
      </x:c>
      <x:c r="L59" s="1" t="str">
        <x:f>IF(NOT(ISNUMBER(J59)),"待定",IF(J59&gt;50,"骨架成分",IF(J59&gt;=2,"重要成分","两档成分")))</x:f>
        <x:v>待定</x:v>
      </x:c>
      <x:c r="M59" s="1" t="str">
        <x:f>IF(NOT(ISNUMBER(J59)),"",IF(J59&gt;=2,3,2))</x:f>
      </x:c>
      <x:c r="N59" s="1" t="str">
        <x:f>IF(NOT(ISNUMBER(J59)),"缺少可算OAV",IF(J59&gt;=2,"最大值、中位值、低值待校准","最大值、中位值"))</x:f>
        <x:v>缺少可算OAV</x:v>
      </x:c>
      <x:c r="O59" s="1" t="str">
        <x:f>IF(NOT(ISNUMBER(J59)),"待定",IF(J59&lt;2,"不设第三档",IF(J59&lt;=5,"中位OAV≤5；低档须低于中位浓度","低档需预试确认与中档可区分")))</x:f>
        <x:v>待定</x:v>
      </x:c>
    </x:row>
    <x:row r="60" ht="23" customHeight="1">
      <x:c r="A60" s="1" t="n">
        <x:f>'浓度与阈值来源'!A60</x:f>
        <x:v>55</x:v>
      </x:c>
      <x:c r="B60" s="1" t="str">
        <x:f>IF('浓度与阈值来源'!B60="","",'浓度与阈值来源'!B60)</x:f>
        <x:v>己酸异丁酯</x:v>
      </x:c>
      <x:c r="C60" s="1" t="str">
        <x:f>IF('浓度与阈值来源'!C60="","",'浓度与阈值来源'!C60)</x:f>
        <x:v>105-79-3</x:v>
      </x:c>
      <x:c r="D60" s="1" t="str">
        <x:v>Isobutyl hexanoate</x:v>
      </x:c>
      <x:c r="E60" s="5" t="n">
        <x:f>IF('浓度与阈值来源'!D60&gt;0,'浓度与阈值来源'!D60,"")</x:f>
        <x:v>5350</x:v>
      </x:c>
      <x:c r="F60" s="6" t="n">
        <x:f>COUNT('浓度与阈值来源'!E60:DM60)</x:f>
        <x:v>55</x:v>
      </x:c>
      <x:c r="G60" s="5" t="n">
        <x:f>IF(F60=0,"",MAX('浓度与阈值来源'!E60:DM60))</x:f>
        <x:v>16185.38</x:v>
      </x:c>
      <x:c r="H60" s="5" t="n">
        <x:f>IF(F60=0,"",MEDIAN('浓度与阈值来源'!E60:DM60))</x:f>
        <x:v>460.76</x:v>
      </x:c>
      <x:c r="I60" s="7" t="n">
        <x:f>IF(AND(ISNUMBER(E60),E60&gt;0,F60&gt;0),G60/E60,"")</x:f>
        <x:v>3.025304672897196</x:v>
      </x:c>
      <x:c r="J60" s="7" t="n">
        <x:f>IF(AND(ISNUMBER(E60),E60&gt;0,F60&gt;0),H60/E60,"")</x:f>
        <x:v>0.0861233644859813</x:v>
      </x:c>
      <x:c r="K60" s="1" t="str">
        <x:f>IF(F60=0,"无浓度数据",IF(E60="","缺周表阈值","可计算"))</x:f>
        <x:v>可计算</x:v>
      </x:c>
      <x:c r="L60" s="1" t="str">
        <x:f>IF(NOT(ISNUMBER(J60)),"待定",IF(J60&gt;50,"骨架成分",IF(J60&gt;=2,"重要成分","两档成分")))</x:f>
        <x:v>两档成分</x:v>
      </x:c>
      <x:c r="M60" s="1" t="n">
        <x:f>IF(NOT(ISNUMBER(J60)),"",IF(J60&gt;=2,3,2))</x:f>
        <x:v>2</x:v>
      </x:c>
      <x:c r="N60" s="1" t="str">
        <x:f>IF(NOT(ISNUMBER(J60)),"缺少可算OAV",IF(J60&gt;=2,"最大值、中位值、低值待校准","最大值、中位值"))</x:f>
        <x:v>最大值、中位值</x:v>
      </x:c>
      <x:c r="O60" s="1" t="str">
        <x:f>IF(NOT(ISNUMBER(J60)),"待定",IF(J60&lt;2,"不设第三档",IF(J60&lt;=5,"中位OAV≤5；低档须低于中位浓度","低档需预试确认与中档可区分")))</x:f>
        <x:v>不设第三档</x:v>
      </x:c>
    </x:row>
    <x:row r="61" ht="23" customHeight="1">
      <x:c r="A61" s="1" t="n">
        <x:f>'浓度与阈值来源'!A61</x:f>
        <x:v>56</x:v>
      </x:c>
      <x:c r="B61" s="1" t="str">
        <x:f>IF('浓度与阈值来源'!B61="","",'浓度与阈值来源'!B61)</x:f>
        <x:v>丁酸异戊酯</x:v>
      </x:c>
      <x:c r="C61" s="1" t="str">
        <x:f>IF('浓度与阈值来源'!C61="","",'浓度与阈值来源'!C61)</x:f>
        <x:v>106-27-4</x:v>
      </x:c>
      <x:c r="D61" s="1" t="str">
        <x:v>Isoamyl butyrate</x:v>
      </x:c>
      <x:c r="E61" s="5" t="n">
        <x:f>IF('浓度与阈值来源'!D61&gt;0,'浓度与阈值来源'!D61,"")</x:f>
        <x:v>915</x:v>
      </x:c>
      <x:c r="F61" s="6" t="n">
        <x:f>COUNT('浓度与阈值来源'!E61:DM61)</x:f>
        <x:v>56</x:v>
      </x:c>
      <x:c r="G61" s="5" t="n">
        <x:f>IF(F61=0,"",MAX('浓度与阈值来源'!E61:DM61))</x:f>
        <x:v>4105</x:v>
      </x:c>
      <x:c r="H61" s="5" t="n">
        <x:f>IF(F61=0,"",MEDIAN('浓度与阈值来源'!E61:DM61))</x:f>
        <x:v>1041.8500000000001</x:v>
      </x:c>
      <x:c r="I61" s="7" t="n">
        <x:f>IF(AND(ISNUMBER(E61),E61&gt;0,F61&gt;0),G61/E61,"")</x:f>
        <x:v>4.4863387978142075</x:v>
      </x:c>
      <x:c r="J61" s="7" t="n">
        <x:f>IF(AND(ISNUMBER(E61),E61&gt;0,F61&gt;0),H61/E61,"")</x:f>
        <x:v>1.1386338797814208</x:v>
      </x:c>
      <x:c r="K61" s="1" t="str">
        <x:f>IF(F61=0,"无浓度数据",IF(E61="","缺周表阈值","可计算"))</x:f>
        <x:v>可计算</x:v>
      </x:c>
      <x:c r="L61" s="1" t="str">
        <x:f>IF(NOT(ISNUMBER(J61)),"待定",IF(J61&gt;50,"骨架成分",IF(J61&gt;=2,"重要成分","两档成分")))</x:f>
        <x:v>两档成分</x:v>
      </x:c>
      <x:c r="M61" s="1" t="n">
        <x:f>IF(NOT(ISNUMBER(J61)),"",IF(J61&gt;=2,3,2))</x:f>
        <x:v>2</x:v>
      </x:c>
      <x:c r="N61" s="1" t="str">
        <x:f>IF(NOT(ISNUMBER(J61)),"缺少可算OAV",IF(J61&gt;=2,"最大值、中位值、低值待校准","最大值、中位值"))</x:f>
        <x:v>最大值、中位值</x:v>
      </x:c>
      <x:c r="O61" s="1" t="str">
        <x:f>IF(NOT(ISNUMBER(J61)),"待定",IF(J61&lt;2,"不设第三档",IF(J61&lt;=5,"中位OAV≤5；低档须低于中位浓度","低档需预试确认与中档可区分")))</x:f>
        <x:v>不设第三档</x:v>
      </x:c>
    </x:row>
    <x:row r="62" ht="23" customHeight="1">
      <x:c r="A62" s="1" t="n">
        <x:f>'浓度与阈值来源'!A62</x:f>
        <x:v>57</x:v>
      </x:c>
      <x:c r="B62" s="1" t="str">
        <x:f>IF('浓度与阈值来源'!B62="","",'浓度与阈值来源'!B62)</x:f>
        <x:v>庚酸乙酯</x:v>
      </x:c>
      <x:c r="C62" s="1" t="str">
        <x:f>IF('浓度与阈值来源'!C62="","",'浓度与阈值来源'!C62)</x:f>
        <x:v>106-30-9</x:v>
      </x:c>
      <x:c r="D62" s="1" t="str">
        <x:v>Ethyl heptanoate</x:v>
      </x:c>
      <x:c r="E62" s="5" t="n">
        <x:f>IF('浓度与阈值来源'!D62&gt;0,'浓度与阈值来源'!D62,"")</x:f>
        <x:v>13153</x:v>
      </x:c>
      <x:c r="F62" s="6" t="n">
        <x:f>COUNT('浓度与阈值来源'!E62:DM62)</x:f>
        <x:v>87</x:v>
      </x:c>
      <x:c r="G62" s="5" t="n">
        <x:f>IF(F62=0,"",MAX('浓度与阈值来源'!E62:DM62))</x:f>
        <x:v>348671</x:v>
      </x:c>
      <x:c r="H62" s="5" t="n">
        <x:f>IF(F62=0,"",MEDIAN('浓度与阈值来源'!E62:DM62))</x:f>
        <x:v>1210</x:v>
      </x:c>
      <x:c r="I62" s="7" t="n">
        <x:f>IF(AND(ISNUMBER(E62),E62&gt;0,F62&gt;0),G62/E62,"")</x:f>
        <x:v>26.508857294913707</x:v>
      </x:c>
      <x:c r="J62" s="7" t="n">
        <x:f>IF(AND(ISNUMBER(E62),E62&gt;0,F62&gt;0),H62/E62,"")</x:f>
        <x:v>0.0919942218505284</x:v>
      </x:c>
      <x:c r="K62" s="1" t="str">
        <x:f>IF(F62=0,"无浓度数据",IF(E62="","缺周表阈值","可计算"))</x:f>
        <x:v>可计算</x:v>
      </x:c>
      <x:c r="L62" s="1" t="str">
        <x:f>IF(NOT(ISNUMBER(J62)),"待定",IF(J62&gt;50,"骨架成分",IF(J62&gt;=2,"重要成分","两档成分")))</x:f>
        <x:v>两档成分</x:v>
      </x:c>
      <x:c r="M62" s="1" t="n">
        <x:f>IF(NOT(ISNUMBER(J62)),"",IF(J62&gt;=2,3,2))</x:f>
        <x:v>2</x:v>
      </x:c>
      <x:c r="N62" s="1" t="str">
        <x:f>IF(NOT(ISNUMBER(J62)),"缺少可算OAV",IF(J62&gt;=2,"最大值、中位值、低值待校准","最大值、中位值"))</x:f>
        <x:v>最大值、中位值</x:v>
      </x:c>
      <x:c r="O62" s="1" t="str">
        <x:f>IF(NOT(ISNUMBER(J62)),"待定",IF(J62&lt;2,"不设第三档",IF(J62&lt;=5,"中位OAV≤5；低档须低于中位浓度","低档需预试确认与中档可区分")))</x:f>
        <x:v>不设第三档</x:v>
      </x:c>
    </x:row>
    <x:row r="63" ht="23" customHeight="1">
      <x:c r="A63" s="1" t="n">
        <x:f>'浓度与阈值来源'!A63</x:f>
        <x:v>58</x:v>
      </x:c>
      <x:c r="B63" s="1" t="str">
        <x:f>IF('浓度与阈值来源'!B63="","",'浓度与阈值来源'!B63)</x:f>
        <x:v>辛酸乙酯</x:v>
      </x:c>
      <x:c r="C63" s="1" t="str">
        <x:f>IF('浓度与阈值来源'!C63="","",'浓度与阈值来源'!C63)</x:f>
        <x:v>106-32-1</x:v>
      </x:c>
      <x:c r="D63" s="1" t="str">
        <x:v>Ethyl caprylate</x:v>
      </x:c>
      <x:c r="E63" s="5" t="n">
        <x:f>IF('浓度与阈值来源'!D63&gt;0,'浓度与阈值来源'!D63,"")</x:f>
        <x:v>12.9</x:v>
      </x:c>
      <x:c r="F63" s="6" t="n">
        <x:f>COUNT('浓度与阈值来源'!E63:DM63)</x:f>
        <x:v>100</x:v>
      </x:c>
      <x:c r="G63" s="5" t="n">
        <x:f>IF(F63=0,"",MAX('浓度与阈值来源'!E63:DM63))</x:f>
        <x:v>1865945</x:v>
      </x:c>
      <x:c r="H63" s="5" t="n">
        <x:f>IF(F63=0,"",MEDIAN('浓度与阈值来源'!E63:DM63))</x:f>
        <x:v>1601</x:v>
      </x:c>
      <x:c r="I63" s="7" t="n">
        <x:f>IF(AND(ISNUMBER(E63),E63&gt;0,F63&gt;0),G63/E63,"")</x:f>
        <x:v>144646.8992248062</x:v>
      </x:c>
      <x:c r="J63" s="7" t="n">
        <x:f>IF(AND(ISNUMBER(E63),E63&gt;0,F63&gt;0),H63/E63,"")</x:f>
        <x:v>124.10852713178294</x:v>
      </x:c>
      <x:c r="K63" s="1" t="str">
        <x:f>IF(F63=0,"无浓度数据",IF(E63="","缺周表阈值","可计算"))</x:f>
        <x:v>可计算</x:v>
      </x:c>
      <x:c r="L63" s="1" t="str">
        <x:f>IF(NOT(ISNUMBER(J63)),"待定",IF(J63&gt;50,"骨架成分",IF(J63&gt;=2,"重要成分","两档成分")))</x:f>
        <x:v>骨架成分</x:v>
      </x:c>
      <x:c r="M63" s="1" t="n">
        <x:f>IF(NOT(ISNUMBER(J63)),"",IF(J63&gt;=2,3,2))</x:f>
        <x:v>3</x:v>
      </x:c>
      <x:c r="N63" s="1" t="str">
        <x:f>IF(NOT(ISNUMBER(J63)),"缺少可算OAV",IF(J63&gt;=2,"最大值、中位值、低值待校准","最大值、中位值"))</x:f>
        <x:v>最大值、中位值、低值待校准</x:v>
      </x:c>
      <x:c r="O63" s="1" t="str">
        <x:f>IF(NOT(ISNUMBER(J63)),"待定",IF(J63&lt;2,"不设第三档",IF(J63&lt;=5,"中位OAV≤5；低档须低于中位浓度","低档需预试确认与中档可区分")))</x:f>
        <x:v>低档需预试确认与中档可区分</x:v>
      </x:c>
    </x:row>
    <x:row r="64" ht="23" customHeight="1">
      <x:c r="A64" s="1" t="n">
        <x:f>'浓度与阈值来源'!A64</x:f>
        <x:v>59</x:v>
      </x:c>
      <x:c r="B64" s="1" t="str">
        <x:f>IF('浓度与阈值来源'!B64="","",'浓度与阈值来源'!B64)</x:f>
        <x:v>癸酸乙酯</x:v>
      </x:c>
      <x:c r="C64" s="1" t="str">
        <x:f>IF('浓度与阈值来源'!C64="","",'浓度与阈值来源'!C64)</x:f>
        <x:v>106-33-2</x:v>
      </x:c>
      <x:c r="D64" s="1" t="str">
        <x:v>Ethyl decanoate</x:v>
      </x:c>
      <x:c r="E64" s="5" t="n">
        <x:f>IF('浓度与阈值来源'!D64&gt;0,'浓度与阈值来源'!D64,"")</x:f>
        <x:v>1120</x:v>
      </x:c>
      <x:c r="F64" s="6" t="n">
        <x:f>COUNT('浓度与阈值来源'!E64:DM64)</x:f>
        <x:v>67</x:v>
      </x:c>
      <x:c r="G64" s="5" t="n">
        <x:f>IF(F64=0,"",MAX('浓度与阈值来源'!E64:DM64))</x:f>
        <x:v>24536</x:v>
      </x:c>
      <x:c r="H64" s="5" t="n">
        <x:f>IF(F64=0,"",MEDIAN('浓度与阈值来源'!E64:DM64))</x:f>
        <x:v>153.19</x:v>
      </x:c>
      <x:c r="I64" s="7" t="n">
        <x:f>IF(AND(ISNUMBER(E64),E64&gt;0,F64&gt;0),G64/E64,"")</x:f>
        <x:v>21.90714285714286</x:v>
      </x:c>
      <x:c r="J64" s="7" t="n">
        <x:f>IF(AND(ISNUMBER(E64),E64&gt;0,F64&gt;0),H64/E64,"")</x:f>
        <x:v>0.13677678571428573</x:v>
      </x:c>
      <x:c r="K64" s="1" t="str">
        <x:f>IF(F64=0,"无浓度数据",IF(E64="","缺周表阈值","可计算"))</x:f>
        <x:v>可计算</x:v>
      </x:c>
      <x:c r="L64" s="1" t="str">
        <x:f>IF(NOT(ISNUMBER(J64)),"待定",IF(J64&gt;50,"骨架成分",IF(J64&gt;=2,"重要成分","两档成分")))</x:f>
        <x:v>两档成分</x:v>
      </x:c>
      <x:c r="M64" s="1" t="n">
        <x:f>IF(NOT(ISNUMBER(J64)),"",IF(J64&gt;=2,3,2))</x:f>
        <x:v>2</x:v>
      </x:c>
      <x:c r="N64" s="1" t="str">
        <x:f>IF(NOT(ISNUMBER(J64)),"缺少可算OAV",IF(J64&gt;=2,"最大值、中位值、低值待校准","最大值、中位值"))</x:f>
        <x:v>最大值、中位值</x:v>
      </x:c>
      <x:c r="O64" s="1" t="str">
        <x:f>IF(NOT(ISNUMBER(J64)),"待定",IF(J64&lt;2,"不设第三档",IF(J64&lt;=5,"中位OAV≤5；低档须低于中位浓度","低档需预试确认与中档可区分")))</x:f>
        <x:v>不设第三档</x:v>
      </x:c>
    </x:row>
    <x:row r="65" ht="23" customHeight="1">
      <x:c r="A65" s="1" t="n">
        <x:f>'浓度与阈值来源'!A65</x:f>
        <x:v>60</x:v>
      </x:c>
      <x:c r="B65" s="1" t="str">
        <x:f>IF('浓度与阈值来源'!B65="","",'浓度与阈值来源'!B65)</x:f>
        <x:v>丙酸正丙酯</x:v>
      </x:c>
      <x:c r="C65" s="1" t="str">
        <x:f>IF('浓度与阈值来源'!C65="","",'浓度与阈值来源'!C65)</x:f>
        <x:v>106-36-5</x:v>
      </x:c>
      <x:c r="D65" s="1"/>
      <x:c r="E65" s="5" t="str">
        <x:f>IF('浓度与阈值来源'!D65&gt;0,'浓度与阈值来源'!D65,"")</x:f>
      </x:c>
      <x:c r="F65" s="6" t="n">
        <x:f>COUNT('浓度与阈值来源'!E65:DM65)</x:f>
        <x:v>1</x:v>
      </x:c>
      <x:c r="G65" s="5" t="n">
        <x:f>IF(F65=0,"",MAX('浓度与阈值来源'!E65:DM65))</x:f>
        <x:v>157</x:v>
      </x:c>
      <x:c r="H65" s="5" t="n">
        <x:f>IF(F65=0,"",MEDIAN('浓度与阈值来源'!E65:DM65))</x:f>
        <x:v>157</x:v>
      </x:c>
      <x:c r="I65" s="7" t="str">
        <x:f>IF(AND(ISNUMBER(E65),E65&gt;0,F65&gt;0),G65/E65,"")</x:f>
      </x:c>
      <x:c r="J65" s="7" t="str">
        <x:f>IF(AND(ISNUMBER(E65),E65&gt;0,F65&gt;0),H65/E65,"")</x:f>
      </x:c>
      <x:c r="K65" s="1" t="str">
        <x:f>IF(F65=0,"无浓度数据",IF(E65="","缺周表阈值","可计算"))</x:f>
        <x:v>缺周表阈值</x:v>
      </x:c>
      <x:c r="L65" s="1" t="str">
        <x:f>IF(NOT(ISNUMBER(J65)),"待定",IF(J65&gt;50,"骨架成分",IF(J65&gt;=2,"重要成分","两档成分")))</x:f>
        <x:v>待定</x:v>
      </x:c>
      <x:c r="M65" s="1" t="str">
        <x:f>IF(NOT(ISNUMBER(J65)),"",IF(J65&gt;=2,3,2))</x:f>
      </x:c>
      <x:c r="N65" s="1" t="str">
        <x:f>IF(NOT(ISNUMBER(J65)),"缺少可算OAV",IF(J65&gt;=2,"最大值、中位值、低值待校准","最大值、中位值"))</x:f>
        <x:v>缺少可算OAV</x:v>
      </x:c>
      <x:c r="O65" s="1" t="str">
        <x:f>IF(NOT(ISNUMBER(J65)),"待定",IF(J65&lt;2,"不设第三档",IF(J65&lt;=5,"中位OAV≤5；低档须低于中位浓度","低档需预试确认与中档可区分")))</x:f>
        <x:v>待定</x:v>
      </x:c>
    </x:row>
    <x:row r="66" ht="23" customHeight="1">
      <x:c r="A66" s="1" t="n">
        <x:f>'浓度与阈值来源'!A66</x:f>
        <x:v>61</x:v>
      </x:c>
      <x:c r="B66" s="1" t="str">
        <x:f>IF('浓度与阈值来源'!B66="","",'浓度与阈值来源'!B66)</x:f>
        <x:v>对甲酚</x:v>
      </x:c>
      <x:c r="C66" s="1" t="str">
        <x:f>IF('浓度与阈值来源'!C66="","",'浓度与阈值来源'!C66)</x:f>
        <x:v>106-44-5</x:v>
      </x:c>
      <x:c r="D66" s="1" t="str">
        <x:v>p-cresol</x:v>
      </x:c>
      <x:c r="E66" s="5" t="n">
        <x:f>IF('浓度与阈值来源'!D66&gt;0,'浓度与阈值来源'!D66,"")</x:f>
        <x:v>167</x:v>
      </x:c>
      <x:c r="F66" s="6" t="n">
        <x:f>COUNT('浓度与阈值来源'!E66:DM66)</x:f>
        <x:v>71</x:v>
      </x:c>
      <x:c r="G66" s="5" t="n">
        <x:f>IF(F66=0,"",MAX('浓度与阈值来源'!E66:DM66))</x:f>
        <x:v>6914</x:v>
      </x:c>
      <x:c r="H66" s="5" t="n">
        <x:f>IF(F66=0,"",MEDIAN('浓度与阈值来源'!E66:DM66))</x:f>
        <x:v>359.87</x:v>
      </x:c>
      <x:c r="I66" s="7" t="n">
        <x:f>IF(AND(ISNUMBER(E66),E66&gt;0,F66&gt;0),G66/E66,"")</x:f>
        <x:v>41.40119760479042</x:v>
      </x:c>
      <x:c r="J66" s="7" t="n">
        <x:f>IF(AND(ISNUMBER(E66),E66&gt;0,F66&gt;0),H66/E66,"")</x:f>
        <x:v>2.1549101796407184</x:v>
      </x:c>
      <x:c r="K66" s="1" t="str">
        <x:f>IF(F66=0,"无浓度数据",IF(E66="","缺周表阈值","可计算"))</x:f>
        <x:v>可计算</x:v>
      </x:c>
      <x:c r="L66" s="1" t="str">
        <x:f>IF(NOT(ISNUMBER(J66)),"待定",IF(J66&gt;50,"骨架成分",IF(J66&gt;=2,"重要成分","两档成分")))</x:f>
        <x:v>重要成分</x:v>
      </x:c>
      <x:c r="M66" s="1" t="n">
        <x:f>IF(NOT(ISNUMBER(J66)),"",IF(J66&gt;=2,3,2))</x:f>
        <x:v>3</x:v>
      </x:c>
      <x:c r="N66" s="1" t="str">
        <x:f>IF(NOT(ISNUMBER(J66)),"缺少可算OAV",IF(J66&gt;=2,"最大值、中位值、低值待校准","最大值、中位值"))</x:f>
        <x:v>最大值、中位值、低值待校准</x:v>
      </x:c>
      <x:c r="O66" s="1" t="str">
        <x:f>IF(NOT(ISNUMBER(J66)),"待定",IF(J66&lt;2,"不设第三档",IF(J66&lt;=5,"中位OAV≤5；低档须低于中位浓度","低档需预试确认与中档可区分")))</x:f>
        <x:v>中位OAV≤5；低档须低于中位浓度</x:v>
      </x:c>
    </x:row>
    <x:row r="67" ht="23" customHeight="1">
      <x:c r="A67" s="1" t="n">
        <x:f>'浓度与阈值来源'!A67</x:f>
        <x:v>62</x:v>
      </x:c>
      <x:c r="B67" s="1" t="str">
        <x:f>IF('浓度与阈值来源'!B67="","",'浓度与阈值来源'!B67)</x:f>
        <x:v>仲辛酮</x:v>
      </x:c>
      <x:c r="C67" s="1" t="str">
        <x:f>IF('浓度与阈值来源'!C67="","",'浓度与阈值来源'!C67)</x:f>
        <x:v>106-68-3</x:v>
      </x:c>
      <x:c r="D67" s="1"/>
      <x:c r="E67" s="5" t="n">
        <x:f>IF('浓度与阈值来源'!D67&gt;0,'浓度与阈值来源'!D67,"")</x:f>
        <x:v>250</x:v>
      </x:c>
      <x:c r="F67" s="6" t="n">
        <x:f>COUNT('浓度与阈值来源'!E67:DM67)</x:f>
        <x:v>3</x:v>
      </x:c>
      <x:c r="G67" s="5" t="n">
        <x:f>IF(F67=0,"",MAX('浓度与阈值来源'!E67:DM67))</x:f>
        <x:v>25</x:v>
      </x:c>
      <x:c r="H67" s="5" t="n">
        <x:f>IF(F67=0,"",MEDIAN('浓度与阈值来源'!E67:DM67))</x:f>
        <x:v>24</x:v>
      </x:c>
      <x:c r="I67" s="7" t="n">
        <x:f>IF(AND(ISNUMBER(E67),E67&gt;0,F67&gt;0),G67/E67,"")</x:f>
        <x:v>0.1</x:v>
      </x:c>
      <x:c r="J67" s="7" t="n">
        <x:f>IF(AND(ISNUMBER(E67),E67&gt;0,F67&gt;0),H67/E67,"")</x:f>
        <x:v>0.096</x:v>
      </x:c>
      <x:c r="K67" s="1" t="str">
        <x:f>IF(F67=0,"无浓度数据",IF(E67="","缺周表阈值","可计算"))</x:f>
        <x:v>可计算</x:v>
      </x:c>
      <x:c r="L67" s="1" t="str">
        <x:f>IF(NOT(ISNUMBER(J67)),"待定",IF(J67&gt;50,"骨架成分",IF(J67&gt;=2,"重要成分","两档成分")))</x:f>
        <x:v>两档成分</x:v>
      </x:c>
      <x:c r="M67" s="1" t="n">
        <x:f>IF(NOT(ISNUMBER(J67)),"",IF(J67&gt;=2,3,2))</x:f>
        <x:v>2</x:v>
      </x:c>
      <x:c r="N67" s="1" t="str">
        <x:f>IF(NOT(ISNUMBER(J67)),"缺少可算OAV",IF(J67&gt;=2,"最大值、中位值、低值待校准","最大值、中位值"))</x:f>
        <x:v>最大值、中位值</x:v>
      </x:c>
      <x:c r="O67" s="1" t="str">
        <x:f>IF(NOT(ISNUMBER(J67)),"待定",IF(J67&lt;2,"不设第三档",IF(J67&lt;=5,"中位OAV≤5；低档须低于中位浓度","低档需预试确认与中档可区分")))</x:f>
        <x:v>不设第三档</x:v>
      </x:c>
    </x:row>
    <x:row r="68" ht="23" customHeight="1">
      <x:c r="A68" s="1" t="n">
        <x:f>'浓度与阈值来源'!A68</x:f>
        <x:v>63</x:v>
      </x:c>
      <x:c r="B68" s="1" t="str">
        <x:f>IF('浓度与阈值来源'!B68="","",'浓度与阈值来源'!B68)</x:f>
        <x:v>己酸甲酯</x:v>
      </x:c>
      <x:c r="C68" s="1" t="str">
        <x:f>IF('浓度与阈值来源'!C68="","",'浓度与阈值来源'!C68)</x:f>
        <x:v>106-70-7</x:v>
      </x:c>
      <x:c r="D68" s="1" t="str">
        <x:v>Methyl hexanoate</x:v>
      </x:c>
      <x:c r="E68" s="5" t="str">
        <x:f>IF('浓度与阈值来源'!D68&gt;0,'浓度与阈值来源'!D68,"")</x:f>
      </x:c>
      <x:c r="F68" s="6" t="n">
        <x:f>COUNT('浓度与阈值来源'!E68:DM68)</x:f>
        <x:v>14</x:v>
      </x:c>
      <x:c r="G68" s="5" t="n">
        <x:f>IF(F68=0,"",MAX('浓度与阈值来源'!E68:DM68))</x:f>
        <x:v>7480</x:v>
      </x:c>
      <x:c r="H68" s="5" t="n">
        <x:f>IF(F68=0,"",MEDIAN('浓度与阈值来源'!E68:DM68))</x:f>
        <x:v>6.29</x:v>
      </x:c>
      <x:c r="I68" s="7" t="str">
        <x:f>IF(AND(ISNUMBER(E68),E68&gt;0,F68&gt;0),G68/E68,"")</x:f>
      </x:c>
      <x:c r="J68" s="7" t="str">
        <x:f>IF(AND(ISNUMBER(E68),E68&gt;0,F68&gt;0),H68/E68,"")</x:f>
      </x:c>
      <x:c r="K68" s="1" t="str">
        <x:f>IF(F68=0,"无浓度数据",IF(E68="","缺周表阈值","可计算"))</x:f>
        <x:v>缺周表阈值</x:v>
      </x:c>
      <x:c r="L68" s="1" t="str">
        <x:f>IF(NOT(ISNUMBER(J68)),"待定",IF(J68&gt;50,"骨架成分",IF(J68&gt;=2,"重要成分","两档成分")))</x:f>
        <x:v>待定</x:v>
      </x:c>
      <x:c r="M68" s="1" t="str">
        <x:f>IF(NOT(ISNUMBER(J68)),"",IF(J68&gt;=2,3,2))</x:f>
      </x:c>
      <x:c r="N68" s="1" t="str">
        <x:f>IF(NOT(ISNUMBER(J68)),"缺少可算OAV",IF(J68&gt;=2,"最大值、中位值、低值待校准","最大值、中位值"))</x:f>
        <x:v>缺少可算OAV</x:v>
      </x:c>
      <x:c r="O68" s="1" t="str">
        <x:f>IF(NOT(ISNUMBER(J68)),"待定",IF(J68&lt;2,"不设第三档",IF(J68&lt;=5,"中位OAV≤5；低档须低于中位浓度","低档需预试确认与中档可区分")))</x:f>
        <x:v>待定</x:v>
      </x:c>
    </x:row>
    <x:row r="69" ht="23" customHeight="1">
      <x:c r="A69" s="1" t="n">
        <x:f>'浓度与阈值来源'!A69</x:f>
        <x:v>64</x:v>
      </x:c>
      <x:c r="B69" s="1" t="str">
        <x:f>IF('浓度与阈值来源'!B69="","",'浓度与阈值来源'!B69)</x:f>
        <x:v>2-戊酮a</x:v>
      </x:c>
      <x:c r="C69" s="1" t="str">
        <x:f>IF('浓度与阈值来源'!C69="","",'浓度与阈值来源'!C69)</x:f>
        <x:v>107-87-9</x:v>
      </x:c>
      <x:c r="D69" s="1"/>
      <x:c r="E69" s="5" t="str">
        <x:f>IF('浓度与阈值来源'!D69&gt;0,'浓度与阈值来源'!D69,"")</x:f>
      </x:c>
      <x:c r="F69" s="6" t="n">
        <x:f>COUNT('浓度与阈值来源'!E69:DM69)</x:f>
        <x:v>20</x:v>
      </x:c>
      <x:c r="G69" s="5" t="n">
        <x:f>IF(F69=0,"",MAX('浓度与阈值来源'!E69:DM69))</x:f>
        <x:v>92960</x:v>
      </x:c>
      <x:c r="H69" s="5" t="n">
        <x:f>IF(F69=0,"",MEDIAN('浓度与阈值来源'!E69:DM69))</x:f>
        <x:v>53.075</x:v>
      </x:c>
      <x:c r="I69" s="7" t="str">
        <x:f>IF(AND(ISNUMBER(E69),E69&gt;0,F69&gt;0),G69/E69,"")</x:f>
      </x:c>
      <x:c r="J69" s="7" t="str">
        <x:f>IF(AND(ISNUMBER(E69),E69&gt;0,F69&gt;0),H69/E69,"")</x:f>
      </x:c>
      <x:c r="K69" s="1" t="str">
        <x:f>IF(F69=0,"无浓度数据",IF(E69="","缺周表阈值","可计算"))</x:f>
        <x:v>缺周表阈值</x:v>
      </x:c>
      <x:c r="L69" s="1" t="str">
        <x:f>IF(NOT(ISNUMBER(J69)),"待定",IF(J69&gt;50,"骨架成分",IF(J69&gt;=2,"重要成分","两档成分")))</x:f>
        <x:v>待定</x:v>
      </x:c>
      <x:c r="M69" s="1" t="str">
        <x:f>IF(NOT(ISNUMBER(J69)),"",IF(J69&gt;=2,3,2))</x:f>
      </x:c>
      <x:c r="N69" s="1" t="str">
        <x:f>IF(NOT(ISNUMBER(J69)),"缺少可算OAV",IF(J69&gt;=2,"最大值、中位值、低值待校准","最大值、中位值"))</x:f>
        <x:v>缺少可算OAV</x:v>
      </x:c>
      <x:c r="O69" s="1" t="str">
        <x:f>IF(NOT(ISNUMBER(J69)),"待定",IF(J69&lt;2,"不设第三档",IF(J69&lt;=5,"中位OAV≤5；低档须低于中位浓度","低档需预试确认与中档可区分")))</x:f>
        <x:v>待定</x:v>
      </x:c>
    </x:row>
    <x:row r="70" ht="23" customHeight="1">
      <x:c r="A70" s="1" t="n">
        <x:f>'浓度与阈值来源'!A70</x:f>
        <x:v>65</x:v>
      </x:c>
      <x:c r="B70" s="1" t="str">
        <x:f>IF('浓度与阈值来源'!B70="","",'浓度与阈值来源'!B70)</x:f>
        <x:v>丁酸</x:v>
      </x:c>
      <x:c r="C70" s="1" t="str">
        <x:f>IF('浓度与阈值来源'!C70="","",'浓度与阈值来源'!C70)</x:f>
        <x:v>107-92-6</x:v>
      </x:c>
      <x:c r="D70" s="1" t="str">
        <x:v>Butyric Acid</x:v>
      </x:c>
      <x:c r="E70" s="5" t="n">
        <x:f>IF('浓度与阈值来源'!D70&gt;0,'浓度与阈值来源'!D70,"")</x:f>
        <x:v>965</x:v>
      </x:c>
      <x:c r="F70" s="6" t="n">
        <x:f>COUNT('浓度与阈值来源'!E70:DM70)</x:f>
        <x:v>84</x:v>
      </x:c>
      <x:c r="G70" s="5" t="n">
        <x:f>IF(F70=0,"",MAX('浓度与阈值来源'!E70:DM70))</x:f>
        <x:v>295816</x:v>
      </x:c>
      <x:c r="H70" s="5" t="n">
        <x:f>IF(F70=0,"",MEDIAN('浓度与阈值来源'!E70:DM70))</x:f>
        <x:v>803.5</x:v>
      </x:c>
      <x:c r="I70" s="7" t="n">
        <x:f>IF(AND(ISNUMBER(E70),E70&gt;0,F70&gt;0),G70/E70,"")</x:f>
        <x:v>306.54507772020725</x:v>
      </x:c>
      <x:c r="J70" s="7" t="n">
        <x:f>IF(AND(ISNUMBER(E70),E70&gt;0,F70&gt;0),H70/E70,"")</x:f>
        <x:v>0.8326424870466321</x:v>
      </x:c>
      <x:c r="K70" s="1" t="str">
        <x:f>IF(F70=0,"无浓度数据",IF(E70="","缺周表阈值","可计算"))</x:f>
        <x:v>可计算</x:v>
      </x:c>
      <x:c r="L70" s="1" t="str">
        <x:f>IF(NOT(ISNUMBER(J70)),"待定",IF(J70&gt;50,"骨架成分",IF(J70&gt;=2,"重要成分","两档成分")))</x:f>
        <x:v>两档成分</x:v>
      </x:c>
      <x:c r="M70" s="1" t="n">
        <x:f>IF(NOT(ISNUMBER(J70)),"",IF(J70&gt;=2,3,2))</x:f>
        <x:v>2</x:v>
      </x:c>
      <x:c r="N70" s="1" t="str">
        <x:f>IF(NOT(ISNUMBER(J70)),"缺少可算OAV",IF(J70&gt;=2,"最大值、中位值、低值待校准","最大值、中位值"))</x:f>
        <x:v>最大值、中位值</x:v>
      </x:c>
      <x:c r="O70" s="1" t="str">
        <x:f>IF(NOT(ISNUMBER(J70)),"待定",IF(J70&lt;2,"不设第三档",IF(J70&lt;=5,"中位OAV≤5；低档须低于中位浓度","低档需预试确认与中档可区分")))</x:f>
        <x:v>不设第三档</x:v>
      </x:c>
    </x:row>
    <x:row r="71" ht="23" customHeight="1">
      <x:c r="A71" s="1" t="n">
        <x:f>'浓度与阈值来源'!A71</x:f>
        <x:v>66</x:v>
      </x:c>
      <x:c r="B71" s="1" t="str">
        <x:f>IF('浓度与阈值来源'!B71="","",'浓度与阈值来源'!B71)</x:f>
        <x:v>γ-戊内酯</x:v>
      </x:c>
      <x:c r="C71" s="1" t="str">
        <x:f>IF('浓度与阈值来源'!C71="","",'浓度与阈值来源'!C71)</x:f>
        <x:v>108-29-2</x:v>
      </x:c>
      <x:c r="D71" s="1"/>
      <x:c r="E71" s="5" t="str">
        <x:f>IF('浓度与阈值来源'!D71&gt;0,'浓度与阈值来源'!D71,"")</x:f>
      </x:c>
      <x:c r="F71" s="6" t="n">
        <x:f>COUNT('浓度与阈值来源'!E71:DM71)</x:f>
        <x:v>12</x:v>
      </x:c>
      <x:c r="G71" s="5" t="n">
        <x:f>IF(F71=0,"",MAX('浓度与阈值来源'!E71:DM71))</x:f>
        <x:v>12.69</x:v>
      </x:c>
      <x:c r="H71" s="5" t="n">
        <x:f>IF(F71=0,"",MEDIAN('浓度与阈值来源'!E71:DM71))</x:f>
        <x:v>6.93</x:v>
      </x:c>
      <x:c r="I71" s="7" t="str">
        <x:f>IF(AND(ISNUMBER(E71),E71&gt;0,F71&gt;0),G71/E71,"")</x:f>
      </x:c>
      <x:c r="J71" s="7" t="str">
        <x:f>IF(AND(ISNUMBER(E71),E71&gt;0,F71&gt;0),H71/E71,"")</x:f>
      </x:c>
      <x:c r="K71" s="1" t="str">
        <x:f>IF(F71=0,"无浓度数据",IF(E71="","缺周表阈值","可计算"))</x:f>
        <x:v>缺周表阈值</x:v>
      </x:c>
      <x:c r="L71" s="1" t="str">
        <x:f>IF(NOT(ISNUMBER(J71)),"待定",IF(J71&gt;50,"骨架成分",IF(J71&gt;=2,"重要成分","两档成分")))</x:f>
        <x:v>待定</x:v>
      </x:c>
      <x:c r="M71" s="1" t="str">
        <x:f>IF(NOT(ISNUMBER(J71)),"",IF(J71&gt;=2,3,2))</x:f>
      </x:c>
      <x:c r="N71" s="1" t="str">
        <x:f>IF(NOT(ISNUMBER(J71)),"缺少可算OAV",IF(J71&gt;=2,"最大值、中位值、低值待校准","最大值、中位值"))</x:f>
        <x:v>缺少可算OAV</x:v>
      </x:c>
      <x:c r="O71" s="1" t="str">
        <x:f>IF(NOT(ISNUMBER(J71)),"待定",IF(J71&lt;2,"不设第三档",IF(J71&lt;=5,"中位OAV≤5；低档须低于中位浓度","低档需预试确认与中档可区分")))</x:f>
        <x:v>待定</x:v>
      </x:c>
    </x:row>
    <x:row r="72" ht="23" customHeight="1">
      <x:c r="A72" s="1" t="n">
        <x:f>'浓度与阈值来源'!A72</x:f>
        <x:v>67</x:v>
      </x:c>
      <x:c r="B72" s="1" t="str">
        <x:f>IF('浓度与阈值来源'!B72="","",'浓度与阈值来源'!B72)</x:f>
      </x:c>
      <x:c r="C72" s="1" t="str">
        <x:f>IF('浓度与阈值来源'!C72="","",'浓度与阈值来源'!C72)</x:f>
        <x:v>108-39-4</x:v>
      </x:c>
      <x:c r="D72" s="1"/>
      <x:c r="E72" s="5" t="str">
        <x:f>IF('浓度与阈值来源'!D72&gt;0,'浓度与阈值来源'!D72,"")</x:f>
      </x:c>
      <x:c r="F72" s="6" t="n">
        <x:f>COUNT('浓度与阈值来源'!E72:DM72)</x:f>
        <x:v>4</x:v>
      </x:c>
      <x:c r="G72" s="5" t="n">
        <x:f>IF(F72=0,"",MAX('浓度与阈值来源'!E72:DM72))</x:f>
        <x:v>138.28</x:v>
      </x:c>
      <x:c r="H72" s="5" t="n">
        <x:f>IF(F72=0,"",MEDIAN('浓度与阈值来源'!E72:DM72))</x:f>
        <x:v>1.625</x:v>
      </x:c>
      <x:c r="I72" s="7" t="str">
        <x:f>IF(AND(ISNUMBER(E72),E72&gt;0,F72&gt;0),G72/E72,"")</x:f>
      </x:c>
      <x:c r="J72" s="7" t="str">
        <x:f>IF(AND(ISNUMBER(E72),E72&gt;0,F72&gt;0),H72/E72,"")</x:f>
      </x:c>
      <x:c r="K72" s="1" t="str">
        <x:f>IF(F72=0,"无浓度数据",IF(E72="","缺周表阈值","可计算"))</x:f>
        <x:v>缺周表阈值</x:v>
      </x:c>
      <x:c r="L72" s="1" t="str">
        <x:f>IF(NOT(ISNUMBER(J72)),"待定",IF(J72&gt;50,"骨架成分",IF(J72&gt;=2,"重要成分","两档成分")))</x:f>
        <x:v>待定</x:v>
      </x:c>
      <x:c r="M72" s="1" t="str">
        <x:f>IF(NOT(ISNUMBER(J72)),"",IF(J72&gt;=2,3,2))</x:f>
      </x:c>
      <x:c r="N72" s="1" t="str">
        <x:f>IF(NOT(ISNUMBER(J72)),"缺少可算OAV",IF(J72&gt;=2,"最大值、中位值、低值待校准","最大值、中位值"))</x:f>
        <x:v>缺少可算OAV</x:v>
      </x:c>
      <x:c r="O72" s="1" t="str">
        <x:f>IF(NOT(ISNUMBER(J72)),"待定",IF(J72&lt;2,"不设第三档",IF(J72&lt;=5,"中位OAV≤5；低档须低于中位浓度","低档需预试确认与中档可区分")))</x:f>
        <x:v>待定</x:v>
      </x:c>
    </x:row>
    <x:row r="73" ht="23" customHeight="1">
      <x:c r="A73" s="1" t="n">
        <x:f>'浓度与阈值来源'!A73</x:f>
        <x:v>68</x:v>
      </x:c>
      <x:c r="B73" s="1" t="str">
        <x:f>IF('浓度与阈值来源'!B73="","",'浓度与阈值来源'!B73)</x:f>
        <x:v>2,6-二甲基吡嗪</x:v>
      </x:c>
      <x:c r="C73" s="1" t="str">
        <x:f>IF('浓度与阈值来源'!C73="","",'浓度与阈值来源'!C73)</x:f>
        <x:v>108-50-9</x:v>
      </x:c>
      <x:c r="D73" s="1"/>
      <x:c r="E73" s="5" t="n">
        <x:f>IF('浓度与阈值来源'!D73&gt;0,'浓度与阈值来源'!D73,"")</x:f>
        <x:v>791</x:v>
      </x:c>
      <x:c r="F73" s="6" t="n">
        <x:f>COUNT('浓度与阈值来源'!E73:DM73)</x:f>
        <x:v>28</x:v>
      </x:c>
      <x:c r="G73" s="5" t="n">
        <x:f>IF(F73=0,"",MAX('浓度与阈值来源'!E73:DM73))</x:f>
        <x:v>2387.5</x:v>
      </x:c>
      <x:c r="H73" s="5" t="n">
        <x:f>IF(F73=0,"",MEDIAN('浓度与阈值来源'!E73:DM73))</x:f>
        <x:v>493.2225</x:v>
      </x:c>
      <x:c r="I73" s="7" t="n">
        <x:f>IF(AND(ISNUMBER(E73),E73&gt;0,F73&gt;0),G73/E73,"")</x:f>
        <x:v>3.018331226295828</x:v>
      </x:c>
      <x:c r="J73" s="7" t="n">
        <x:f>IF(AND(ISNUMBER(E73),E73&gt;0,F73&gt;0),H73/E73,"")</x:f>
        <x:v>0.6235429835651075</x:v>
      </x:c>
      <x:c r="K73" s="1" t="str">
        <x:f>IF(F73=0,"无浓度数据",IF(E73="","缺周表阈值","可计算"))</x:f>
        <x:v>可计算</x:v>
      </x:c>
      <x:c r="L73" s="1" t="str">
        <x:f>IF(NOT(ISNUMBER(J73)),"待定",IF(J73&gt;50,"骨架成分",IF(J73&gt;=2,"重要成分","两档成分")))</x:f>
        <x:v>两档成分</x:v>
      </x:c>
      <x:c r="M73" s="1" t="n">
        <x:f>IF(NOT(ISNUMBER(J73)),"",IF(J73&gt;=2,3,2))</x:f>
        <x:v>2</x:v>
      </x:c>
      <x:c r="N73" s="1" t="str">
        <x:f>IF(NOT(ISNUMBER(J73)),"缺少可算OAV",IF(J73&gt;=2,"最大值、中位值、低值待校准","最大值、中位值"))</x:f>
        <x:v>最大值、中位值</x:v>
      </x:c>
      <x:c r="O73" s="1" t="str">
        <x:f>IF(NOT(ISNUMBER(J73)),"待定",IF(J73&lt;2,"不设第三档",IF(J73&lt;=5,"中位OAV≤5；低档须低于中位浓度","低档需预试确认与中档可区分")))</x:f>
        <x:v>不设第三档</x:v>
      </x:c>
    </x:row>
    <x:row r="74" ht="23" customHeight="1">
      <x:c r="A74" s="1" t="n">
        <x:f>'浓度与阈值来源'!A74</x:f>
        <x:v>69</x:v>
      </x:c>
      <x:c r="B74" s="1" t="str">
        <x:f>IF('浓度与阈值来源'!B74="","",'浓度与阈值来源'!B74)</x:f>
        <x:v>异戊酸乙酯（3-甲基丁酸乙酯）</x:v>
      </x:c>
      <x:c r="C74" s="1" t="str">
        <x:f>IF('浓度与阈值来源'!C74="","",'浓度与阈值来源'!C74)</x:f>
        <x:v>108-64-5</x:v>
      </x:c>
      <x:c r="D74" s="1" t="str">
        <x:v>Ethyl isovalerate</x:v>
      </x:c>
      <x:c r="E74" s="5" t="n">
        <x:f>IF('浓度与阈值来源'!D74&gt;0,'浓度与阈值来源'!D74,"")</x:f>
        <x:v>6.89</x:v>
      </x:c>
      <x:c r="F74" s="6" t="n">
        <x:f>COUNT('浓度与阈值来源'!E74:DM74)</x:f>
        <x:v>45</x:v>
      </x:c>
      <x:c r="G74" s="5" t="n">
        <x:f>IF(F74=0,"",MAX('浓度与阈值来源'!E74:DM74))</x:f>
        <x:v>12022.2</x:v>
      </x:c>
      <x:c r="H74" s="5" t="n">
        <x:f>IF(F74=0,"",MEDIAN('浓度与阈值来源'!E74:DM74))</x:f>
        <x:v>553</x:v>
      </x:c>
      <x:c r="I74" s="7" t="n">
        <x:f>IF(AND(ISNUMBER(E74),E74&gt;0,F74&gt;0),G74/E74,"")</x:f>
        <x:v>1744.8766328011613</x:v>
      </x:c>
      <x:c r="J74" s="7" t="n">
        <x:f>IF(AND(ISNUMBER(E74),E74&gt;0,F74&gt;0),H74/E74,"")</x:f>
        <x:v>80.2612481857765</x:v>
      </x:c>
      <x:c r="K74" s="1" t="str">
        <x:f>IF(F74=0,"无浓度数据",IF(E74="","缺周表阈值","可计算"))</x:f>
        <x:v>可计算</x:v>
      </x:c>
      <x:c r="L74" s="1" t="str">
        <x:f>IF(NOT(ISNUMBER(J74)),"待定",IF(J74&gt;50,"骨架成分",IF(J74&gt;=2,"重要成分","两档成分")))</x:f>
        <x:v>骨架成分</x:v>
      </x:c>
      <x:c r="M74" s="1" t="n">
        <x:f>IF(NOT(ISNUMBER(J74)),"",IF(J74&gt;=2,3,2))</x:f>
        <x:v>3</x:v>
      </x:c>
      <x:c r="N74" s="1" t="str">
        <x:f>IF(NOT(ISNUMBER(J74)),"缺少可算OAV",IF(J74&gt;=2,"最大值、中位值、低值待校准","最大值、中位值"))</x:f>
        <x:v>最大值、中位值、低值待校准</x:v>
      </x:c>
      <x:c r="O74" s="1" t="str">
        <x:f>IF(NOT(ISNUMBER(J74)),"待定",IF(J74&lt;2,"不设第三档",IF(J74&lt;=5,"中位OAV≤5；低档须低于中位浓度","低档需预试确认与中档可区分")))</x:f>
        <x:v>低档需预试确认与中档可区分</x:v>
      </x:c>
    </x:row>
    <x:row r="75" ht="23" customHeight="1">
      <x:c r="A75" s="1" t="n">
        <x:f>'浓度与阈值来源'!A75</x:f>
        <x:v>70</x:v>
      </x:c>
      <x:c r="B75" s="1" t="str">
        <x:f>IF('浓度与阈值来源'!B75="","",'浓度与阈值来源'!B75)</x:f>
        <x:v>2,6-二甲基-4-庚醇</x:v>
      </x:c>
      <x:c r="C75" s="1" t="str">
        <x:f>IF('浓度与阈值来源'!C75="","",'浓度与阈值来源'!C75)</x:f>
        <x:v>108-82-7</x:v>
      </x:c>
      <x:c r="D75" s="1"/>
      <x:c r="E75" s="5" t="str">
        <x:f>IF('浓度与阈值来源'!D75&gt;0,'浓度与阈值来源'!D75,"")</x:f>
      </x:c>
      <x:c r="F75" s="6" t="n">
        <x:f>COUNT('浓度与阈值来源'!E75:DM75)</x:f>
        <x:v>4</x:v>
      </x:c>
      <x:c r="G75" s="5" t="n">
        <x:f>IF(F75=0,"",MAX('浓度与阈值来源'!E75:DM75))</x:f>
        <x:v>20.01</x:v>
      </x:c>
      <x:c r="H75" s="5" t="n">
        <x:f>IF(F75=0,"",MEDIAN('浓度与阈值来源'!E75:DM75))</x:f>
        <x:v>14.72</x:v>
      </x:c>
      <x:c r="I75" s="7" t="str">
        <x:f>IF(AND(ISNUMBER(E75),E75&gt;0,F75&gt;0),G75/E75,"")</x:f>
      </x:c>
      <x:c r="J75" s="7" t="str">
        <x:f>IF(AND(ISNUMBER(E75),E75&gt;0,F75&gt;0),H75/E75,"")</x:f>
      </x:c>
      <x:c r="K75" s="1" t="str">
        <x:f>IF(F75=0,"无浓度数据",IF(E75="","缺周表阈值","可计算"))</x:f>
        <x:v>缺周表阈值</x:v>
      </x:c>
      <x:c r="L75" s="1" t="str">
        <x:f>IF(NOT(ISNUMBER(J75)),"待定",IF(J75&gt;50,"骨架成分",IF(J75&gt;=2,"重要成分","两档成分")))</x:f>
        <x:v>待定</x:v>
      </x:c>
      <x:c r="M75" s="1" t="str">
        <x:f>IF(NOT(ISNUMBER(J75)),"",IF(J75&gt;=2,3,2))</x:f>
      </x:c>
      <x:c r="N75" s="1" t="str">
        <x:f>IF(NOT(ISNUMBER(J75)),"缺少可算OAV",IF(J75&gt;=2,"最大值、中位值、低值待校准","最大值、中位值"))</x:f>
        <x:v>缺少可算OAV</x:v>
      </x:c>
      <x:c r="O75" s="1" t="str">
        <x:f>IF(NOT(ISNUMBER(J75)),"待定",IF(J75&lt;2,"不设第三档",IF(J75&lt;=5,"中位OAV≤5；低档须低于中位浓度","低档需预试确认与中档可区分")))</x:f>
        <x:v>待定</x:v>
      </x:c>
    </x:row>
    <x:row r="76" ht="23" customHeight="1">
      <x:c r="A76" s="1" t="n">
        <x:f>'浓度与阈值来源'!A76</x:f>
        <x:v>71</x:v>
      </x:c>
      <x:c r="B76" s="1" t="str">
        <x:f>IF('浓度与阈值来源'!B76="","",'浓度与阈值来源'!B76)</x:f>
        <x:v>苯酚</x:v>
      </x:c>
      <x:c r="C76" s="1" t="str">
        <x:f>IF('浓度与阈值来源'!C76="","",'浓度与阈值来源'!C76)</x:f>
        <x:v>108-95-2</x:v>
      </x:c>
      <x:c r="D76" s="1" t="str">
        <x:v>Phenol</x:v>
      </x:c>
      <x:c r="E76" s="5" t="n">
        <x:f>IF('浓度与阈值来源'!D76&gt;0,'浓度与阈值来源'!D76,"")</x:f>
        <x:v>40000</x:v>
      </x:c>
      <x:c r="F76" s="6" t="n">
        <x:f>COUNT('浓度与阈值来源'!E76:DM76)</x:f>
        <x:v>40</x:v>
      </x:c>
      <x:c r="G76" s="5" t="n">
        <x:f>IF(F76=0,"",MAX('浓度与阈值来源'!E76:DM76))</x:f>
        <x:v>33500</x:v>
      </x:c>
      <x:c r="H76" s="5" t="n">
        <x:f>IF(F76=0,"",MEDIAN('浓度与阈值来源'!E76:DM76))</x:f>
        <x:v>556.725</x:v>
      </x:c>
      <x:c r="I76" s="7" t="n">
        <x:f>IF(AND(ISNUMBER(E76),E76&gt;0,F76&gt;0),G76/E76,"")</x:f>
        <x:v>0.8375</x:v>
      </x:c>
      <x:c r="J76" s="7" t="n">
        <x:f>IF(AND(ISNUMBER(E76),E76&gt;0,F76&gt;0),H76/E76,"")</x:f>
        <x:v>0.013918125</x:v>
      </x:c>
      <x:c r="K76" s="1" t="str">
        <x:f>IF(F76=0,"无浓度数据",IF(E76="","缺周表阈值","可计算"))</x:f>
        <x:v>可计算</x:v>
      </x:c>
      <x:c r="L76" s="1" t="str">
        <x:f>IF(NOT(ISNUMBER(J76)),"待定",IF(J76&gt;50,"骨架成分",IF(J76&gt;=2,"重要成分","两档成分")))</x:f>
        <x:v>两档成分</x:v>
      </x:c>
      <x:c r="M76" s="1" t="n">
        <x:f>IF(NOT(ISNUMBER(J76)),"",IF(J76&gt;=2,3,2))</x:f>
        <x:v>2</x:v>
      </x:c>
      <x:c r="N76" s="1" t="str">
        <x:f>IF(NOT(ISNUMBER(J76)),"缺少可算OAV",IF(J76&gt;=2,"最大值、中位值、低值待校准","最大值、中位值"))</x:f>
        <x:v>最大值、中位值</x:v>
      </x:c>
      <x:c r="O76" s="1" t="str">
        <x:f>IF(NOT(ISNUMBER(J76)),"待定",IF(J76&lt;2,"不设第三档",IF(J76&lt;=5,"中位OAV≤5；低档须低于中位浓度","低档需预试确认与中档可区分")))</x:f>
        <x:v>不设第三档</x:v>
      </x:c>
    </x:row>
    <x:row r="77" ht="23" customHeight="1">
      <x:c r="A77" s="1" t="n">
        <x:f>'浓度与阈值来源'!A77</x:f>
        <x:v>72</x:v>
      </x:c>
      <x:c r="B77" s="1" t="str">
        <x:f>IF('浓度与阈值来源'!B77="","",'浓度与阈值来源'!B77)</x:f>
        <x:v>2-甲基吡嗪</x:v>
      </x:c>
      <x:c r="C77" s="1" t="str">
        <x:f>IF('浓度与阈值来源'!C77="","",'浓度与阈值来源'!C77)</x:f>
        <x:v>109-08-0</x:v>
      </x:c>
      <x:c r="D77" s="1"/>
      <x:c r="E77" s="5" t="str">
        <x:f>IF('浓度与阈值来源'!D77&gt;0,'浓度与阈值来源'!D77,"")</x:f>
      </x:c>
      <x:c r="F77" s="6" t="n">
        <x:f>COUNT('浓度与阈值来源'!E77:DM77)</x:f>
        <x:v>16</x:v>
      </x:c>
      <x:c r="G77" s="5" t="n">
        <x:f>IF(F77=0,"",MAX('浓度与阈值来源'!E77:DM77))</x:f>
        <x:v>1067.55</x:v>
      </x:c>
      <x:c r="H77" s="5" t="n">
        <x:f>IF(F77=0,"",MEDIAN('浓度与阈值来源'!E77:DM77))</x:f>
        <x:v>733.92</x:v>
      </x:c>
      <x:c r="I77" s="7" t="str">
        <x:f>IF(AND(ISNUMBER(E77),E77&gt;0,F77&gt;0),G77/E77,"")</x:f>
      </x:c>
      <x:c r="J77" s="7" t="str">
        <x:f>IF(AND(ISNUMBER(E77),E77&gt;0,F77&gt;0),H77/E77,"")</x:f>
      </x:c>
      <x:c r="K77" s="1" t="str">
        <x:f>IF(F77=0,"无浓度数据",IF(E77="","缺周表阈值","可计算"))</x:f>
        <x:v>缺周表阈值</x:v>
      </x:c>
      <x:c r="L77" s="1" t="str">
        <x:f>IF(NOT(ISNUMBER(J77)),"待定",IF(J77&gt;50,"骨架成分",IF(J77&gt;=2,"重要成分","两档成分")))</x:f>
        <x:v>待定</x:v>
      </x:c>
      <x:c r="M77" s="1" t="str">
        <x:f>IF(NOT(ISNUMBER(J77)),"",IF(J77&gt;=2,3,2))</x:f>
      </x:c>
      <x:c r="N77" s="1" t="str">
        <x:f>IF(NOT(ISNUMBER(J77)),"缺少可算OAV",IF(J77&gt;=2,"最大值、中位值、低值待校准","最大值、中位值"))</x:f>
        <x:v>缺少可算OAV</x:v>
      </x:c>
      <x:c r="O77" s="1" t="str">
        <x:f>IF(NOT(ISNUMBER(J77)),"待定",IF(J77&lt;2,"不设第三档",IF(J77&lt;=5,"中位OAV≤5；低档须低于中位浓度","低档需预试确认与中档可区分")))</x:f>
        <x:v>待定</x:v>
      </x:c>
    </x:row>
    <x:row r="78" ht="23" customHeight="1">
      <x:c r="A78" s="1" t="n">
        <x:f>'浓度与阈值来源'!A78</x:f>
        <x:v>73</x:v>
      </x:c>
      <x:c r="B78" s="1" t="str">
        <x:f>IF('浓度与阈值来源'!B78="","",'浓度与阈值来源'!B78)</x:f>
      </x:c>
      <x:c r="C78" s="1" t="str">
        <x:f>IF('浓度与阈值来源'!C78="","",'浓度与阈值来源'!C78)</x:f>
        <x:v>109-20-6</x:v>
      </x:c>
      <x:c r="D78" s="1"/>
      <x:c r="E78" s="5" t="str">
        <x:f>IF('浓度与阈值来源'!D78&gt;0,'浓度与阈值来源'!D78,"")</x:f>
      </x:c>
      <x:c r="F78" s="6" t="n">
        <x:f>COUNT('浓度与阈值来源'!E78:DM78)</x:f>
        <x:v>1</x:v>
      </x:c>
      <x:c r="G78" s="5" t="n">
        <x:f>IF(F78=0,"",MAX('浓度与阈值来源'!E78:DM78))</x:f>
        <x:v>0.08</x:v>
      </x:c>
      <x:c r="H78" s="5" t="n">
        <x:f>IF(F78=0,"",MEDIAN('浓度与阈值来源'!E78:DM78))</x:f>
        <x:v>0.08</x:v>
      </x:c>
      <x:c r="I78" s="7" t="str">
        <x:f>IF(AND(ISNUMBER(E78),E78&gt;0,F78&gt;0),G78/E78,"")</x:f>
      </x:c>
      <x:c r="J78" s="7" t="str">
        <x:f>IF(AND(ISNUMBER(E78),E78&gt;0,F78&gt;0),H78/E78,"")</x:f>
      </x:c>
      <x:c r="K78" s="1" t="str">
        <x:f>IF(F78=0,"无浓度数据",IF(E78="","缺周表阈值","可计算"))</x:f>
        <x:v>缺周表阈值</x:v>
      </x:c>
      <x:c r="L78" s="1" t="str">
        <x:f>IF(NOT(ISNUMBER(J78)),"待定",IF(J78&gt;50,"骨架成分",IF(J78&gt;=2,"重要成分","两档成分")))</x:f>
        <x:v>待定</x:v>
      </x:c>
      <x:c r="M78" s="1" t="str">
        <x:f>IF(NOT(ISNUMBER(J78)),"",IF(J78&gt;=2,3,2))</x:f>
      </x:c>
      <x:c r="N78" s="1" t="str">
        <x:f>IF(NOT(ISNUMBER(J78)),"缺少可算OAV",IF(J78&gt;=2,"最大值、中位值、低值待校准","最大值、中位值"))</x:f>
        <x:v>缺少可算OAV</x:v>
      </x:c>
      <x:c r="O78" s="1" t="str">
        <x:f>IF(NOT(ISNUMBER(J78)),"待定",IF(J78&lt;2,"不设第三档",IF(J78&lt;=5,"中位OAV≤5；低档须低于中位浓度","低档需预试确认与中档可区分")))</x:f>
        <x:v>待定</x:v>
      </x:c>
    </x:row>
    <x:row r="79" ht="23" customHeight="1">
      <x:c r="A79" s="1" t="n">
        <x:f>'浓度与阈值来源'!A79</x:f>
        <x:v>74</x:v>
      </x:c>
      <x:c r="B79" s="1" t="str">
        <x:f>IF('浓度与阈值来源'!B79="","",'浓度与阈值来源'!B79)</x:f>
        <x:v>丁酸丁酯</x:v>
      </x:c>
      <x:c r="C79" s="1" t="str">
        <x:f>IF('浓度与阈值来源'!C79="","",'浓度与阈值来源'!C79)</x:f>
        <x:v>109-21-7</x:v>
      </x:c>
      <x:c r="D79" s="1" t="str">
        <x:v>butyl butanoate</x:v>
      </x:c>
      <x:c r="E79" s="5" t="n">
        <x:f>IF('浓度与阈值来源'!D79&gt;0,'浓度与阈值来源'!D79,"")</x:f>
        <x:v>1385.19</x:v>
      </x:c>
      <x:c r="F79" s="6" t="n">
        <x:f>COUNT('浓度与阈值来源'!E79:DM79)</x:f>
        <x:v>9</x:v>
      </x:c>
      <x:c r="G79" s="5" t="n">
        <x:f>IF(F79=0,"",MAX('浓度与阈值来源'!E79:DM79))</x:f>
        <x:v>23950</x:v>
      </x:c>
      <x:c r="H79" s="5" t="n">
        <x:f>IF(F79=0,"",MEDIAN('浓度与阈值来源'!E79:DM79))</x:f>
        <x:v>3.79</x:v>
      </x:c>
      <x:c r="I79" s="7" t="n">
        <x:f>IF(AND(ISNUMBER(E79),E79&gt;0,F79&gt;0),G79/E79,"")</x:f>
        <x:v>17.290046852778318</x:v>
      </x:c>
      <x:c r="J79" s="7" t="n">
        <x:f>IF(AND(ISNUMBER(E79),E79&gt;0,F79&gt;0),H79/E79,"")</x:f>
        <x:v>0.00273608674622254</x:v>
      </x:c>
      <x:c r="K79" s="1" t="str">
        <x:f>IF(F79=0,"无浓度数据",IF(E79="","缺周表阈值","可计算"))</x:f>
        <x:v>可计算</x:v>
      </x:c>
      <x:c r="L79" s="1" t="str">
        <x:f>IF(NOT(ISNUMBER(J79)),"待定",IF(J79&gt;50,"骨架成分",IF(J79&gt;=2,"重要成分","两档成分")))</x:f>
        <x:v>两档成分</x:v>
      </x:c>
      <x:c r="M79" s="1" t="n">
        <x:f>IF(NOT(ISNUMBER(J79)),"",IF(J79&gt;=2,3,2))</x:f>
        <x:v>2</x:v>
      </x:c>
      <x:c r="N79" s="1" t="str">
        <x:f>IF(NOT(ISNUMBER(J79)),"缺少可算OAV",IF(J79&gt;=2,"最大值、中位值、低值待校准","最大值、中位值"))</x:f>
        <x:v>最大值、中位值</x:v>
      </x:c>
      <x:c r="O79" s="1" t="str">
        <x:f>IF(NOT(ISNUMBER(J79)),"待定",IF(J79&lt;2,"不设第三档",IF(J79&lt;=5,"中位OAV≤5；低档须低于中位浓度","低档需预试确认与中档可区分")))</x:f>
        <x:v>不设第三档</x:v>
      </x:c>
    </x:row>
    <x:row r="80" ht="23" customHeight="1">
      <x:c r="A80" s="1" t="n">
        <x:f>'浓度与阈值来源'!A80</x:f>
        <x:v>75</x:v>
      </x:c>
      <x:c r="B80" s="1" t="str">
        <x:f>IF('浓度与阈值来源'!B80="","",'浓度与阈值来源'!B80)</x:f>
        <x:v>戊酸</x:v>
      </x:c>
      <x:c r="C80" s="1" t="str">
        <x:f>IF('浓度与阈值来源'!C80="","",'浓度与阈值来源'!C80)</x:f>
        <x:v>109-52-4</x:v>
      </x:c>
      <x:c r="D80" s="1" t="str">
        <x:v>Valeric acid</x:v>
      </x:c>
      <x:c r="E80" s="5" t="n">
        <x:f>IF('浓度与阈值来源'!D80&gt;0,'浓度与阈值来源'!D80,"")</x:f>
        <x:v>389</x:v>
      </x:c>
      <x:c r="F80" s="6" t="n">
        <x:f>COUNT('浓度与阈值来源'!E80:DM80)</x:f>
        <x:v>91</x:v>
      </x:c>
      <x:c r="G80" s="5" t="n">
        <x:f>IF(F80=0,"",MAX('浓度与阈值来源'!E80:DM80))</x:f>
        <x:v>62700</x:v>
      </x:c>
      <x:c r="H80" s="5" t="n">
        <x:f>IF(F80=0,"",MEDIAN('浓度与阈值来源'!E80:DM80))</x:f>
        <x:v>2417</x:v>
      </x:c>
      <x:c r="I80" s="7" t="n">
        <x:f>IF(AND(ISNUMBER(E80),E80&gt;0,F80&gt;0),G80/E80,"")</x:f>
        <x:v>161.18251928020567</x:v>
      </x:c>
      <x:c r="J80" s="7" t="n">
        <x:f>IF(AND(ISNUMBER(E80),E80&gt;0,F80&gt;0),H80/E80,"")</x:f>
        <x:v>6.213367609254499</x:v>
      </x:c>
      <x:c r="K80" s="1" t="str">
        <x:f>IF(F80=0,"无浓度数据",IF(E80="","缺周表阈值","可计算"))</x:f>
        <x:v>可计算</x:v>
      </x:c>
      <x:c r="L80" s="1" t="str">
        <x:f>IF(NOT(ISNUMBER(J80)),"待定",IF(J80&gt;50,"骨架成分",IF(J80&gt;=2,"重要成分","两档成分")))</x:f>
        <x:v>重要成分</x:v>
      </x:c>
      <x:c r="M80" s="1" t="n">
        <x:f>IF(NOT(ISNUMBER(J80)),"",IF(J80&gt;=2,3,2))</x:f>
        <x:v>3</x:v>
      </x:c>
      <x:c r="N80" s="1" t="str">
        <x:f>IF(NOT(ISNUMBER(J80)),"缺少可算OAV",IF(J80&gt;=2,"最大值、中位值、低值待校准","最大值、中位值"))</x:f>
        <x:v>最大值、中位值、低值待校准</x:v>
      </x:c>
      <x:c r="O80" s="1" t="str">
        <x:f>IF(NOT(ISNUMBER(J80)),"待定",IF(J80&lt;2,"不设第三档",IF(J80&lt;=5,"中位OAV≤5；低档须低于中位浓度","低档需预试确认与中档可区分")))</x:f>
        <x:v>低档需预试确认与中档可区分</x:v>
      </x:c>
    </x:row>
    <x:row r="81" ht="23" customHeight="1">
      <x:c r="A81" s="1" t="n">
        <x:f>'浓度与阈值来源'!A81</x:f>
        <x:v>76</x:v>
      </x:c>
      <x:c r="B81" s="1" t="str">
        <x:f>IF('浓度与阈值来源'!B81="","",'浓度与阈值来源'!B81)</x:f>
        <x:v>乙酸丙酯</x:v>
      </x:c>
      <x:c r="C81" s="1" t="str">
        <x:f>IF('浓度与阈值来源'!C81="","",'浓度与阈值来源'!C81)</x:f>
        <x:v>109-60-4</x:v>
      </x:c>
      <x:c r="D81" s="1"/>
      <x:c r="E81" s="5" t="str">
        <x:f>IF('浓度与阈值来源'!D81&gt;0,'浓度与阈值来源'!D81,"")</x:f>
      </x:c>
      <x:c r="F81" s="6" t="n">
        <x:f>COUNT('浓度与阈值来源'!E81:DM81)</x:f>
        <x:v>2</x:v>
      </x:c>
      <x:c r="G81" s="5" t="n">
        <x:f>IF(F81=0,"",MAX('浓度与阈值来源'!E81:DM81))</x:f>
        <x:v>928</x:v>
      </x:c>
      <x:c r="H81" s="5" t="n">
        <x:f>IF(F81=0,"",MEDIAN('浓度与阈值来源'!E81:DM81))</x:f>
        <x:v>601</x:v>
      </x:c>
      <x:c r="I81" s="7" t="str">
        <x:f>IF(AND(ISNUMBER(E81),E81&gt;0,F81&gt;0),G81/E81,"")</x:f>
      </x:c>
      <x:c r="J81" s="7" t="str">
        <x:f>IF(AND(ISNUMBER(E81),E81&gt;0,F81&gt;0),H81/E81,"")</x:f>
      </x:c>
      <x:c r="K81" s="1" t="str">
        <x:f>IF(F81=0,"无浓度数据",IF(E81="","缺周表阈值","可计算"))</x:f>
        <x:v>缺周表阈值</x:v>
      </x:c>
      <x:c r="L81" s="1" t="str">
        <x:f>IF(NOT(ISNUMBER(J81)),"待定",IF(J81&gt;50,"骨架成分",IF(J81&gt;=2,"重要成分","两档成分")))</x:f>
        <x:v>待定</x:v>
      </x:c>
      <x:c r="M81" s="1" t="str">
        <x:f>IF(NOT(ISNUMBER(J81)),"",IF(J81&gt;=2,3,2))</x:f>
      </x:c>
      <x:c r="N81" s="1" t="str">
        <x:f>IF(NOT(ISNUMBER(J81)),"缺少可算OAV",IF(J81&gt;=2,"最大值、中位值、低值待校准","最大值、中位值"))</x:f>
        <x:v>缺少可算OAV</x:v>
      </x:c>
      <x:c r="O81" s="1" t="str">
        <x:f>IF(NOT(ISNUMBER(J81)),"待定",IF(J81&lt;2,"不设第三档",IF(J81&lt;=5,"中位OAV≤5；低档须低于中位浓度","低档需预试确认与中档可区分")))</x:f>
        <x:v>待定</x:v>
      </x:c>
    </x:row>
    <x:row r="82" ht="23" customHeight="1">
      <x:c r="A82" s="1" t="n">
        <x:f>'浓度与阈值来源'!A82</x:f>
        <x:v>77</x:v>
      </x:c>
      <x:c r="B82" s="1" t="str">
        <x:f>IF('浓度与阈值来源'!B82="","",'浓度与阈值来源'!B82)</x:f>
        <x:v>甲酸乙酯</x:v>
      </x:c>
      <x:c r="C82" s="1" t="str">
        <x:f>IF('浓度与阈值来源'!C82="","",'浓度与阈值来源'!C82)</x:f>
        <x:v>109-94-4</x:v>
      </x:c>
      <x:c r="D82" s="1" t="str">
        <x:v>Ethyl formate</x:v>
      </x:c>
      <x:c r="E82" s="5" t="str">
        <x:f>IF('浓度与阈值来源'!D82&gt;0,'浓度与阈值来源'!D82,"")</x:f>
      </x:c>
      <x:c r="F82" s="6" t="n">
        <x:f>COUNT('浓度与阈值来源'!E82:DM82)</x:f>
        <x:v>13</x:v>
      </x:c>
      <x:c r="G82" s="5" t="n">
        <x:f>IF(F82=0,"",MAX('浓度与阈值来源'!E82:DM82))</x:f>
        <x:v>619</x:v>
      </x:c>
      <x:c r="H82" s="5" t="n">
        <x:f>IF(F82=0,"",MEDIAN('浓度与阈值来源'!E82:DM82))</x:f>
        <x:v>39</x:v>
      </x:c>
      <x:c r="I82" s="7" t="str">
        <x:f>IF(AND(ISNUMBER(E82),E82&gt;0,F82&gt;0),G82/E82,"")</x:f>
      </x:c>
      <x:c r="J82" s="7" t="str">
        <x:f>IF(AND(ISNUMBER(E82),E82&gt;0,F82&gt;0),H82/E82,"")</x:f>
      </x:c>
      <x:c r="K82" s="1" t="str">
        <x:f>IF(F82=0,"无浓度数据",IF(E82="","缺周表阈值","可计算"))</x:f>
        <x:v>缺周表阈值</x:v>
      </x:c>
      <x:c r="L82" s="1" t="str">
        <x:f>IF(NOT(ISNUMBER(J82)),"待定",IF(J82&gt;50,"骨架成分",IF(J82&gt;=2,"重要成分","两档成分")))</x:f>
        <x:v>待定</x:v>
      </x:c>
      <x:c r="M82" s="1" t="str">
        <x:f>IF(NOT(ISNUMBER(J82)),"",IF(J82&gt;=2,3,2))</x:f>
      </x:c>
      <x:c r="N82" s="1" t="str">
        <x:f>IF(NOT(ISNUMBER(J82)),"缺少可算OAV",IF(J82&gt;=2,"最大值、中位值、低值待校准","最大值、中位值"))</x:f>
        <x:v>缺少可算OAV</x:v>
      </x:c>
      <x:c r="O82" s="1" t="str">
        <x:f>IF(NOT(ISNUMBER(J82)),"待定",IF(J82&lt;2,"不设第三档",IF(J82&lt;=5,"中位OAV≤5；低档须低于中位浓度","低档需预试确认与中档可区分")))</x:f>
        <x:v>待定</x:v>
      </x:c>
    </x:row>
    <x:row r="83" ht="23" customHeight="1">
      <x:c r="A83" s="1" t="n">
        <x:f>'浓度与阈值来源'!A83</x:f>
        <x:v>78</x:v>
      </x:c>
      <x:c r="B83" s="1" t="str">
        <x:f>IF('浓度与阈值来源'!B83="","",'浓度与阈值来源'!B83)</x:f>
        <x:v>乙酸异丁酯</x:v>
      </x:c>
      <x:c r="C83" s="1" t="str">
        <x:f>IF('浓度与阈值来源'!C83="","",'浓度与阈值来源'!C83)</x:f>
        <x:v>110-19-0</x:v>
      </x:c>
      <x:c r="D83" s="1"/>
      <x:c r="E83" s="5" t="str">
        <x:f>IF('浓度与阈值来源'!D83&gt;0,'浓度与阈值来源'!D83,"")</x:f>
      </x:c>
      <x:c r="F83" s="6" t="n">
        <x:f>COUNT('浓度与阈值来源'!E83:DM83)</x:f>
        <x:v>21</x:v>
      </x:c>
      <x:c r="G83" s="5" t="n">
        <x:f>IF(F83=0,"",MAX('浓度与阈值来源'!E83:DM83))</x:f>
        <x:v>78360</x:v>
      </x:c>
      <x:c r="H83" s="5" t="n">
        <x:f>IF(F83=0,"",MEDIAN('浓度与阈值来源'!E83:DM83))</x:f>
        <x:v>857.63</x:v>
      </x:c>
      <x:c r="I83" s="7" t="str">
        <x:f>IF(AND(ISNUMBER(E83),E83&gt;0,F83&gt;0),G83/E83,"")</x:f>
      </x:c>
      <x:c r="J83" s="7" t="str">
        <x:f>IF(AND(ISNUMBER(E83),E83&gt;0,F83&gt;0),H83/E83,"")</x:f>
      </x:c>
      <x:c r="K83" s="1" t="str">
        <x:f>IF(F83=0,"无浓度数据",IF(E83="","缺周表阈值","可计算"))</x:f>
        <x:v>缺周表阈值</x:v>
      </x:c>
      <x:c r="L83" s="1" t="str">
        <x:f>IF(NOT(ISNUMBER(J83)),"待定",IF(J83&gt;50,"骨架成分",IF(J83&gt;=2,"重要成分","两档成分")))</x:f>
        <x:v>待定</x:v>
      </x:c>
      <x:c r="M83" s="1" t="str">
        <x:f>IF(NOT(ISNUMBER(J83)),"",IF(J83&gt;=2,3,2))</x:f>
      </x:c>
      <x:c r="N83" s="1" t="str">
        <x:f>IF(NOT(ISNUMBER(J83)),"缺少可算OAV",IF(J83&gt;=2,"最大值、中位值、低值待校准","最大值、中位值"))</x:f>
        <x:v>缺少可算OAV</x:v>
      </x:c>
      <x:c r="O83" s="1" t="str">
        <x:f>IF(NOT(ISNUMBER(J83)),"待定",IF(J83&lt;2,"不设第三档",IF(J83&lt;=5,"中位OAV≤5；低档须低于中位浓度","低档需预试确认与中档可区分")))</x:f>
        <x:v>待定</x:v>
      </x:c>
    </x:row>
    <x:row r="84" ht="23" customHeight="1">
      <x:c r="A84" s="1" t="n">
        <x:f>'浓度与阈值来源'!A84</x:f>
        <x:v>79</x:v>
      </x:c>
      <x:c r="B84" s="1" t="str">
        <x:f>IF('浓度与阈值来源'!B84="","",'浓度与阈值来源'!B84)</x:f>
        <x:v>癸酸乙酯</x:v>
      </x:c>
      <x:c r="C84" s="1" t="str">
        <x:f>IF('浓度与阈值来源'!C84="","",'浓度与阈值来源'!C84)</x:f>
        <x:v>110-38-3</x:v>
      </x:c>
      <x:c r="D84" s="1" t="str">
        <x:v>Ethyl decanoate</x:v>
      </x:c>
      <x:c r="E84" s="5" t="n">
        <x:f>IF('浓度与阈值来源'!D84&gt;0,'浓度与阈值来源'!D84,"")</x:f>
        <x:v>1120</x:v>
      </x:c>
      <x:c r="F84" s="6" t="n">
        <x:f>COUNT('浓度与阈值来源'!E84:DM84)</x:f>
        <x:v>89</x:v>
      </x:c>
      <x:c r="G84" s="5" t="n">
        <x:f>IF(F84=0,"",MAX('浓度与阈值来源'!E84:DM84))</x:f>
        <x:v>56115</x:v>
      </x:c>
      <x:c r="H84" s="5" t="n">
        <x:f>IF(F84=0,"",MEDIAN('浓度与阈值来源'!E84:DM84))</x:f>
        <x:v>1288.255</x:v>
      </x:c>
      <x:c r="I84" s="7" t="n">
        <x:f>IF(AND(ISNUMBER(E84),E84&gt;0,F84&gt;0),G84/E84,"")</x:f>
        <x:v>50.10267857142857</x:v>
      </x:c>
      <x:c r="J84" s="7" t="n">
        <x:f>IF(AND(ISNUMBER(E84),E84&gt;0,F84&gt;0),H84/E84,"")</x:f>
        <x:v>1.1502276785714287</x:v>
      </x:c>
      <x:c r="K84" s="1" t="str">
        <x:f>IF(F84=0,"无浓度数据",IF(E84="","缺周表阈值","可计算"))</x:f>
        <x:v>可计算</x:v>
      </x:c>
      <x:c r="L84" s="1" t="str">
        <x:f>IF(NOT(ISNUMBER(J84)),"待定",IF(J84&gt;50,"骨架成分",IF(J84&gt;=2,"重要成分","两档成分")))</x:f>
        <x:v>两档成分</x:v>
      </x:c>
      <x:c r="M84" s="1" t="n">
        <x:f>IF(NOT(ISNUMBER(J84)),"",IF(J84&gt;=2,3,2))</x:f>
        <x:v>2</x:v>
      </x:c>
      <x:c r="N84" s="1" t="str">
        <x:f>IF(NOT(ISNUMBER(J84)),"缺少可算OAV",IF(J84&gt;=2,"最大值、中位值、低值待校准","最大值、中位值"))</x:f>
        <x:v>最大值、中位值</x:v>
      </x:c>
      <x:c r="O84" s="1" t="str">
        <x:f>IF(NOT(ISNUMBER(J84)),"待定",IF(J84&lt;2,"不设第三档",IF(J84&lt;=5,"中位OAV≤5；低档须低于中位浓度","低档需预试确认与中档可区分")))</x:f>
        <x:v>不设第三档</x:v>
      </x:c>
    </x:row>
    <x:row r="85" ht="23" customHeight="1">
      <x:c r="A85" s="1" t="n">
        <x:f>'浓度与阈值来源'!A85</x:f>
        <x:v>80</x:v>
      </x:c>
      <x:c r="B85" s="1" t="str">
        <x:f>IF('浓度与阈值来源'!B85="","",'浓度与阈值来源'!B85)</x:f>
      </x:c>
      <x:c r="C85" s="1" t="str">
        <x:f>IF('浓度与阈值来源'!C85="","",'浓度与阈值来源'!C85)</x:f>
        <x:v>110-39-4</x:v>
      </x:c>
      <x:c r="D85" s="1" t="str">
        <x:v>Octyl butyrate</x:v>
      </x:c>
      <x:c r="E85" s="5" t="str">
        <x:f>IF('浓度与阈值来源'!D85&gt;0,'浓度与阈值来源'!D85,"")</x:f>
      </x:c>
      <x:c r="F85" s="6" t="n">
        <x:f>COUNT('浓度与阈值来源'!E85:DM85)</x:f>
        <x:v>6</x:v>
      </x:c>
      <x:c r="G85" s="5" t="n">
        <x:f>IF(F85=0,"",MAX('浓度与阈值来源'!E85:DM85))</x:f>
        <x:v>458</x:v>
      </x:c>
      <x:c r="H85" s="5" t="n">
        <x:f>IF(F85=0,"",MEDIAN('浓度与阈值来源'!E85:DM85))</x:f>
        <x:v>373</x:v>
      </x:c>
      <x:c r="I85" s="7" t="str">
        <x:f>IF(AND(ISNUMBER(E85),E85&gt;0,F85&gt;0),G85/E85,"")</x:f>
      </x:c>
      <x:c r="J85" s="7" t="str">
        <x:f>IF(AND(ISNUMBER(E85),E85&gt;0,F85&gt;0),H85/E85,"")</x:f>
      </x:c>
      <x:c r="K85" s="1" t="str">
        <x:f>IF(F85=0,"无浓度数据",IF(E85="","缺周表阈值","可计算"))</x:f>
        <x:v>缺周表阈值</x:v>
      </x:c>
      <x:c r="L85" s="1" t="str">
        <x:f>IF(NOT(ISNUMBER(J85)),"待定",IF(J85&gt;50,"骨架成分",IF(J85&gt;=2,"重要成分","两档成分")))</x:f>
        <x:v>待定</x:v>
      </x:c>
      <x:c r="M85" s="1" t="str">
        <x:f>IF(NOT(ISNUMBER(J85)),"",IF(J85&gt;=2,3,2))</x:f>
      </x:c>
      <x:c r="N85" s="1" t="str">
        <x:f>IF(NOT(ISNUMBER(J85)),"缺少可算OAV",IF(J85&gt;=2,"最大值、中位值、低值待校准","最大值、中位值"))</x:f>
        <x:v>缺少可算OAV</x:v>
      </x:c>
      <x:c r="O85" s="1" t="str">
        <x:f>IF(NOT(ISNUMBER(J85)),"待定",IF(J85&lt;2,"不设第三档",IF(J85&lt;=5,"中位OAV≤5；低档须低于中位浓度","低档需预试确认与中档可区分")))</x:f>
        <x:v>待定</x:v>
      </x:c>
    </x:row>
    <x:row r="86" ht="23" customHeight="1">
      <x:c r="A86" s="1" t="n">
        <x:f>'浓度与阈值来源'!A86</x:f>
        <x:v>81</x:v>
      </x:c>
      <x:c r="B86" s="1" t="str">
        <x:f>IF('浓度与阈值来源'!B86="","",'浓度与阈值来源'!B86)</x:f>
        <x:v>2-庚酮</x:v>
      </x:c>
      <x:c r="C86" s="1" t="str">
        <x:f>IF('浓度与阈值来源'!C86="","",'浓度与阈值来源'!C86)</x:f>
        <x:v>110-43-0</x:v>
      </x:c>
      <x:c r="D86" s="1" t="str">
        <x:v>2-Heptanone</x:v>
      </x:c>
      <x:c r="E86" s="5" t="str">
        <x:f>IF('浓度与阈值来源'!D86&gt;0,'浓度与阈值来源'!D86,"")</x:f>
      </x:c>
      <x:c r="F86" s="6" t="n">
        <x:f>COUNT('浓度与阈值来源'!E86:DM86)</x:f>
        <x:v>4</x:v>
      </x:c>
      <x:c r="G86" s="5" t="n">
        <x:f>IF(F86=0,"",MAX('浓度与阈值来源'!E86:DM86))</x:f>
        <x:v>577</x:v>
      </x:c>
      <x:c r="H86" s="5" t="n">
        <x:f>IF(F86=0,"",MEDIAN('浓度与阈值来源'!E86:DM86))</x:f>
        <x:v>193.25</x:v>
      </x:c>
      <x:c r="I86" s="7" t="str">
        <x:f>IF(AND(ISNUMBER(E86),E86&gt;0,F86&gt;0),G86/E86,"")</x:f>
      </x:c>
      <x:c r="J86" s="7" t="str">
        <x:f>IF(AND(ISNUMBER(E86),E86&gt;0,F86&gt;0),H86/E86,"")</x:f>
      </x:c>
      <x:c r="K86" s="1" t="str">
        <x:f>IF(F86=0,"无浓度数据",IF(E86="","缺周表阈值","可计算"))</x:f>
        <x:v>缺周表阈值</x:v>
      </x:c>
      <x:c r="L86" s="1" t="str">
        <x:f>IF(NOT(ISNUMBER(J86)),"待定",IF(J86&gt;50,"骨架成分",IF(J86&gt;=2,"重要成分","两档成分")))</x:f>
        <x:v>待定</x:v>
      </x:c>
      <x:c r="M86" s="1" t="str">
        <x:f>IF(NOT(ISNUMBER(J86)),"",IF(J86&gt;=2,3,2))</x:f>
      </x:c>
      <x:c r="N86" s="1" t="str">
        <x:f>IF(NOT(ISNUMBER(J86)),"缺少可算OAV",IF(J86&gt;=2,"最大值、中位值、低值待校准","最大值、中位值"))</x:f>
        <x:v>缺少可算OAV</x:v>
      </x:c>
      <x:c r="O86" s="1" t="str">
        <x:f>IF(NOT(ISNUMBER(J86)),"待定",IF(J86&lt;2,"不设第三档",IF(J86&lt;=5,"中位OAV≤5；低档须低于中位浓度","低档需预试确认与中档可区分")))</x:f>
        <x:v>待定</x:v>
      </x:c>
    </x:row>
    <x:row r="87" ht="23" customHeight="1">
      <x:c r="A87" s="1" t="n">
        <x:f>'浓度与阈值来源'!A87</x:f>
        <x:v>82</x:v>
      </x:c>
      <x:c r="B87" s="1" t="str">
        <x:f>IF('浓度与阈值来源'!B87="","",'浓度与阈值来源'!B87)</x:f>
        <x:v>戊醛</x:v>
      </x:c>
      <x:c r="C87" s="1" t="str">
        <x:f>IF('浓度与阈值来源'!C87="","",'浓度与阈值来源'!C87)</x:f>
        <x:v>110-62-3</x:v>
      </x:c>
      <x:c r="D87" s="1"/>
      <x:c r="E87" s="5" t="str">
        <x:f>IF('浓度与阈值来源'!D87&gt;0,'浓度与阈值来源'!D87,"")</x:f>
      </x:c>
      <x:c r="F87" s="6" t="n">
        <x:f>COUNT('浓度与阈值来源'!E87:DM87)</x:f>
        <x:v>14</x:v>
      </x:c>
      <x:c r="G87" s="5" t="n">
        <x:f>IF(F87=0,"",MAX('浓度与阈值来源'!E87:DM87))</x:f>
        <x:v>504.91</x:v>
      </x:c>
      <x:c r="H87" s="5" t="n">
        <x:f>IF(F87=0,"",MEDIAN('浓度与阈值来源'!E87:DM87))</x:f>
        <x:v>41.730000000000004</x:v>
      </x:c>
      <x:c r="I87" s="7" t="str">
        <x:f>IF(AND(ISNUMBER(E87),E87&gt;0,F87&gt;0),G87/E87,"")</x:f>
      </x:c>
      <x:c r="J87" s="7" t="str">
        <x:f>IF(AND(ISNUMBER(E87),E87&gt;0,F87&gt;0),H87/E87,"")</x:f>
      </x:c>
      <x:c r="K87" s="1" t="str">
        <x:f>IF(F87=0,"无浓度数据",IF(E87="","缺周表阈值","可计算"))</x:f>
        <x:v>缺周表阈值</x:v>
      </x:c>
      <x:c r="L87" s="1" t="str">
        <x:f>IF(NOT(ISNUMBER(J87)),"待定",IF(J87&gt;50,"骨架成分",IF(J87&gt;=2,"重要成分","两档成分")))</x:f>
        <x:v>待定</x:v>
      </x:c>
      <x:c r="M87" s="1" t="str">
        <x:f>IF(NOT(ISNUMBER(J87)),"",IF(J87&gt;=2,3,2))</x:f>
      </x:c>
      <x:c r="N87" s="1" t="str">
        <x:f>IF(NOT(ISNUMBER(J87)),"缺少可算OAV",IF(J87&gt;=2,"最大值、中位值、低值待校准","最大值、中位值"))</x:f>
        <x:v>缺少可算OAV</x:v>
      </x:c>
      <x:c r="O87" s="1" t="str">
        <x:f>IF(NOT(ISNUMBER(J87)),"待定",IF(J87&lt;2,"不设第三档",IF(J87&lt;=5,"中位OAV≤5；低档须低于中位浓度","低档需预试确认与中档可区分")))</x:f>
        <x:v>待定</x:v>
      </x:c>
    </x:row>
    <x:row r="88" ht="23" customHeight="1">
      <x:c r="A88" s="1" t="n">
        <x:f>'浓度与阈值来源'!A88</x:f>
        <x:v>83</x:v>
      </x:c>
      <x:c r="B88" s="1" t="str">
        <x:f>IF('浓度与阈值来源'!B88="","",'浓度与阈值来源'!B88)</x:f>
        <x:v>2-辛酮</x:v>
      </x:c>
      <x:c r="C88" s="1" t="str">
        <x:f>IF('浓度与阈值来源'!C88="","",'浓度与阈值来源'!C88)</x:f>
        <x:v>111-13-7</x:v>
      </x:c>
      <x:c r="D88" s="1" t="str">
        <x:v>2-octanone</x:v>
      </x:c>
      <x:c r="E88" s="5" t="n">
        <x:f>IF('浓度与阈值来源'!D88&gt;0,'浓度与阈值来源'!D88,"")</x:f>
        <x:v>250</x:v>
      </x:c>
      <x:c r="F88" s="6" t="n">
        <x:f>COUNT('浓度与阈值来源'!E88:DM88)</x:f>
        <x:v>26</x:v>
      </x:c>
      <x:c r="G88" s="5" t="n">
        <x:f>IF(F88=0,"",MAX('浓度与阈值来源'!E88:DM88))</x:f>
        <x:v>1017.03</x:v>
      </x:c>
      <x:c r="H88" s="5" t="n">
        <x:f>IF(F88=0,"",MEDIAN('浓度与阈值来源'!E88:DM88))</x:f>
        <x:v>437.95000000000005</x:v>
      </x:c>
      <x:c r="I88" s="7" t="n">
        <x:f>IF(AND(ISNUMBER(E88),E88&gt;0,F88&gt;0),G88/E88,"")</x:f>
        <x:v>4.0681199999999995</x:v>
      </x:c>
      <x:c r="J88" s="7" t="n">
        <x:f>IF(AND(ISNUMBER(E88),E88&gt;0,F88&gt;0),H88/E88,"")</x:f>
        <x:v>1.7518000000000002</x:v>
      </x:c>
      <x:c r="K88" s="1" t="str">
        <x:f>IF(F88=0,"无浓度数据",IF(E88="","缺周表阈值","可计算"))</x:f>
        <x:v>可计算</x:v>
      </x:c>
      <x:c r="L88" s="1" t="str">
        <x:f>IF(NOT(ISNUMBER(J88)),"待定",IF(J88&gt;50,"骨架成分",IF(J88&gt;=2,"重要成分","两档成分")))</x:f>
        <x:v>两档成分</x:v>
      </x:c>
      <x:c r="M88" s="1" t="n">
        <x:f>IF(NOT(ISNUMBER(J88)),"",IF(J88&gt;=2,3,2))</x:f>
        <x:v>2</x:v>
      </x:c>
      <x:c r="N88" s="1" t="str">
        <x:f>IF(NOT(ISNUMBER(J88)),"缺少可算OAV",IF(J88&gt;=2,"最大值、中位值、低值待校准","最大值、中位值"))</x:f>
        <x:v>最大值、中位值</x:v>
      </x:c>
      <x:c r="O88" s="1" t="str">
        <x:f>IF(NOT(ISNUMBER(J88)),"待定",IF(J88&lt;2,"不设第三档",IF(J88&lt;=5,"中位OAV≤5；低档须低于中位浓度","低档需预试确认与中档可区分")))</x:f>
        <x:v>不设第三档</x:v>
      </x:c>
    </x:row>
    <x:row r="89" ht="23" customHeight="1">
      <x:c r="A89" s="1" t="n">
        <x:f>'浓度与阈值来源'!A89</x:f>
        <x:v>84</x:v>
      </x:c>
      <x:c r="B89" s="1" t="str">
        <x:f>IF('浓度与阈值来源'!B89="","",'浓度与阈值来源'!B89)</x:f>
        <x:v>庚酸</x:v>
      </x:c>
      <x:c r="C89" s="1" t="str">
        <x:f>IF('浓度与阈值来源'!C89="","",'浓度与阈值来源'!C89)</x:f>
        <x:v>111-14-8</x:v>
      </x:c>
      <x:c r="D89" s="1" t="str">
        <x:v>Heptanoic acid</x:v>
      </x:c>
      <x:c r="E89" s="5" t="str">
        <x:f>IF('浓度与阈值来源'!D89&gt;0,'浓度与阈值来源'!D89,"")</x:f>
      </x:c>
      <x:c r="F89" s="6" t="n">
        <x:f>COUNT('浓度与阈值来源'!E89:DM89)</x:f>
        <x:v>80</x:v>
      </x:c>
      <x:c r="G89" s="5" t="n">
        <x:f>IF(F89=0,"",MAX('浓度与阈值来源'!E89:DM89))</x:f>
        <x:v>39284.8</x:v>
      </x:c>
      <x:c r="H89" s="5" t="n">
        <x:f>IF(F89=0,"",MEDIAN('浓度与阈值来源'!E89:DM89))</x:f>
        <x:v>589.935</x:v>
      </x:c>
      <x:c r="I89" s="7" t="str">
        <x:f>IF(AND(ISNUMBER(E89),E89&gt;0,F89&gt;0),G89/E89,"")</x:f>
      </x:c>
      <x:c r="J89" s="7" t="str">
        <x:f>IF(AND(ISNUMBER(E89),E89&gt;0,F89&gt;0),H89/E89,"")</x:f>
      </x:c>
      <x:c r="K89" s="1" t="str">
        <x:f>IF(F89=0,"无浓度数据",IF(E89="","缺周表阈值","可计算"))</x:f>
        <x:v>缺周表阈值</x:v>
      </x:c>
      <x:c r="L89" s="1" t="str">
        <x:f>IF(NOT(ISNUMBER(J89)),"待定",IF(J89&gt;50,"骨架成分",IF(J89&gt;=2,"重要成分","两档成分")))</x:f>
        <x:v>待定</x:v>
      </x:c>
      <x:c r="M89" s="1" t="str">
        <x:f>IF(NOT(ISNUMBER(J89)),"",IF(J89&gt;=2,3,2))</x:f>
      </x:c>
      <x:c r="N89" s="1" t="str">
        <x:f>IF(NOT(ISNUMBER(J89)),"缺少可算OAV",IF(J89&gt;=2,"最大值、中位值、低值待校准","最大值、中位值"))</x:f>
        <x:v>缺少可算OAV</x:v>
      </x:c>
      <x:c r="O89" s="1" t="str">
        <x:f>IF(NOT(ISNUMBER(J89)),"待定",IF(J89&lt;2,"不设第三档",IF(J89&lt;=5,"中位OAV≤5；低档须低于中位浓度","低档需预试确认与中档可区分")))</x:f>
        <x:v>待定</x:v>
      </x:c>
    </x:row>
    <x:row r="90" ht="23" customHeight="1">
      <x:c r="A90" s="1" t="n">
        <x:f>'浓度与阈值来源'!A90</x:f>
        <x:v>85</x:v>
      </x:c>
      <x:c r="B90" s="1" t="str">
        <x:f>IF('浓度与阈值来源'!B90="","",'浓度与阈值来源'!B90)</x:f>
        <x:v>1-己醇</x:v>
      </x:c>
      <x:c r="C90" s="1" t="str">
        <x:f>IF('浓度与阈值来源'!C90="","",'浓度与阈值来源'!C90)</x:f>
        <x:v>111-27-3</x:v>
      </x:c>
      <x:c r="D90" s="1" t="str">
        <x:v>1-Hexanol</x:v>
      </x:c>
      <x:c r="E90" s="5" t="n">
        <x:f>IF('浓度与阈值来源'!D90&gt;0,'浓度与阈值来源'!D90,"")</x:f>
        <x:v>5370</x:v>
      </x:c>
      <x:c r="F90" s="6" t="n">
        <x:f>COUNT('浓度与阈值来源'!E90:DM90)</x:f>
        <x:v>95</x:v>
      </x:c>
      <x:c r="G90" s="5" t="n">
        <x:f>IF(F90=0,"",MAX('浓度与阈值来源'!E90:DM90))</x:f>
        <x:v>1869000</x:v>
      </x:c>
      <x:c r="H90" s="5" t="n">
        <x:f>IF(F90=0,"",MEDIAN('浓度与阈值来源'!E90:DM90))</x:f>
        <x:v>3900</x:v>
      </x:c>
      <x:c r="I90" s="7" t="n">
        <x:f>IF(AND(ISNUMBER(E90),E90&gt;0,F90&gt;0),G90/E90,"")</x:f>
        <x:v>348.0446927374302</x:v>
      </x:c>
      <x:c r="J90" s="7" t="n">
        <x:f>IF(AND(ISNUMBER(E90),E90&gt;0,F90&gt;0),H90/E90,"")</x:f>
        <x:v>0.7262569832402235</x:v>
      </x:c>
      <x:c r="K90" s="1" t="str">
        <x:f>IF(F90=0,"无浓度数据",IF(E90="","缺周表阈值","可计算"))</x:f>
        <x:v>可计算</x:v>
      </x:c>
      <x:c r="L90" s="1" t="str">
        <x:f>IF(NOT(ISNUMBER(J90)),"待定",IF(J90&gt;50,"骨架成分",IF(J90&gt;=2,"重要成分","两档成分")))</x:f>
        <x:v>两档成分</x:v>
      </x:c>
      <x:c r="M90" s="1" t="n">
        <x:f>IF(NOT(ISNUMBER(J90)),"",IF(J90&gt;=2,3,2))</x:f>
        <x:v>2</x:v>
      </x:c>
      <x:c r="N90" s="1" t="str">
        <x:f>IF(NOT(ISNUMBER(J90)),"缺少可算OAV",IF(J90&gt;=2,"最大值、中位值、低值待校准","最大值、中位值"))</x:f>
        <x:v>最大值、中位值</x:v>
      </x:c>
      <x:c r="O90" s="1" t="str">
        <x:f>IF(NOT(ISNUMBER(J90)),"待定",IF(J90&lt;2,"不设第三档",IF(J90&lt;=5,"中位OAV≤5；低档须低于中位浓度","低档需预试确认与中档可区分")))</x:f>
        <x:v>不设第三档</x:v>
      </x:c>
    </x:row>
    <x:row r="91" ht="23" customHeight="1">
      <x:c r="A91" s="1" t="n">
        <x:f>'浓度与阈值来源'!A91</x:f>
        <x:v>86</x:v>
      </x:c>
      <x:c r="B91" s="1" t="str">
        <x:f>IF('浓度与阈值来源'!B91="","",'浓度与阈值来源'!B91)</x:f>
        <x:v>硬脂酸乙酯</x:v>
      </x:c>
      <x:c r="C91" s="1" t="str">
        <x:f>IF('浓度与阈值来源'!C91="","",'浓度与阈值来源'!C91)</x:f>
        <x:v>111-61-5</x:v>
      </x:c>
      <x:c r="D91" s="1"/>
      <x:c r="E91" s="5" t="str">
        <x:f>IF('浓度与阈值来源'!D91&gt;0,'浓度与阈值来源'!D91,"")</x:f>
      </x:c>
      <x:c r="F91" s="6" t="n">
        <x:f>COUNT('浓度与阈值来源'!E91:DM91)</x:f>
        <x:v>3</x:v>
      </x:c>
      <x:c r="G91" s="5" t="n">
        <x:f>IF(F91=0,"",MAX('浓度与阈值来源'!E91:DM91))</x:f>
        <x:v>5</x:v>
      </x:c>
      <x:c r="H91" s="5" t="n">
        <x:f>IF(F91=0,"",MEDIAN('浓度与阈值来源'!E91:DM91))</x:f>
        <x:v>1.26</x:v>
      </x:c>
      <x:c r="I91" s="7" t="str">
        <x:f>IF(AND(ISNUMBER(E91),E91&gt;0,F91&gt;0),G91/E91,"")</x:f>
      </x:c>
      <x:c r="J91" s="7" t="str">
        <x:f>IF(AND(ISNUMBER(E91),E91&gt;0,F91&gt;0),H91/E91,"")</x:f>
      </x:c>
      <x:c r="K91" s="1" t="str">
        <x:f>IF(F91=0,"无浓度数据",IF(E91="","缺周表阈值","可计算"))</x:f>
        <x:v>缺周表阈值</x:v>
      </x:c>
      <x:c r="L91" s="1" t="str">
        <x:f>IF(NOT(ISNUMBER(J91)),"待定",IF(J91&gt;50,"骨架成分",IF(J91&gt;=2,"重要成分","两档成分")))</x:f>
        <x:v>待定</x:v>
      </x:c>
      <x:c r="M91" s="1" t="str">
        <x:f>IF(NOT(ISNUMBER(J91)),"",IF(J91&gt;=2,3,2))</x:f>
      </x:c>
      <x:c r="N91" s="1" t="str">
        <x:f>IF(NOT(ISNUMBER(J91)),"缺少可算OAV",IF(J91&gt;=2,"最大值、中位值、低值待校准","最大值、中位值"))</x:f>
        <x:v>缺少可算OAV</x:v>
      </x:c>
      <x:c r="O91" s="1" t="str">
        <x:f>IF(NOT(ISNUMBER(J91)),"待定",IF(J91&lt;2,"不设第三档",IF(J91&lt;=5,"中位OAV≤5；低档须低于中位浓度","低档需预试确认与中档可区分")))</x:f>
        <x:v>待定</x:v>
      </x:c>
    </x:row>
    <x:row r="92" ht="23" customHeight="1">
      <x:c r="A92" s="1" t="n">
        <x:f>'浓度与阈值来源'!A92</x:f>
        <x:v>87</x:v>
      </x:c>
      <x:c r="B92" s="1" t="str">
        <x:f>IF('浓度与阈值来源'!B92="","",'浓度与阈值来源'!B92)</x:f>
        <x:v>油酸乙酯</x:v>
      </x:c>
      <x:c r="C92" s="1" t="str">
        <x:f>IF('浓度与阈值来源'!C92="","",'浓度与阈值来源'!C92)</x:f>
        <x:v>111-62-6</x:v>
      </x:c>
      <x:c r="D92" s="1" t="str">
        <x:v>Ethyl oleate</x:v>
      </x:c>
      <x:c r="E92" s="5" t="str">
        <x:f>IF('浓度与阈值来源'!D92&gt;0,'浓度与阈值来源'!D92,"")</x:f>
      </x:c>
      <x:c r="F92" s="6" t="n">
        <x:f>COUNT('浓度与阈值来源'!E92:DM92)</x:f>
        <x:v>11</x:v>
      </x:c>
      <x:c r="G92" s="5" t="n">
        <x:f>IF(F92=0,"",MAX('浓度与阈值来源'!E92:DM92))</x:f>
        <x:v>28083</x:v>
      </x:c>
      <x:c r="H92" s="5" t="n">
        <x:f>IF(F92=0,"",MEDIAN('浓度与阈值来源'!E92:DM92))</x:f>
        <x:v>13586</x:v>
      </x:c>
      <x:c r="I92" s="7" t="str">
        <x:f>IF(AND(ISNUMBER(E92),E92&gt;0,F92&gt;0),G92/E92,"")</x:f>
      </x:c>
      <x:c r="J92" s="7" t="str">
        <x:f>IF(AND(ISNUMBER(E92),E92&gt;0,F92&gt;0),H92/E92,"")</x:f>
      </x:c>
      <x:c r="K92" s="1" t="str">
        <x:f>IF(F92=0,"无浓度数据",IF(E92="","缺周表阈值","可计算"))</x:f>
        <x:v>缺周表阈值</x:v>
      </x:c>
      <x:c r="L92" s="1" t="str">
        <x:f>IF(NOT(ISNUMBER(J92)),"待定",IF(J92&gt;50,"骨架成分",IF(J92&gt;=2,"重要成分","两档成分")))</x:f>
        <x:v>待定</x:v>
      </x:c>
      <x:c r="M92" s="1" t="str">
        <x:f>IF(NOT(ISNUMBER(J92)),"",IF(J92&gt;=2,3,2))</x:f>
      </x:c>
      <x:c r="N92" s="1" t="str">
        <x:f>IF(NOT(ISNUMBER(J92)),"缺少可算OAV",IF(J92&gt;=2,"最大值、中位值、低值待校准","最大值、中位值"))</x:f>
        <x:v>缺少可算OAV</x:v>
      </x:c>
      <x:c r="O92" s="1" t="str">
        <x:f>IF(NOT(ISNUMBER(J92)),"待定",IF(J92&lt;2,"不设第三档",IF(J92&lt;=5,"中位OAV≤5；低档须低于中位浓度","低档需预试确认与中档可区分")))</x:f>
        <x:v>待定</x:v>
      </x:c>
    </x:row>
    <x:row r="93" ht="23" customHeight="1">
      <x:c r="A93" s="1" t="n">
        <x:f>'浓度与阈值来源'!A93</x:f>
        <x:v>88</x:v>
      </x:c>
      <x:c r="B93" s="1" t="str">
        <x:f>IF('浓度与阈值来源'!B93="","",'浓度与阈值来源'!B93)</x:f>
        <x:v>庚醇</x:v>
      </x:c>
      <x:c r="C93" s="1" t="str">
        <x:f>IF('浓度与阈值来源'!C93="","",'浓度与阈值来源'!C93)</x:f>
        <x:v>111-70-6</x:v>
      </x:c>
      <x:c r="D93" s="1"/>
      <x:c r="E93" s="5" t="n">
        <x:f>IF('浓度与阈值来源'!D93&gt;0,'浓度与阈值来源'!D93,"")</x:f>
        <x:v>26600</x:v>
      </x:c>
      <x:c r="F93" s="6" t="n">
        <x:f>COUNT('浓度与阈值来源'!E93:DM93)</x:f>
        <x:v>24</x:v>
      </x:c>
      <x:c r="G93" s="5" t="n">
        <x:f>IF(F93=0,"",MAX('浓度与阈值来源'!E93:DM93))</x:f>
        <x:v>23210</x:v>
      </x:c>
      <x:c r="H93" s="5" t="n">
        <x:f>IF(F93=0,"",MEDIAN('浓度与阈值来源'!E93:DM93))</x:f>
        <x:v>1366.8049999999998</x:v>
      </x:c>
      <x:c r="I93" s="7" t="n">
        <x:f>IF(AND(ISNUMBER(E93),E93&gt;0,F93&gt;0),G93/E93,"")</x:f>
        <x:v>0.8725563909774436</x:v>
      </x:c>
      <x:c r="J93" s="7" t="n">
        <x:f>IF(AND(ISNUMBER(E93),E93&gt;0,F93&gt;0),H93/E93,"")</x:f>
        <x:v>0.051383646616541344</x:v>
      </x:c>
      <x:c r="K93" s="1" t="str">
        <x:f>IF(F93=0,"无浓度数据",IF(E93="","缺周表阈值","可计算"))</x:f>
        <x:v>可计算</x:v>
      </x:c>
      <x:c r="L93" s="1" t="str">
        <x:f>IF(NOT(ISNUMBER(J93)),"待定",IF(J93&gt;50,"骨架成分",IF(J93&gt;=2,"重要成分","两档成分")))</x:f>
        <x:v>两档成分</x:v>
      </x:c>
      <x:c r="M93" s="1" t="n">
        <x:f>IF(NOT(ISNUMBER(J93)),"",IF(J93&gt;=2,3,2))</x:f>
        <x:v>2</x:v>
      </x:c>
      <x:c r="N93" s="1" t="str">
        <x:f>IF(NOT(ISNUMBER(J93)),"缺少可算OAV",IF(J93&gt;=2,"最大值、中位值、低值待校准","最大值、中位值"))</x:f>
        <x:v>最大值、中位值</x:v>
      </x:c>
      <x:c r="O93" s="1" t="str">
        <x:f>IF(NOT(ISNUMBER(J93)),"待定",IF(J93&lt;2,"不设第三档",IF(J93&lt;=5,"中位OAV≤5；低档须低于中位浓度","低档需预试确认与中档可区分")))</x:f>
        <x:v>不设第三档</x:v>
      </x:c>
    </x:row>
    <x:row r="94" ht="23" customHeight="1">
      <x:c r="A94" s="1" t="n">
        <x:f>'浓度与阈值来源'!A94</x:f>
        <x:v>89</x:v>
      </x:c>
      <x:c r="B94" s="1" t="str">
        <x:f>IF('浓度与阈值来源'!B94="","",'浓度与阈值来源'!B94)</x:f>
      </x:c>
      <x:c r="C94" s="1" t="str">
        <x:f>IF('浓度与阈值来源'!C94="","",'浓度与阈值来源'!C94)</x:f>
        <x:v>111-71-7</x:v>
      </x:c>
      <x:c r="D94" s="1" t="str">
        <x:v>heptanal</x:v>
      </x:c>
      <x:c r="E94" s="5" t="str">
        <x:f>IF('浓度与阈值来源'!D94&gt;0,'浓度与阈值来源'!D94,"")</x:f>
      </x:c>
      <x:c r="F94" s="6" t="n">
        <x:f>COUNT('浓度与阈值来源'!E94:DM94)</x:f>
        <x:v>1</x:v>
      </x:c>
      <x:c r="G94" s="5" t="n">
        <x:f>IF(F94=0,"",MAX('浓度与阈值来源'!E94:DM94))</x:f>
        <x:v>0.2</x:v>
      </x:c>
      <x:c r="H94" s="5" t="n">
        <x:f>IF(F94=0,"",MEDIAN('浓度与阈值来源'!E94:DM94))</x:f>
        <x:v>0.2</x:v>
      </x:c>
      <x:c r="I94" s="7" t="str">
        <x:f>IF(AND(ISNUMBER(E94),E94&gt;0,F94&gt;0),G94/E94,"")</x:f>
      </x:c>
      <x:c r="J94" s="7" t="str">
        <x:f>IF(AND(ISNUMBER(E94),E94&gt;0,F94&gt;0),H94/E94,"")</x:f>
      </x:c>
      <x:c r="K94" s="1" t="str">
        <x:f>IF(F94=0,"无浓度数据",IF(E94="","缺周表阈值","可计算"))</x:f>
        <x:v>缺周表阈值</x:v>
      </x:c>
      <x:c r="L94" s="1" t="str">
        <x:f>IF(NOT(ISNUMBER(J94)),"待定",IF(J94&gt;50,"骨架成分",IF(J94&gt;=2,"重要成分","两档成分")))</x:f>
        <x:v>待定</x:v>
      </x:c>
      <x:c r="M94" s="1" t="str">
        <x:f>IF(NOT(ISNUMBER(J94)),"",IF(J94&gt;=2,3,2))</x:f>
      </x:c>
      <x:c r="N94" s="1" t="str">
        <x:f>IF(NOT(ISNUMBER(J94)),"缺少可算OAV",IF(J94&gt;=2,"最大值、中位值、低值待校准","最大值、中位值"))</x:f>
        <x:v>缺少可算OAV</x:v>
      </x:c>
      <x:c r="O94" s="1" t="str">
        <x:f>IF(NOT(ISNUMBER(J94)),"待定",IF(J94&lt;2,"不设第三档",IF(J94&lt;=5,"中位OAV≤5；低档须低于中位浓度","低档需预试确认与中档可区分")))</x:f>
        <x:v>待定</x:v>
      </x:c>
    </x:row>
    <x:row r="95" ht="23" customHeight="1">
      <x:c r="A95" s="1" t="n">
        <x:f>'浓度与阈值来源'!A95</x:f>
        <x:v>90</x:v>
      </x:c>
      <x:c r="B95" s="1" t="str">
        <x:f>IF('浓度与阈值来源'!B95="","",'浓度与阈值来源'!B95)</x:f>
        <x:v>1-辛醇</x:v>
      </x:c>
      <x:c r="C95" s="1" t="str">
        <x:f>IF('浓度与阈值来源'!C95="","",'浓度与阈值来源'!C95)</x:f>
        <x:v>111-87-5</x:v>
      </x:c>
      <x:c r="D95" s="1" t="str">
        <x:v>1-octanol</x:v>
      </x:c>
      <x:c r="E95" s="5" t="n">
        <x:f>IF('浓度与阈值来源'!D95&gt;0,'浓度与阈值来源'!D95,"")</x:f>
        <x:v>1100</x:v>
      </x:c>
      <x:c r="F95" s="6" t="n">
        <x:f>COUNT('浓度与阈值来源'!E95:DM95)</x:f>
        <x:v>53</x:v>
      </x:c>
      <x:c r="G95" s="5" t="n">
        <x:f>IF(F95=0,"",MAX('浓度与阈值来源'!E95:DM95))</x:f>
        <x:v>25642.45</x:v>
      </x:c>
      <x:c r="H95" s="5" t="n">
        <x:f>IF(F95=0,"",MEDIAN('浓度与阈值来源'!E95:DM95))</x:f>
        <x:v>1232.25</x:v>
      </x:c>
      <x:c r="I95" s="7" t="n">
        <x:f>IF(AND(ISNUMBER(E95),E95&gt;0,F95&gt;0),G95/E95,"")</x:f>
        <x:v>23.311318181818184</x:v>
      </x:c>
      <x:c r="J95" s="7" t="n">
        <x:f>IF(AND(ISNUMBER(E95),E95&gt;0,F95&gt;0),H95/E95,"")</x:f>
        <x:v>1.1202272727272726</x:v>
      </x:c>
      <x:c r="K95" s="1" t="str">
        <x:f>IF(F95=0,"无浓度数据",IF(E95="","缺周表阈值","可计算"))</x:f>
        <x:v>可计算</x:v>
      </x:c>
      <x:c r="L95" s="1" t="str">
        <x:f>IF(NOT(ISNUMBER(J95)),"待定",IF(J95&gt;50,"骨架成分",IF(J95&gt;=2,"重要成分","两档成分")))</x:f>
        <x:v>两档成分</x:v>
      </x:c>
      <x:c r="M95" s="1" t="n">
        <x:f>IF(NOT(ISNUMBER(J95)),"",IF(J95&gt;=2,3,2))</x:f>
        <x:v>2</x:v>
      </x:c>
      <x:c r="N95" s="1" t="str">
        <x:f>IF(NOT(ISNUMBER(J95)),"缺少可算OAV",IF(J95&gt;=2,"最大值、中位值、低值待校准","最大值、中位值"))</x:f>
        <x:v>最大值、中位值</x:v>
      </x:c>
      <x:c r="O95" s="1" t="str">
        <x:f>IF(NOT(ISNUMBER(J95)),"待定",IF(J95&lt;2,"不设第三档",IF(J95&lt;=5,"中位OAV≤5；低档须低于中位浓度","低档需预试确认与中档可区分")))</x:f>
        <x:v>不设第三档</x:v>
      </x:c>
    </x:row>
    <x:row r="96" ht="23" customHeight="1">
      <x:c r="A96" s="1" t="n">
        <x:f>'浓度与阈值来源'!A96</x:f>
        <x:v>91</x:v>
      </x:c>
      <x:c r="B96" s="1" t="str">
        <x:f>IF('浓度与阈值来源'!B96="","",'浓度与阈值来源'!B96)</x:f>
        <x:v>壬酸</x:v>
      </x:c>
      <x:c r="C96" s="1" t="str">
        <x:f>IF('浓度与阈值来源'!C96="","",'浓度与阈值来源'!C96)</x:f>
        <x:v>112-05-0</x:v>
      </x:c>
      <x:c r="D96" s="1" t="str">
        <x:v>Nonanoic acid</x:v>
      </x:c>
      <x:c r="E96" s="5" t="str">
        <x:f>IF('浓度与阈值来源'!D96&gt;0,'浓度与阈值来源'!D96,"")</x:f>
      </x:c>
      <x:c r="F96" s="6" t="n">
        <x:f>COUNT('浓度与阈值来源'!E96:DM96)</x:f>
        <x:v>39</x:v>
      </x:c>
      <x:c r="G96" s="5" t="n">
        <x:f>IF(F96=0,"",MAX('浓度与阈值来源'!E96:DM96))</x:f>
        <x:v>21191</x:v>
      </x:c>
      <x:c r="H96" s="5" t="n">
        <x:f>IF(F96=0,"",MEDIAN('浓度与阈值来源'!E96:DM96))</x:f>
        <x:v>1071.39</x:v>
      </x:c>
      <x:c r="I96" s="7" t="str">
        <x:f>IF(AND(ISNUMBER(E96),E96&gt;0,F96&gt;0),G96/E96,"")</x:f>
      </x:c>
      <x:c r="J96" s="7" t="str">
        <x:f>IF(AND(ISNUMBER(E96),E96&gt;0,F96&gt;0),H96/E96,"")</x:f>
      </x:c>
      <x:c r="K96" s="1" t="str">
        <x:f>IF(F96=0,"无浓度数据",IF(E96="","缺周表阈值","可计算"))</x:f>
        <x:v>缺周表阈值</x:v>
      </x:c>
      <x:c r="L96" s="1" t="str">
        <x:f>IF(NOT(ISNUMBER(J96)),"待定",IF(J96&gt;50,"骨架成分",IF(J96&gt;=2,"重要成分","两档成分")))</x:f>
        <x:v>待定</x:v>
      </x:c>
      <x:c r="M96" s="1" t="str">
        <x:f>IF(NOT(ISNUMBER(J96)),"",IF(J96&gt;=2,3,2))</x:f>
      </x:c>
      <x:c r="N96" s="1" t="str">
        <x:f>IF(NOT(ISNUMBER(J96)),"缺少可算OAV",IF(J96&gt;=2,"最大值、中位值、低值待校准","最大值、中位值"))</x:f>
        <x:v>缺少可算OAV</x:v>
      </x:c>
      <x:c r="O96" s="1" t="str">
        <x:f>IF(NOT(ISNUMBER(J96)),"待定",IF(J96&lt;2,"不设第三档",IF(J96&lt;=5,"中位OAV≤5；低档须低于中位浓度","低档需预试确认与中档可区分")))</x:f>
        <x:v>待定</x:v>
      </x:c>
    </x:row>
    <x:row r="97" ht="23" customHeight="1">
      <x:c r="A97" s="1" t="n">
        <x:f>'浓度与阈值来源'!A97</x:f>
        <x:v>92</x:v>
      </x:c>
      <x:c r="B97" s="1" t="str">
        <x:f>IF('浓度与阈值来源'!B97="","",'浓度与阈值来源'!B97)</x:f>
      </x:c>
      <x:c r="C97" s="1" t="str">
        <x:f>IF('浓度与阈值来源'!C97="","",'浓度与阈值来源'!C97)</x:f>
        <x:v>112-05-9</x:v>
      </x:c>
      <x:c r="D97" s="1"/>
      <x:c r="E97" s="5" t="str">
        <x:f>IF('浓度与阈值来源'!D97&gt;0,'浓度与阈值来源'!D97,"")</x:f>
      </x:c>
      <x:c r="F97" s="6" t="n">
        <x:f>COUNT('浓度与阈值来源'!E97:DM97)</x:f>
        <x:v>3</x:v>
      </x:c>
      <x:c r="G97" s="5" t="n">
        <x:f>IF(F97=0,"",MAX('浓度与阈值来源'!E97:DM97))</x:f>
        <x:v>27.26</x:v>
      </x:c>
      <x:c r="H97" s="5" t="n">
        <x:f>IF(F97=0,"",MEDIAN('浓度与阈值来源'!E97:DM97))</x:f>
        <x:v>20.39</x:v>
      </x:c>
      <x:c r="I97" s="7" t="str">
        <x:f>IF(AND(ISNUMBER(E97),E97&gt;0,F97&gt;0),G97/E97,"")</x:f>
      </x:c>
      <x:c r="J97" s="7" t="str">
        <x:f>IF(AND(ISNUMBER(E97),E97&gt;0,F97&gt;0),H97/E97,"")</x:f>
      </x:c>
      <x:c r="K97" s="1" t="str">
        <x:f>IF(F97=0,"无浓度数据",IF(E97="","缺周表阈值","可计算"))</x:f>
        <x:v>缺周表阈值</x:v>
      </x:c>
      <x:c r="L97" s="1" t="str">
        <x:f>IF(NOT(ISNUMBER(J97)),"待定",IF(J97&gt;50,"骨架成分",IF(J97&gt;=2,"重要成分","两档成分")))</x:f>
        <x:v>待定</x:v>
      </x:c>
      <x:c r="M97" s="1" t="str">
        <x:f>IF(NOT(ISNUMBER(J97)),"",IF(J97&gt;=2,3,2))</x:f>
      </x:c>
      <x:c r="N97" s="1" t="str">
        <x:f>IF(NOT(ISNUMBER(J97)),"缺少可算OAV",IF(J97&gt;=2,"最大值、中位值、低值待校准","最大值、中位值"))</x:f>
        <x:v>缺少可算OAV</x:v>
      </x:c>
      <x:c r="O97" s="1" t="str">
        <x:f>IF(NOT(ISNUMBER(J97)),"待定",IF(J97&lt;2,"不设第三档",IF(J97&lt;=5,"中位OAV≤5；低档须低于中位浓度","低档需预试确认与中档可区分")))</x:f>
        <x:v>待定</x:v>
      </x:c>
    </x:row>
    <x:row r="98" ht="23" customHeight="1">
      <x:c r="A98" s="1" t="n">
        <x:f>'浓度与阈值来源'!A98</x:f>
        <x:v>93</x:v>
      </x:c>
      <x:c r="B98" s="1" t="str">
        <x:f>IF('浓度与阈值来源'!B98="","",'浓度与阈值来源'!B98)</x:f>
        <x:v>乙酸庚酯</x:v>
      </x:c>
      <x:c r="C98" s="1" t="str">
        <x:f>IF('浓度与阈值来源'!C98="","",'浓度与阈值来源'!C98)</x:f>
        <x:v>112-06-1</x:v>
      </x:c>
      <x:c r="D98" s="1" t="str">
        <x:v>Heptyl acetate</x:v>
      </x:c>
      <x:c r="E98" s="5" t="str">
        <x:f>IF('浓度与阈值来源'!D98&gt;0,'浓度与阈值来源'!D98,"")</x:f>
      </x:c>
      <x:c r="F98" s="6" t="n">
        <x:f>COUNT('浓度与阈值来源'!E98:DM98)</x:f>
        <x:v>5</x:v>
      </x:c>
      <x:c r="G98" s="5" t="n">
        <x:f>IF(F98=0,"",MAX('浓度与阈值来源'!E98:DM98))</x:f>
        <x:v>333</x:v>
      </x:c>
      <x:c r="H98" s="5" t="n">
        <x:f>IF(F98=0,"",MEDIAN('浓度与阈值来源'!E98:DM98))</x:f>
        <x:v>116</x:v>
      </x:c>
      <x:c r="I98" s="7" t="str">
        <x:f>IF(AND(ISNUMBER(E98),E98&gt;0,F98&gt;0),G98/E98,"")</x:f>
      </x:c>
      <x:c r="J98" s="7" t="str">
        <x:f>IF(AND(ISNUMBER(E98),E98&gt;0,F98&gt;0),H98/E98,"")</x:f>
      </x:c>
      <x:c r="K98" s="1" t="str">
        <x:f>IF(F98=0,"无浓度数据",IF(E98="","缺周表阈值","可计算"))</x:f>
        <x:v>缺周表阈值</x:v>
      </x:c>
      <x:c r="L98" s="1" t="str">
        <x:f>IF(NOT(ISNUMBER(J98)),"待定",IF(J98&gt;50,"骨架成分",IF(J98&gt;=2,"重要成分","两档成分")))</x:f>
        <x:v>待定</x:v>
      </x:c>
      <x:c r="M98" s="1" t="str">
        <x:f>IF(NOT(ISNUMBER(J98)),"",IF(J98&gt;=2,3,2))</x:f>
      </x:c>
      <x:c r="N98" s="1" t="str">
        <x:f>IF(NOT(ISNUMBER(J98)),"缺少可算OAV",IF(J98&gt;=2,"最大值、中位值、低值待校准","最大值、中位值"))</x:f>
        <x:v>缺少可算OAV</x:v>
      </x:c>
      <x:c r="O98" s="1" t="str">
        <x:f>IF(NOT(ISNUMBER(J98)),"待定",IF(J98&lt;2,"不设第三档",IF(J98&lt;=5,"中位OAV≤5；低档须低于中位浓度","低档需预试确认与中档可区分")))</x:f>
        <x:v>待定</x:v>
      </x:c>
    </x:row>
    <x:row r="99" ht="23" customHeight="1">
      <x:c r="A99" s="1" t="n">
        <x:f>'浓度与阈值来源'!A99</x:f>
        <x:v>94</x:v>
      </x:c>
      <x:c r="B99" s="1" t="str">
        <x:f>IF('浓度与阈值来源'!B99="","",'浓度与阈值来源'!B99)</x:f>
        <x:v>2-十一酮</x:v>
      </x:c>
      <x:c r="C99" s="1" t="str">
        <x:f>IF('浓度与阈值来源'!C99="","",'浓度与阈值来源'!C99)</x:f>
        <x:v>112-12-9</x:v>
      </x:c>
      <x:c r="D99" s="1" t="str">
        <x:v>2-Undecanone</x:v>
      </x:c>
      <x:c r="E99" s="5" t="str">
        <x:f>IF('浓度与阈值来源'!D99&gt;0,'浓度与阈值来源'!D99,"")</x:f>
      </x:c>
      <x:c r="F99" s="6" t="n">
        <x:f>COUNT('浓度与阈值来源'!E99:DM99)</x:f>
        <x:v>20</x:v>
      </x:c>
      <x:c r="G99" s="5" t="n">
        <x:f>IF(F99=0,"",MAX('浓度与阈值来源'!E99:DM99))</x:f>
        <x:v>828</x:v>
      </x:c>
      <x:c r="H99" s="5" t="n">
        <x:f>IF(F99=0,"",MEDIAN('浓度与阈值来源'!E99:DM99))</x:f>
        <x:v>13.21</x:v>
      </x:c>
      <x:c r="I99" s="7" t="str">
        <x:f>IF(AND(ISNUMBER(E99),E99&gt;0,F99&gt;0),G99/E99,"")</x:f>
      </x:c>
      <x:c r="J99" s="7" t="str">
        <x:f>IF(AND(ISNUMBER(E99),E99&gt;0,F99&gt;0),H99/E99,"")</x:f>
      </x:c>
      <x:c r="K99" s="1" t="str">
        <x:f>IF(F99=0,"无浓度数据",IF(E99="","缺周表阈值","可计算"))</x:f>
        <x:v>缺周表阈值</x:v>
      </x:c>
      <x:c r="L99" s="1" t="str">
        <x:f>IF(NOT(ISNUMBER(J99)),"待定",IF(J99&gt;50,"骨架成分",IF(J99&gt;=2,"重要成分","两档成分")))</x:f>
        <x:v>待定</x:v>
      </x:c>
      <x:c r="M99" s="1" t="str">
        <x:f>IF(NOT(ISNUMBER(J99)),"",IF(J99&gt;=2,3,2))</x:f>
      </x:c>
      <x:c r="N99" s="1" t="str">
        <x:f>IF(NOT(ISNUMBER(J99)),"缺少可算OAV",IF(J99&gt;=2,"最大值、中位值、低值待校准","最大值、中位值"))</x:f>
        <x:v>缺少可算OAV</x:v>
      </x:c>
      <x:c r="O99" s="1" t="str">
        <x:f>IF(NOT(ISNUMBER(J99)),"待定",IF(J99&lt;2,"不设第三档",IF(J99&lt;=5,"中位OAV≤5；低档须低于中位浓度","低档需预试确认与中档可区分")))</x:f>
        <x:v>待定</x:v>
      </x:c>
    </x:row>
    <x:row r="100" ht="23" customHeight="1">
      <x:c r="A100" s="1" t="n">
        <x:f>'浓度与阈值来源'!A100</x:f>
        <x:v>95</x:v>
      </x:c>
      <x:c r="B100" s="1" t="str">
        <x:f>IF('浓度与阈值来源'!B100="","",'浓度与阈值来源'!B100)</x:f>
      </x:c>
      <x:c r="C100" s="1" t="str">
        <x:f>IF('浓度与阈值来源'!C100="","",'浓度与阈值来源'!C100)</x:f>
        <x:v>112-23-2</x:v>
      </x:c>
      <x:c r="D100" s="1"/>
      <x:c r="E100" s="5" t="str">
        <x:f>IF('浓度与阈值来源'!D100&gt;0,'浓度与阈值来源'!D100,"")</x:f>
      </x:c>
      <x:c r="F100" s="6" t="n">
        <x:f>COUNT('浓度与阈值来源'!E100:DM100)</x:f>
        <x:v>2</x:v>
      </x:c>
      <x:c r="G100" s="5" t="n">
        <x:f>IF(F100=0,"",MAX('浓度与阈值来源'!E100:DM100))</x:f>
        <x:v>2.55</x:v>
      </x:c>
      <x:c r="H100" s="5" t="n">
        <x:f>IF(F100=0,"",MEDIAN('浓度与阈值来源'!E100:DM100))</x:f>
        <x:v>2.355</x:v>
      </x:c>
      <x:c r="I100" s="7" t="str">
        <x:f>IF(AND(ISNUMBER(E100),E100&gt;0,F100&gt;0),G100/E100,"")</x:f>
      </x:c>
      <x:c r="J100" s="7" t="str">
        <x:f>IF(AND(ISNUMBER(E100),E100&gt;0,F100&gt;0),H100/E100,"")</x:f>
      </x:c>
      <x:c r="K100" s="1" t="str">
        <x:f>IF(F100=0,"无浓度数据",IF(E100="","缺周表阈值","可计算"))</x:f>
        <x:v>缺周表阈值</x:v>
      </x:c>
      <x:c r="L100" s="1" t="str">
        <x:f>IF(NOT(ISNUMBER(J100)),"待定",IF(J100&gt;50,"骨架成分",IF(J100&gt;=2,"重要成分","两档成分")))</x:f>
        <x:v>待定</x:v>
      </x:c>
      <x:c r="M100" s="1" t="str">
        <x:f>IF(NOT(ISNUMBER(J100)),"",IF(J100&gt;=2,3,2))</x:f>
      </x:c>
      <x:c r="N100" s="1" t="str">
        <x:f>IF(NOT(ISNUMBER(J100)),"缺少可算OAV",IF(J100&gt;=2,"最大值、中位值、低值待校准","最大值、中位值"))</x:f>
        <x:v>缺少可算OAV</x:v>
      </x:c>
      <x:c r="O100" s="1" t="str">
        <x:f>IF(NOT(ISNUMBER(J100)),"待定",IF(J100&lt;2,"不设第三档",IF(J100&lt;=5,"中位OAV≤5；低档须低于中位浓度","低档需预试确认与中档可区分")))</x:f>
        <x:v>待定</x:v>
      </x:c>
    </x:row>
    <x:row r="101" ht="23" customHeight="1">
      <x:c r="A101" s="1" t="n">
        <x:f>'浓度与阈值来源'!A101</x:f>
        <x:v>96</x:v>
      </x:c>
      <x:c r="B101" s="1" t="str">
        <x:f>IF('浓度与阈值来源'!B101="","",'浓度与阈值来源'!B101)</x:f>
        <x:v>1-癸醇</x:v>
      </x:c>
      <x:c r="C101" s="1" t="str">
        <x:f>IF('浓度与阈值来源'!C101="","",'浓度与阈值来源'!C101)</x:f>
        <x:v>112-30-1</x:v>
      </x:c>
      <x:c r="D101" s="1"/>
      <x:c r="E101" s="5" t="str">
        <x:f>IF('浓度与阈值来源'!D101&gt;0,'浓度与阈值来源'!D101,"")</x:f>
      </x:c>
      <x:c r="F101" s="6" t="n">
        <x:f>COUNT('浓度与阈值来源'!E101:DM101)</x:f>
        <x:v>13</x:v>
      </x:c>
      <x:c r="G101" s="5" t="n">
        <x:f>IF(F101=0,"",MAX('浓度与阈值来源'!E101:DM101))</x:f>
        <x:v>48.46</x:v>
      </x:c>
      <x:c r="H101" s="5" t="n">
        <x:f>IF(F101=0,"",MEDIAN('浓度与阈值来源'!E101:DM101))</x:f>
        <x:v>34.34</x:v>
      </x:c>
      <x:c r="I101" s="7" t="str">
        <x:f>IF(AND(ISNUMBER(E101),E101&gt;0,F101&gt;0),G101/E101,"")</x:f>
      </x:c>
      <x:c r="J101" s="7" t="str">
        <x:f>IF(AND(ISNUMBER(E101),E101&gt;0,F101&gt;0),H101/E101,"")</x:f>
      </x:c>
      <x:c r="K101" s="1" t="str">
        <x:f>IF(F101=0,"无浓度数据",IF(E101="","缺周表阈值","可计算"))</x:f>
        <x:v>缺周表阈值</x:v>
      </x:c>
      <x:c r="L101" s="1" t="str">
        <x:f>IF(NOT(ISNUMBER(J101)),"待定",IF(J101&gt;50,"骨架成分",IF(J101&gt;=2,"重要成分","两档成分")))</x:f>
        <x:v>待定</x:v>
      </x:c>
      <x:c r="M101" s="1" t="str">
        <x:f>IF(NOT(ISNUMBER(J101)),"",IF(J101&gt;=2,3,2))</x:f>
      </x:c>
      <x:c r="N101" s="1" t="str">
        <x:f>IF(NOT(ISNUMBER(J101)),"缺少可算OAV",IF(J101&gt;=2,"最大值、中位值、低值待校准","最大值、中位值"))</x:f>
        <x:v>缺少可算OAV</x:v>
      </x:c>
      <x:c r="O101" s="1" t="str">
        <x:f>IF(NOT(ISNUMBER(J101)),"待定",IF(J101&lt;2,"不设第三档",IF(J101&lt;=5,"中位OAV≤5；低档须低于中位浓度","低档需预试确认与中档可区分")))</x:f>
        <x:v>待定</x:v>
      </x:c>
    </x:row>
    <x:row r="102" ht="23" customHeight="1">
      <x:c r="A102" s="1" t="n">
        <x:f>'浓度与阈值来源'!A102</x:f>
        <x:v>97</x:v>
      </x:c>
      <x:c r="B102" s="1" t="str">
        <x:f>IF('浓度与阈值来源'!B102="","",'浓度与阈值来源'!B102)</x:f>
        <x:v>癸醛</x:v>
      </x:c>
      <x:c r="C102" s="1" t="str">
        <x:f>IF('浓度与阈值来源'!C102="","",'浓度与阈值来源'!C102)</x:f>
        <x:v>112-31-2</x:v>
      </x:c>
      <x:c r="D102" s="1"/>
      <x:c r="E102" s="5" t="str">
        <x:f>IF('浓度与阈值来源'!D102&gt;0,'浓度与阈值来源'!D102,"")</x:f>
      </x:c>
      <x:c r="F102" s="6" t="n">
        <x:f>COUNT('浓度与阈值来源'!E102:DM102)</x:f>
        <x:v>27</x:v>
      </x:c>
      <x:c r="G102" s="5" t="n">
        <x:f>IF(F102=0,"",MAX('浓度与阈值来源'!E102:DM102))</x:f>
        <x:v>2044.08</x:v>
      </x:c>
      <x:c r="H102" s="5" t="n">
        <x:f>IF(F102=0,"",MEDIAN('浓度与阈值来源'!E102:DM102))</x:f>
        <x:v>85.72</x:v>
      </x:c>
      <x:c r="I102" s="7" t="str">
        <x:f>IF(AND(ISNUMBER(E102),E102&gt;0,F102&gt;0),G102/E102,"")</x:f>
      </x:c>
      <x:c r="J102" s="7" t="str">
        <x:f>IF(AND(ISNUMBER(E102),E102&gt;0,F102&gt;0),H102/E102,"")</x:f>
      </x:c>
      <x:c r="K102" s="1" t="str">
        <x:f>IF(F102=0,"无浓度数据",IF(E102="","缺周表阈值","可计算"))</x:f>
        <x:v>缺周表阈值</x:v>
      </x:c>
      <x:c r="L102" s="1" t="str">
        <x:f>IF(NOT(ISNUMBER(J102)),"待定",IF(J102&gt;50,"骨架成分",IF(J102&gt;=2,"重要成分","两档成分")))</x:f>
        <x:v>待定</x:v>
      </x:c>
      <x:c r="M102" s="1" t="str">
        <x:f>IF(NOT(ISNUMBER(J102)),"",IF(J102&gt;=2,3,2))</x:f>
      </x:c>
      <x:c r="N102" s="1" t="str">
        <x:f>IF(NOT(ISNUMBER(J102)),"缺少可算OAV",IF(J102&gt;=2,"最大值、中位值、低值待校准","最大值、中位值"))</x:f>
        <x:v>缺少可算OAV</x:v>
      </x:c>
      <x:c r="O102" s="1" t="str">
        <x:f>IF(NOT(ISNUMBER(J102)),"待定",IF(J102&lt;2,"不设第三档",IF(J102&lt;=5,"中位OAV≤5；低档须低于中位浓度","低档需预试确认与中档可区分")))</x:f>
        <x:v>待定</x:v>
      </x:c>
    </x:row>
    <x:row r="103" ht="23" customHeight="1">
      <x:c r="A103" s="1" t="n">
        <x:f>'浓度与阈值来源'!A103</x:f>
        <x:v>98</x:v>
      </x:c>
      <x:c r="B103" s="1" t="str">
        <x:f>IF('浓度与阈值来源'!B103="","",'浓度与阈值来源'!B103)</x:f>
      </x:c>
      <x:c r="C103" s="1" t="str">
        <x:f>IF('浓度与阈值来源'!C103="","",'浓度与阈值来源'!C103)</x:f>
        <x:v>112-32-3</x:v>
      </x:c>
      <x:c r="D103" s="1"/>
      <x:c r="E103" s="5" t="str">
        <x:f>IF('浓度与阈值来源'!D103&gt;0,'浓度与阈值来源'!D103,"")</x:f>
      </x:c>
      <x:c r="F103" s="6" t="n">
        <x:f>COUNT('浓度与阈值来源'!E103:DM103)</x:f>
        <x:v>3</x:v>
      </x:c>
      <x:c r="G103" s="5" t="n">
        <x:f>IF(F103=0,"",MAX('浓度与阈值来源'!E103:DM103))</x:f>
        <x:v>6.08</x:v>
      </x:c>
      <x:c r="H103" s="5" t="n">
        <x:f>IF(F103=0,"",MEDIAN('浓度与阈值来源'!E103:DM103))</x:f>
        <x:v>2.12</x:v>
      </x:c>
      <x:c r="I103" s="7" t="str">
        <x:f>IF(AND(ISNUMBER(E103),E103&gt;0,F103&gt;0),G103/E103,"")</x:f>
      </x:c>
      <x:c r="J103" s="7" t="str">
        <x:f>IF(AND(ISNUMBER(E103),E103&gt;0,F103&gt;0),H103/E103,"")</x:f>
      </x:c>
      <x:c r="K103" s="1" t="str">
        <x:f>IF(F103=0,"无浓度数据",IF(E103="","缺周表阈值","可计算"))</x:f>
        <x:v>缺周表阈值</x:v>
      </x:c>
      <x:c r="L103" s="1" t="str">
        <x:f>IF(NOT(ISNUMBER(J103)),"待定",IF(J103&gt;50,"骨架成分",IF(J103&gt;=2,"重要成分","两档成分")))</x:f>
        <x:v>待定</x:v>
      </x:c>
      <x:c r="M103" s="1" t="str">
        <x:f>IF(NOT(ISNUMBER(J103)),"",IF(J103&gt;=2,3,2))</x:f>
      </x:c>
      <x:c r="N103" s="1" t="str">
        <x:f>IF(NOT(ISNUMBER(J103)),"缺少可算OAV",IF(J103&gt;=2,"最大值、中位值、低值待校准","最大值、中位值"))</x:f>
        <x:v>缺少可算OAV</x:v>
      </x:c>
      <x:c r="O103" s="1" t="str">
        <x:f>IF(NOT(ISNUMBER(J103)),"待定",IF(J103&lt;2,"不设第三档",IF(J103&lt;=5,"中位OAV≤5；低档须低于中位浓度","低档需预试确认与中档可区分")))</x:f>
        <x:v>待定</x:v>
      </x:c>
    </x:row>
    <x:row r="104" ht="23" customHeight="1">
      <x:c r="A104" s="1" t="n">
        <x:f>'浓度与阈值来源'!A104</x:f>
        <x:v>99</x:v>
      </x:c>
      <x:c r="B104" s="1" t="str">
        <x:f>IF('浓度与阈值来源'!B104="","",'浓度与阈值来源'!B104)</x:f>
      </x:c>
      <x:c r="C104" s="1" t="str">
        <x:f>IF('浓度与阈值来源'!C104="","",'浓度与阈值来源'!C104)</x:f>
        <x:v>112-37-8</x:v>
      </x:c>
      <x:c r="D104" s="1"/>
      <x:c r="E104" s="5" t="str">
        <x:f>IF('浓度与阈值来源'!D104&gt;0,'浓度与阈值来源'!D104,"")</x:f>
      </x:c>
      <x:c r="F104" s="6" t="n">
        <x:f>COUNT('浓度与阈值来源'!E104:DM104)</x:f>
        <x:v>1</x:v>
      </x:c>
      <x:c r="G104" s="5" t="n">
        <x:f>IF(F104=0,"",MAX('浓度与阈值来源'!E104:DM104))</x:f>
        <x:v>0.82</x:v>
      </x:c>
      <x:c r="H104" s="5" t="n">
        <x:f>IF(F104=0,"",MEDIAN('浓度与阈值来源'!E104:DM104))</x:f>
        <x:v>0.82</x:v>
      </x:c>
      <x:c r="I104" s="7" t="str">
        <x:f>IF(AND(ISNUMBER(E104),E104&gt;0,F104&gt;0),G104/E104,"")</x:f>
      </x:c>
      <x:c r="J104" s="7" t="str">
        <x:f>IF(AND(ISNUMBER(E104),E104&gt;0,F104&gt;0),H104/E104,"")</x:f>
      </x:c>
      <x:c r="K104" s="1" t="str">
        <x:f>IF(F104=0,"无浓度数据",IF(E104="","缺周表阈值","可计算"))</x:f>
        <x:v>缺周表阈值</x:v>
      </x:c>
      <x:c r="L104" s="1" t="str">
        <x:f>IF(NOT(ISNUMBER(J104)),"待定",IF(J104&gt;50,"骨架成分",IF(J104&gt;=2,"重要成分","两档成分")))</x:f>
        <x:v>待定</x:v>
      </x:c>
      <x:c r="M104" s="1" t="str">
        <x:f>IF(NOT(ISNUMBER(J104)),"",IF(J104&gt;=2,3,2))</x:f>
      </x:c>
      <x:c r="N104" s="1" t="str">
        <x:f>IF(NOT(ISNUMBER(J104)),"缺少可算OAV",IF(J104&gt;=2,"最大值、中位值、低值待校准","最大值、中位值"))</x:f>
        <x:v>缺少可算OAV</x:v>
      </x:c>
      <x:c r="O104" s="1" t="str">
        <x:f>IF(NOT(ISNUMBER(J104)),"待定",IF(J104&lt;2,"不设第三档",IF(J104&lt;=5,"中位OAV≤5；低档须低于中位浓度","低档需预试确认与中档可区分")))</x:f>
        <x:v>待定</x:v>
      </x:c>
    </x:row>
    <x:row r="105" ht="23" customHeight="1">
      <x:c r="A105" s="1" t="n">
        <x:f>'浓度与阈值来源'!A105</x:f>
        <x:v>100</x:v>
      </x:c>
      <x:c r="B105" s="1" t="str">
        <x:f>IF('浓度与阈值来源'!B105="","",'浓度与阈值来源'!B105)</x:f>
      </x:c>
      <x:c r="C105" s="1" t="str">
        <x:f>IF('浓度与阈值来源'!C105="","",'浓度与阈值来源'!C105)</x:f>
        <x:v>112-39-0</x:v>
      </x:c>
      <x:c r="D105" s="1" t="str">
        <x:v>Methyl palmitate</x:v>
      </x:c>
      <x:c r="E105" s="5" t="str">
        <x:f>IF('浓度与阈值来源'!D105&gt;0,'浓度与阈值来源'!D105,"")</x:f>
      </x:c>
      <x:c r="F105" s="6" t="n">
        <x:f>COUNT('浓度与阈值来源'!E105:DM105)</x:f>
        <x:v>6</x:v>
      </x:c>
      <x:c r="G105" s="5" t="n">
        <x:f>IF(F105=0,"",MAX('浓度与阈值来源'!E105:DM105))</x:f>
        <x:v>315</x:v>
      </x:c>
      <x:c r="H105" s="5" t="n">
        <x:f>IF(F105=0,"",MEDIAN('浓度与阈值来源'!E105:DM105))</x:f>
        <x:v>258</x:v>
      </x:c>
      <x:c r="I105" s="7" t="str">
        <x:f>IF(AND(ISNUMBER(E105),E105&gt;0,F105&gt;0),G105/E105,"")</x:f>
      </x:c>
      <x:c r="J105" s="7" t="str">
        <x:f>IF(AND(ISNUMBER(E105),E105&gt;0,F105&gt;0),H105/E105,"")</x:f>
      </x:c>
      <x:c r="K105" s="1" t="str">
        <x:f>IF(F105=0,"无浓度数据",IF(E105="","缺周表阈值","可计算"))</x:f>
        <x:v>缺周表阈值</x:v>
      </x:c>
      <x:c r="L105" s="1" t="str">
        <x:f>IF(NOT(ISNUMBER(J105)),"待定",IF(J105&gt;50,"骨架成分",IF(J105&gt;=2,"重要成分","两档成分")))</x:f>
        <x:v>待定</x:v>
      </x:c>
      <x:c r="M105" s="1" t="str">
        <x:f>IF(NOT(ISNUMBER(J105)),"",IF(J105&gt;=2,3,2))</x:f>
      </x:c>
      <x:c r="N105" s="1" t="str">
        <x:f>IF(NOT(ISNUMBER(J105)),"缺少可算OAV",IF(J105&gt;=2,"最大值、中位值、低值待校准","最大值、中位值"))</x:f>
        <x:v>缺少可算OAV</x:v>
      </x:c>
      <x:c r="O105" s="1" t="str">
        <x:f>IF(NOT(ISNUMBER(J105)),"待定",IF(J105&lt;2,"不设第三档",IF(J105&lt;=5,"中位OAV≤5；低档须低于中位浓度","低档需预试确认与中档可区分")))</x:f>
        <x:v>待定</x:v>
      </x:c>
    </x:row>
    <x:row r="106" ht="23" customHeight="1">
      <x:c r="A106" s="1" t="n">
        <x:f>'浓度与阈值来源'!A106</x:f>
        <x:v>101</x:v>
      </x:c>
      <x:c r="B106" s="1" t="str">
        <x:f>IF('浓度与阈值来源'!B106="","",'浓度与阈值来源'!B106)</x:f>
      </x:c>
      <x:c r="C106" s="1" t="str">
        <x:f>IF('浓度与阈值来源'!C106="","",'浓度与阈值来源'!C106)</x:f>
        <x:v>112-54-8</x:v>
      </x:c>
      <x:c r="D106" s="1"/>
      <x:c r="E106" s="5" t="str">
        <x:f>IF('浓度与阈值来源'!D106&gt;0,'浓度与阈值来源'!D106,"")</x:f>
      </x:c>
      <x:c r="F106" s="6" t="n">
        <x:f>COUNT('浓度与阈值来源'!E106:DM106)</x:f>
        <x:v>1</x:v>
      </x:c>
      <x:c r="G106" s="5" t="n">
        <x:f>IF(F106=0,"",MAX('浓度与阈值来源'!E106:DM106))</x:f>
        <x:v>0.22</x:v>
      </x:c>
      <x:c r="H106" s="5" t="n">
        <x:f>IF(F106=0,"",MEDIAN('浓度与阈值来源'!E106:DM106))</x:f>
        <x:v>0.22</x:v>
      </x:c>
      <x:c r="I106" s="7" t="str">
        <x:f>IF(AND(ISNUMBER(E106),E106&gt;0,F106&gt;0),G106/E106,"")</x:f>
      </x:c>
      <x:c r="J106" s="7" t="str">
        <x:f>IF(AND(ISNUMBER(E106),E106&gt;0,F106&gt;0),H106/E106,"")</x:f>
      </x:c>
      <x:c r="K106" s="1" t="str">
        <x:f>IF(F106=0,"无浓度数据",IF(E106="","缺周表阈值","可计算"))</x:f>
        <x:v>缺周表阈值</x:v>
      </x:c>
      <x:c r="L106" s="1" t="str">
        <x:f>IF(NOT(ISNUMBER(J106)),"待定",IF(J106&gt;50,"骨架成分",IF(J106&gt;=2,"重要成分","两档成分")))</x:f>
        <x:v>待定</x:v>
      </x:c>
      <x:c r="M106" s="1" t="str">
        <x:f>IF(NOT(ISNUMBER(J106)),"",IF(J106&gt;=2,3,2))</x:f>
      </x:c>
      <x:c r="N106" s="1" t="str">
        <x:f>IF(NOT(ISNUMBER(J106)),"缺少可算OAV",IF(J106&gt;=2,"最大值、中位值、低值待校准","最大值、中位值"))</x:f>
        <x:v>缺少可算OAV</x:v>
      </x:c>
      <x:c r="O106" s="1" t="str">
        <x:f>IF(NOT(ISNUMBER(J106)),"待定",IF(J106&lt;2,"不设第三档",IF(J106&lt;=5,"中位OAV≤5；低档须低于中位浓度","低档需预试确认与中档可区分")))</x:f>
        <x:v>待定</x:v>
      </x:c>
    </x:row>
    <x:row r="107" ht="23" customHeight="1">
      <x:c r="A107" s="1" t="n">
        <x:f>'浓度与阈值来源'!A107</x:f>
        <x:v>102</x:v>
      </x:c>
      <x:c r="B107" s="1" t="str">
        <x:f>IF('浓度与阈值来源'!B107="","",'浓度与阈值来源'!B107)</x:f>
      </x:c>
      <x:c r="C107" s="1" t="str">
        <x:f>IF('浓度与阈值来源'!C107="","",'浓度与阈值来源'!C107)</x:f>
        <x:v>112-54-9</x:v>
      </x:c>
      <x:c r="D107" s="1"/>
      <x:c r="E107" s="5" t="str">
        <x:f>IF('浓度与阈值来源'!D107&gt;0,'浓度与阈值来源'!D107,"")</x:f>
      </x:c>
      <x:c r="F107" s="6" t="n">
        <x:f>COUNT('浓度与阈值来源'!E107:DM107)</x:f>
        <x:v>1</x:v>
      </x:c>
      <x:c r="G107" s="5" t="n">
        <x:f>IF(F107=0,"",MAX('浓度与阈值来源'!E107:DM107))</x:f>
        <x:v>0.25</x:v>
      </x:c>
      <x:c r="H107" s="5" t="n">
        <x:f>IF(F107=0,"",MEDIAN('浓度与阈值来源'!E107:DM107))</x:f>
        <x:v>0.25</x:v>
      </x:c>
      <x:c r="I107" s="7" t="str">
        <x:f>IF(AND(ISNUMBER(E107),E107&gt;0,F107&gt;0),G107/E107,"")</x:f>
      </x:c>
      <x:c r="J107" s="7" t="str">
        <x:f>IF(AND(ISNUMBER(E107),E107&gt;0,F107&gt;0),H107/E107,"")</x:f>
      </x:c>
      <x:c r="K107" s="1" t="str">
        <x:f>IF(F107=0,"无浓度数据",IF(E107="","缺周表阈值","可计算"))</x:f>
        <x:v>缺周表阈值</x:v>
      </x:c>
      <x:c r="L107" s="1" t="str">
        <x:f>IF(NOT(ISNUMBER(J107)),"待定",IF(J107&gt;50,"骨架成分",IF(J107&gt;=2,"重要成分","两档成分")))</x:f>
        <x:v>待定</x:v>
      </x:c>
      <x:c r="M107" s="1" t="str">
        <x:f>IF(NOT(ISNUMBER(J107)),"",IF(J107&gt;=2,3,2))</x:f>
      </x:c>
      <x:c r="N107" s="1" t="str">
        <x:f>IF(NOT(ISNUMBER(J107)),"缺少可算OAV",IF(J107&gt;=2,"最大值、中位值、低值待校准","最大值、中位值"))</x:f>
        <x:v>缺少可算OAV</x:v>
      </x:c>
      <x:c r="O107" s="1" t="str">
        <x:f>IF(NOT(ISNUMBER(J107)),"待定",IF(J107&lt;2,"不设第三档",IF(J107&lt;=5,"中位OAV≤5；低档须低于中位浓度","低档需预试确认与中档可区分")))</x:f>
        <x:v>待定</x:v>
      </x:c>
    </x:row>
    <x:row r="108" ht="23" customHeight="1">
      <x:c r="A108" s="1" t="n">
        <x:f>'浓度与阈值来源'!A108</x:f>
        <x:v>103</x:v>
      </x:c>
      <x:c r="B108" s="1" t="str">
        <x:f>IF('浓度与阈值来源'!B108="","",'浓度与阈值来源'!B108)</x:f>
        <x:v>苯甲酸异丁酯</x:v>
      </x:c>
      <x:c r="C108" s="1" t="str">
        <x:f>IF('浓度与阈值来源'!C108="","",'浓度与阈值来源'!C108)</x:f>
        <x:v>120-50-3</x:v>
      </x:c>
      <x:c r="D108" s="1"/>
      <x:c r="E108" s="5" t="str">
        <x:f>IF('浓度与阈值来源'!D108&gt;0,'浓度与阈值来源'!D108,"")</x:f>
      </x:c>
      <x:c r="F108" s="6" t="n">
        <x:f>COUNT('浓度与阈值来源'!E108:DM108)</x:f>
        <x:v>2</x:v>
      </x:c>
      <x:c r="G108" s="5" t="n">
        <x:f>IF(F108=0,"",MAX('浓度与阈值来源'!E108:DM108))</x:f>
        <x:v>69</x:v>
      </x:c>
      <x:c r="H108" s="5" t="n">
        <x:f>IF(F108=0,"",MEDIAN('浓度与阈值来源'!E108:DM108))</x:f>
        <x:v>53</x:v>
      </x:c>
      <x:c r="I108" s="7" t="str">
        <x:f>IF(AND(ISNUMBER(E108),E108&gt;0,F108&gt;0),G108/E108,"")</x:f>
      </x:c>
      <x:c r="J108" s="7" t="str">
        <x:f>IF(AND(ISNUMBER(E108),E108&gt;0,F108&gt;0),H108/E108,"")</x:f>
      </x:c>
      <x:c r="K108" s="1" t="str">
        <x:f>IF(F108=0,"无浓度数据",IF(E108="","缺周表阈值","可计算"))</x:f>
        <x:v>缺周表阈值</x:v>
      </x:c>
      <x:c r="L108" s="1" t="str">
        <x:f>IF(NOT(ISNUMBER(J108)),"待定",IF(J108&gt;50,"骨架成分",IF(J108&gt;=2,"重要成分","两档成分")))</x:f>
        <x:v>待定</x:v>
      </x:c>
      <x:c r="M108" s="1" t="str">
        <x:f>IF(NOT(ISNUMBER(J108)),"",IF(J108&gt;=2,3,2))</x:f>
      </x:c>
      <x:c r="N108" s="1" t="str">
        <x:f>IF(NOT(ISNUMBER(J108)),"缺少可算OAV",IF(J108&gt;=2,"最大值、中位值、低值待校准","最大值、中位值"))</x:f>
        <x:v>缺少可算OAV</x:v>
      </x:c>
      <x:c r="O108" s="1" t="str">
        <x:f>IF(NOT(ISNUMBER(J108)),"待定",IF(J108&lt;2,"不设第三档",IF(J108&lt;=5,"中位OAV≤5；低档须低于中位浓度","低档需预试确认与中档可区分")))</x:f>
        <x:v>待定</x:v>
      </x:c>
    </x:row>
    <x:row r="109" ht="23" customHeight="1">
      <x:c r="A109" s="1" t="n">
        <x:f>'浓度与阈值来源'!A109</x:f>
        <x:v>104</x:v>
      </x:c>
      <x:c r="B109" s="1" t="str">
        <x:f>IF('浓度与阈值来源'!B109="","",'浓度与阈值来源'!B109)</x:f>
      </x:c>
      <x:c r="C109" s="1" t="str">
        <x:f>IF('浓度与阈值来源'!C109="","",'浓度与阈值来源'!C109)</x:f>
        <x:v>121-33-5</x:v>
      </x:c>
      <x:c r="D109" s="1" t="str">
        <x:v>vanillin</x:v>
      </x:c>
      <x:c r="E109" s="5" t="n">
        <x:f>IF('浓度与阈值来源'!D109&gt;0,'浓度与阈值来源'!D109,"")</x:f>
        <x:v>439</x:v>
      </x:c>
      <x:c r="F109" s="6" t="n">
        <x:f>COUNT('浓度与阈值来源'!E109:DM109)</x:f>
        <x:v>3</x:v>
      </x:c>
      <x:c r="G109" s="5" t="n">
        <x:f>IF(F109=0,"",MAX('浓度与阈值来源'!E109:DM109))</x:f>
        <x:v>58</x:v>
      </x:c>
      <x:c r="H109" s="5" t="n">
        <x:f>IF(F109=0,"",MEDIAN('浓度与阈值来源'!E109:DM109))</x:f>
        <x:v>11</x:v>
      </x:c>
      <x:c r="I109" s="7" t="n">
        <x:f>IF(AND(ISNUMBER(E109),E109&gt;0,F109&gt;0),G109/E109,"")</x:f>
        <x:v>0.13211845102505695</x:v>
      </x:c>
      <x:c r="J109" s="7" t="n">
        <x:f>IF(AND(ISNUMBER(E109),E109&gt;0,F109&gt;0),H109/E109,"")</x:f>
        <x:v>0.025056947608200455</x:v>
      </x:c>
      <x:c r="K109" s="1" t="str">
        <x:f>IF(F109=0,"无浓度数据",IF(E109="","缺周表阈值","可计算"))</x:f>
        <x:v>可计算</x:v>
      </x:c>
      <x:c r="L109" s="1" t="str">
        <x:f>IF(NOT(ISNUMBER(J109)),"待定",IF(J109&gt;50,"骨架成分",IF(J109&gt;=2,"重要成分","两档成分")))</x:f>
        <x:v>两档成分</x:v>
      </x:c>
      <x:c r="M109" s="1" t="n">
        <x:f>IF(NOT(ISNUMBER(J109)),"",IF(J109&gt;=2,3,2))</x:f>
        <x:v>2</x:v>
      </x:c>
      <x:c r="N109" s="1" t="str">
        <x:f>IF(NOT(ISNUMBER(J109)),"缺少可算OAV",IF(J109&gt;=2,"最大值、中位值、低值待校准","最大值、中位值"))</x:f>
        <x:v>最大值、中位值</x:v>
      </x:c>
      <x:c r="O109" s="1" t="str">
        <x:f>IF(NOT(ISNUMBER(J109)),"待定",IF(J109&lt;2,"不设第三档",IF(J109&lt;=5,"中位OAV≤5；低档须低于中位浓度","低档需预试确认与中档可区分")))</x:f>
        <x:v>不设第三档</x:v>
      </x:c>
    </x:row>
    <x:row r="110" ht="23" customHeight="1">
      <x:c r="A110" s="1" t="n">
        <x:f>'浓度与阈值来源'!A110</x:f>
        <x:v>105</x:v>
      </x:c>
      <x:c r="B110" s="1" t="str">
        <x:f>IF('浓度与阈值来源'!B110="","",'浓度与阈值来源'!B110)</x:f>
        <x:v>苯乙醛</x:v>
      </x:c>
      <x:c r="C110" s="1" t="str">
        <x:f>IF('浓度与阈值来源'!C110="","",'浓度与阈值来源'!C110)</x:f>
        <x:v>122-78-1</x:v>
      </x:c>
      <x:c r="D110" s="1" t="str">
        <x:v>Phenylacetaldehyde</x:v>
      </x:c>
      <x:c r="E110" s="5" t="n">
        <x:f>IF('浓度与阈值来源'!D110&gt;0,'浓度与阈值来源'!D110,"")</x:f>
        <x:v>262</x:v>
      </x:c>
      <x:c r="F110" s="6" t="n">
        <x:f>COUNT('浓度与阈值来源'!E110:DM110)</x:f>
        <x:v>44</x:v>
      </x:c>
      <x:c r="G110" s="5" t="n">
        <x:f>IF(F110=0,"",MAX('浓度与阈值来源'!E110:DM110))</x:f>
        <x:v>15730</x:v>
      </x:c>
      <x:c r="H110" s="5" t="n">
        <x:f>IF(F110=0,"",MEDIAN('浓度与阈值来源'!E110:DM110))</x:f>
        <x:v>556.325</x:v>
      </x:c>
      <x:c r="I110" s="7" t="n">
        <x:f>IF(AND(ISNUMBER(E110),E110&gt;0,F110&gt;0),G110/E110,"")</x:f>
        <x:v>60.038167938931295</x:v>
      </x:c>
      <x:c r="J110" s="7" t="n">
        <x:f>IF(AND(ISNUMBER(E110),E110&gt;0,F110&gt;0),H110/E110,"")</x:f>
        <x:v>2.12337786259542</x:v>
      </x:c>
      <x:c r="K110" s="1" t="str">
        <x:f>IF(F110=0,"无浓度数据",IF(E110="","缺周表阈值","可计算"))</x:f>
        <x:v>可计算</x:v>
      </x:c>
      <x:c r="L110" s="1" t="str">
        <x:f>IF(NOT(ISNUMBER(J110)),"待定",IF(J110&gt;50,"骨架成分",IF(J110&gt;=2,"重要成分","两档成分")))</x:f>
        <x:v>重要成分</x:v>
      </x:c>
      <x:c r="M110" s="1" t="n">
        <x:f>IF(NOT(ISNUMBER(J110)),"",IF(J110&gt;=2,3,2))</x:f>
        <x:v>3</x:v>
      </x:c>
      <x:c r="N110" s="1" t="str">
        <x:f>IF(NOT(ISNUMBER(J110)),"缺少可算OAV",IF(J110&gt;=2,"最大值、中位值、低值待校准","最大值、中位值"))</x:f>
        <x:v>最大值、中位值、低值待校准</x:v>
      </x:c>
      <x:c r="O110" s="1" t="str">
        <x:f>IF(NOT(ISNUMBER(J110)),"待定",IF(J110&lt;2,"不设第三档",IF(J110&lt;=5,"中位OAV≤5；低档须低于中位浓度","低档需预试确认与中档可区分")))</x:f>
        <x:v>中位OAV≤5；低档须低于中位浓度</x:v>
      </x:c>
    </x:row>
    <x:row r="111" ht="23" customHeight="1">
      <x:c r="A111" s="1" t="n">
        <x:f>'浓度与阈值来源'!A111</x:f>
        <x:v>106</x:v>
      </x:c>
      <x:c r="B111" s="1" t="str">
        <x:f>IF('浓度与阈值来源'!B111="","",'浓度与阈值来源'!B111)</x:f>
        <x:v>4-乙基苯酚</x:v>
      </x:c>
      <x:c r="C111" s="1" t="str">
        <x:f>IF('浓度与阈值来源'!C111="","",'浓度与阈值来源'!C111)</x:f>
        <x:v>123-07-9</x:v>
      </x:c>
      <x:c r="D111" s="1" t="str">
        <x:v>4-ethylphenol</x:v>
      </x:c>
      <x:c r="E111" s="5" t="n">
        <x:f>IF('浓度与阈值来源'!D111&gt;0,'浓度与阈值来源'!D111,"")</x:f>
        <x:v>123</x:v>
      </x:c>
      <x:c r="F111" s="6" t="n">
        <x:f>COUNT('浓度与阈值来源'!E111:DM111)</x:f>
        <x:v>51</x:v>
      </x:c>
      <x:c r="G111" s="5" t="n">
        <x:f>IF(F111=0,"",MAX('浓度与阈值来源'!E111:DM111))</x:f>
        <x:v>2501.24</x:v>
      </x:c>
      <x:c r="H111" s="5" t="n">
        <x:f>IF(F111=0,"",MEDIAN('浓度与阈值来源'!E111:DM111))</x:f>
        <x:v>73.175</x:v>
      </x:c>
      <x:c r="I111" s="7" t="n">
        <x:f>IF(AND(ISNUMBER(E111),E111&gt;0,F111&gt;0),G111/E111,"")</x:f>
        <x:v>20.335284552845525</x:v>
      </x:c>
      <x:c r="J111" s="7" t="n">
        <x:f>IF(AND(ISNUMBER(E111),E111&gt;0,F111&gt;0),H111/E111,"")</x:f>
        <x:v>0.5949186991869918</x:v>
      </x:c>
      <x:c r="K111" s="1" t="str">
        <x:f>IF(F111=0,"无浓度数据",IF(E111="","缺周表阈值","可计算"))</x:f>
        <x:v>可计算</x:v>
      </x:c>
      <x:c r="L111" s="1" t="str">
        <x:f>IF(NOT(ISNUMBER(J111)),"待定",IF(J111&gt;50,"骨架成分",IF(J111&gt;=2,"重要成分","两档成分")))</x:f>
        <x:v>两档成分</x:v>
      </x:c>
      <x:c r="M111" s="1" t="n">
        <x:f>IF(NOT(ISNUMBER(J111)),"",IF(J111&gt;=2,3,2))</x:f>
        <x:v>2</x:v>
      </x:c>
      <x:c r="N111" s="1" t="str">
        <x:f>IF(NOT(ISNUMBER(J111)),"缺少可算OAV",IF(J111&gt;=2,"最大值、中位值、低值待校准","最大值、中位值"))</x:f>
        <x:v>最大值、中位值</x:v>
      </x:c>
      <x:c r="O111" s="1" t="str">
        <x:f>IF(NOT(ISNUMBER(J111)),"待定",IF(J111&lt;2,"不设第三档",IF(J111&lt;=5,"中位OAV≤5；低档须低于中位浓度","低档需预试确认与中档可区分")))</x:f>
        <x:v>不设第三档</x:v>
      </x:c>
    </x:row>
    <x:row r="112" ht="23" customHeight="1">
      <x:c r="A112" s="1" t="n">
        <x:f>'浓度与阈值来源'!A112</x:f>
        <x:v>107</x:v>
      </x:c>
      <x:c r="B112" s="1" t="str">
        <x:f>IF('浓度与阈值来源'!B112="","",'浓度与阈值来源'!B112)</x:f>
        <x:v>丁二酸二乙酯</x:v>
      </x:c>
      <x:c r="C112" s="1" t="str">
        <x:f>IF('浓度与阈值来源'!C112="","",'浓度与阈值来源'!C112)</x:f>
        <x:v>123-25-1</x:v>
      </x:c>
      <x:c r="D112" s="1" t="str">
        <x:v>Diethyl butanedioate</x:v>
      </x:c>
      <x:c r="E112" s="5" t="n">
        <x:f>IF('浓度与阈值来源'!D112&gt;0,'浓度与阈值来源'!D112,"")</x:f>
        <x:v>353193</x:v>
      </x:c>
      <x:c r="F112" s="6" t="n">
        <x:f>COUNT('浓度与阈值来源'!E112:DM112)</x:f>
        <x:v>69</x:v>
      </x:c>
      <x:c r="G112" s="5" t="n">
        <x:f>IF(F112=0,"",MAX('浓度与阈值来源'!E112:DM112))</x:f>
        <x:v>9184.21</x:v>
      </x:c>
      <x:c r="H112" s="5" t="n">
        <x:f>IF(F112=0,"",MEDIAN('浓度与阈值来源'!E112:DM112))</x:f>
        <x:v>361.7</x:v>
      </x:c>
      <x:c r="I112" s="7" t="n">
        <x:f>IF(AND(ISNUMBER(E112),E112&gt;0,F112&gt;0),G112/E112,"")</x:f>
        <x:v>0.02600337492532411</x:v>
      </x:c>
      <x:c r="J112" s="7" t="n">
        <x:f>IF(AND(ISNUMBER(E112),E112&gt;0,F112&gt;0),H112/E112,"")</x:f>
        <x:v>0.0010240859813189956</x:v>
      </x:c>
      <x:c r="K112" s="1" t="str">
        <x:f>IF(F112=0,"无浓度数据",IF(E112="","缺周表阈值","可计算"))</x:f>
        <x:v>可计算</x:v>
      </x:c>
      <x:c r="L112" s="1" t="str">
        <x:f>IF(NOT(ISNUMBER(J112)),"待定",IF(J112&gt;50,"骨架成分",IF(J112&gt;=2,"重要成分","两档成分")))</x:f>
        <x:v>两档成分</x:v>
      </x:c>
      <x:c r="M112" s="1" t="n">
        <x:f>IF(NOT(ISNUMBER(J112)),"",IF(J112&gt;=2,3,2))</x:f>
        <x:v>2</x:v>
      </x:c>
      <x:c r="N112" s="1" t="str">
        <x:f>IF(NOT(ISNUMBER(J112)),"缺少可算OAV",IF(J112&gt;=2,"最大值、中位值、低值待校准","最大值、中位值"))</x:f>
        <x:v>最大值、中位值</x:v>
      </x:c>
      <x:c r="O112" s="1" t="str">
        <x:f>IF(NOT(ISNUMBER(J112)),"待定",IF(J112&lt;2,"不设第三档",IF(J112&lt;=5,"中位OAV≤5；低档须低于中位浓度","低档需预试确认与中档可区分")))</x:f>
        <x:v>不设第三档</x:v>
      </x:c>
    </x:row>
    <x:row r="113" ht="23" customHeight="1">
      <x:c r="A113" s="1" t="n">
        <x:f>'浓度与阈值来源'!A113</x:f>
        <x:v>108</x:v>
      </x:c>
      <x:c r="B113" s="1" t="str">
        <x:f>IF('浓度与阈值来源'!B113="","",'浓度与阈值来源'!B113)</x:f>
        <x:v>壬酸乙酯</x:v>
      </x:c>
      <x:c r="C113" s="1" t="str">
        <x:f>IF('浓度与阈值来源'!C113="","",'浓度与阈值来源'!C113)</x:f>
        <x:v>123-29-5</x:v>
      </x:c>
      <x:c r="D113" s="1" t="str">
        <x:v>Ethyl nonanoate</x:v>
      </x:c>
      <x:c r="E113" s="5" t="str">
        <x:f>IF('浓度与阈值来源'!D113&gt;0,'浓度与阈值来源'!D113,"")</x:f>
      </x:c>
      <x:c r="F113" s="6" t="n">
        <x:f>COUNT('浓度与阈值来源'!E113:DM113)</x:f>
        <x:v>83</x:v>
      </x:c>
      <x:c r="G113" s="5" t="n">
        <x:f>IF(F113=0,"",MAX('浓度与阈值来源'!E113:DM113))</x:f>
        <x:v>35211.96</x:v>
      </x:c>
      <x:c r="H113" s="5" t="n">
        <x:f>IF(F113=0,"",MEDIAN('浓度与阈值来源'!E113:DM113))</x:f>
        <x:v>1540</x:v>
      </x:c>
      <x:c r="I113" s="7" t="str">
        <x:f>IF(AND(ISNUMBER(E113),E113&gt;0,F113&gt;0),G113/E113,"")</x:f>
      </x:c>
      <x:c r="J113" s="7" t="str">
        <x:f>IF(AND(ISNUMBER(E113),E113&gt;0,F113&gt;0),H113/E113,"")</x:f>
      </x:c>
      <x:c r="K113" s="1" t="str">
        <x:f>IF(F113=0,"无浓度数据",IF(E113="","缺周表阈值","可计算"))</x:f>
        <x:v>缺周表阈值</x:v>
      </x:c>
      <x:c r="L113" s="1" t="str">
        <x:f>IF(NOT(ISNUMBER(J113)),"待定",IF(J113&gt;50,"骨架成分",IF(J113&gt;=2,"重要成分","两档成分")))</x:f>
        <x:v>待定</x:v>
      </x:c>
      <x:c r="M113" s="1" t="str">
        <x:f>IF(NOT(ISNUMBER(J113)),"",IF(J113&gt;=2,3,2))</x:f>
      </x:c>
      <x:c r="N113" s="1" t="str">
        <x:f>IF(NOT(ISNUMBER(J113)),"缺少可算OAV",IF(J113&gt;=2,"最大值、中位值、低值待校准","最大值、中位值"))</x:f>
        <x:v>缺少可算OAV</x:v>
      </x:c>
      <x:c r="O113" s="1" t="str">
        <x:f>IF(NOT(ISNUMBER(J113)),"待定",IF(J113&lt;2,"不设第三档",IF(J113&lt;=5,"中位OAV≤5；低档须低于中位浓度","低档需预试确认与中档可区分")))</x:f>
        <x:v>待定</x:v>
      </x:c>
    </x:row>
    <x:row r="114" ht="23" customHeight="1">
      <x:c r="A114" s="1" t="n">
        <x:f>'浓度与阈值来源'!A114</x:f>
        <x:v>109</x:v>
      </x:c>
      <x:c r="B114" s="1" t="str">
        <x:f>IF('浓度与阈值来源'!B114="","",'浓度与阈值来源'!B114)</x:f>
        <x:v>丙醛</x:v>
      </x:c>
      <x:c r="C114" s="1" t="str">
        <x:f>IF('浓度与阈值来源'!C114="","",'浓度与阈值来源'!C114)</x:f>
        <x:v>123-38-6</x:v>
      </x:c>
      <x:c r="D114" s="1"/>
      <x:c r="E114" s="5" t="str">
        <x:f>IF('浓度与阈值来源'!D114&gt;0,'浓度与阈值来源'!D114,"")</x:f>
      </x:c>
      <x:c r="F114" s="6" t="n">
        <x:f>COUNT('浓度与阈值来源'!E114:DM114)</x:f>
        <x:v>3</x:v>
      </x:c>
      <x:c r="G114" s="5" t="n">
        <x:f>IF(F114=0,"",MAX('浓度与阈值来源'!E114:DM114))</x:f>
        <x:v>2100</x:v>
      </x:c>
      <x:c r="H114" s="5" t="n">
        <x:f>IF(F114=0,"",MEDIAN('浓度与阈值来源'!E114:DM114))</x:f>
        <x:v>1140</x:v>
      </x:c>
      <x:c r="I114" s="7" t="str">
        <x:f>IF(AND(ISNUMBER(E114),E114&gt;0,F114&gt;0),G114/E114,"")</x:f>
      </x:c>
      <x:c r="J114" s="7" t="str">
        <x:f>IF(AND(ISNUMBER(E114),E114&gt;0,F114&gt;0),H114/E114,"")</x:f>
      </x:c>
      <x:c r="K114" s="1" t="str">
        <x:f>IF(F114=0,"无浓度数据",IF(E114="","缺周表阈值","可计算"))</x:f>
        <x:v>缺周表阈值</x:v>
      </x:c>
      <x:c r="L114" s="1" t="str">
        <x:f>IF(NOT(ISNUMBER(J114)),"待定",IF(J114&gt;50,"骨架成分",IF(J114&gt;=2,"重要成分","两档成分")))</x:f>
        <x:v>待定</x:v>
      </x:c>
      <x:c r="M114" s="1" t="str">
        <x:f>IF(NOT(ISNUMBER(J114)),"",IF(J114&gt;=2,3,2))</x:f>
      </x:c>
      <x:c r="N114" s="1" t="str">
        <x:f>IF(NOT(ISNUMBER(J114)),"缺少可算OAV",IF(J114&gt;=2,"最大值、中位值、低值待校准","最大值、中位值"))</x:f>
        <x:v>缺少可算OAV</x:v>
      </x:c>
      <x:c r="O114" s="1" t="str">
        <x:f>IF(NOT(ISNUMBER(J114)),"待定",IF(J114&lt;2,"不设第三档",IF(J114&lt;=5,"中位OAV≤5；低档须低于中位浓度","低档需预试确认与中档可区分")))</x:f>
        <x:v>待定</x:v>
      </x:c>
    </x:row>
    <x:row r="115" ht="23" customHeight="1">
      <x:c r="A115" s="1" t="n">
        <x:f>'浓度与阈值来源'!A115</x:f>
        <x:v>110</x:v>
      </x:c>
      <x:c r="B115" s="1" t="str">
        <x:f>IF('浓度与阈值来源'!B115="","",'浓度与阈值来源'!B115)</x:f>
        <x:v>3-甲基-1-丁醇（异戊醇）</x:v>
      </x:c>
      <x:c r="C115" s="1" t="str">
        <x:f>IF('浓度与阈值来源'!C115="","",'浓度与阈值来源'!C115)</x:f>
        <x:v>123-51-3</x:v>
      </x:c>
      <x:c r="D115" s="1" t="str">
        <x:v>3-Methyl-1-butanol</x:v>
      </x:c>
      <x:c r="E115" s="5" t="n">
        <x:f>IF('浓度与阈值来源'!D115&gt;0,'浓度与阈值来源'!D115,"")</x:f>
        <x:v>179191</x:v>
      </x:c>
      <x:c r="F115" s="6" t="n">
        <x:f>COUNT('浓度与阈值来源'!E115:DM115)</x:f>
        <x:v>94</x:v>
      </x:c>
      <x:c r="G115" s="5" t="n">
        <x:f>IF(F115=0,"",MAX('浓度与阈值来源'!E115:DM115))</x:f>
        <x:v>1132450</x:v>
      </x:c>
      <x:c r="H115" s="5" t="n">
        <x:f>IF(F115=0,"",MEDIAN('浓度与阈值来源'!E115:DM115))</x:f>
        <x:v>23666.83335</x:v>
      </x:c>
      <x:c r="I115" s="7" t="n">
        <x:f>IF(AND(ISNUMBER(E115),E115&gt;0,F115&gt;0),G115/E115,"")</x:f>
        <x:v>6.319792846738954</x:v>
      </x:c>
      <x:c r="J115" s="7" t="n">
        <x:f>IF(AND(ISNUMBER(E115),E115&gt;0,F115&gt;0),H115/E115,"")</x:f>
        <x:v>0.13207601581552644</x:v>
      </x:c>
      <x:c r="K115" s="1" t="str">
        <x:f>IF(F115=0,"无浓度数据",IF(E115="","缺周表阈值","可计算"))</x:f>
        <x:v>可计算</x:v>
      </x:c>
      <x:c r="L115" s="1" t="str">
        <x:f>IF(NOT(ISNUMBER(J115)),"待定",IF(J115&gt;50,"骨架成分",IF(J115&gt;=2,"重要成分","两档成分")))</x:f>
        <x:v>两档成分</x:v>
      </x:c>
      <x:c r="M115" s="1" t="n">
        <x:f>IF(NOT(ISNUMBER(J115)),"",IF(J115&gt;=2,3,2))</x:f>
        <x:v>2</x:v>
      </x:c>
      <x:c r="N115" s="1" t="str">
        <x:f>IF(NOT(ISNUMBER(J115)),"缺少可算OAV",IF(J115&gt;=2,"最大值、中位值、低值待校准","最大值、中位值"))</x:f>
        <x:v>最大值、中位值</x:v>
      </x:c>
      <x:c r="O115" s="1" t="str">
        <x:f>IF(NOT(ISNUMBER(J115)),"待定",IF(J115&lt;2,"不设第三档",IF(J115&lt;=5,"中位OAV≤5；低档须低于中位浓度","低档需预试确认与中档可区分")))</x:f>
        <x:v>不设第三档</x:v>
      </x:c>
    </x:row>
    <x:row r="116" ht="23" customHeight="1">
      <x:c r="A116" s="1" t="n">
        <x:f>'浓度与阈值来源'!A116</x:f>
        <x:v>111</x:v>
      </x:c>
      <x:c r="B116" s="1" t="str">
        <x:f>IF('浓度与阈值来源'!B116="","",'浓度与阈值来源'!B116)</x:f>
        <x:v>己酸乙酯</x:v>
      </x:c>
      <x:c r="C116" s="1" t="str">
        <x:f>IF('浓度与阈值来源'!C116="","",'浓度与阈值来源'!C116)</x:f>
        <x:v>123-66-0</x:v>
      </x:c>
      <x:c r="D116" s="1" t="str">
        <x:v>Ethyl Hexanoate</x:v>
      </x:c>
      <x:c r="E116" s="5" t="n">
        <x:f>IF('浓度与阈值来源'!D116&gt;0,'浓度与阈值来源'!D116,"")</x:f>
        <x:v>55.3</x:v>
      </x:c>
      <x:c r="F116" s="6" t="n">
        <x:f>COUNT('浓度与阈值来源'!E116:DM116)</x:f>
        <x:v>99</x:v>
      </x:c>
      <x:c r="G116" s="5" t="n">
        <x:f>IF(F116=0,"",MAX('浓度与阈值来源'!E116:DM116))</x:f>
        <x:v>9622120</x:v>
      </x:c>
      <x:c r="H116" s="5" t="n">
        <x:f>IF(F116=0,"",MEDIAN('浓度与阈值来源'!E116:DM116))</x:f>
        <x:v>215340</x:v>
      </x:c>
      <x:c r="I116" s="7" t="n">
        <x:f>IF(AND(ISNUMBER(E116),E116&gt;0,F116&gt;0),G116/E116,"")</x:f>
        <x:v>173998.5533453888</x:v>
      </x:c>
      <x:c r="J116" s="7" t="n">
        <x:f>IF(AND(ISNUMBER(E116),E116&gt;0,F116&gt;0),H116/E116,"")</x:f>
        <x:v>3894.0325497287527</x:v>
      </x:c>
      <x:c r="K116" s="1" t="str">
        <x:f>IF(F116=0,"无浓度数据",IF(E116="","缺周表阈值","可计算"))</x:f>
        <x:v>可计算</x:v>
      </x:c>
      <x:c r="L116" s="1" t="str">
        <x:f>IF(NOT(ISNUMBER(J116)),"待定",IF(J116&gt;50,"骨架成分",IF(J116&gt;=2,"重要成分","两档成分")))</x:f>
        <x:v>骨架成分</x:v>
      </x:c>
      <x:c r="M116" s="1" t="n">
        <x:f>IF(NOT(ISNUMBER(J116)),"",IF(J116&gt;=2,3,2))</x:f>
        <x:v>3</x:v>
      </x:c>
      <x:c r="N116" s="1" t="str">
        <x:f>IF(NOT(ISNUMBER(J116)),"缺少可算OAV",IF(J116&gt;=2,"最大值、中位值、低值待校准","最大值、中位值"))</x:f>
        <x:v>最大值、中位值、低值待校准</x:v>
      </x:c>
      <x:c r="O116" s="1" t="str">
        <x:f>IF(NOT(ISNUMBER(J116)),"待定",IF(J116&lt;2,"不设第三档",IF(J116&lt;=5,"中位OAV≤5；低档须低于中位浓度","低档需预试确认与中档可区分")))</x:f>
        <x:v>低档需预试确认与中档可区分</x:v>
      </x:c>
    </x:row>
    <x:row r="117" ht="23" customHeight="1">
      <x:c r="A117" s="1" t="n">
        <x:f>'浓度与阈值来源'!A117</x:f>
        <x:v>112</x:v>
      </x:c>
      <x:c r="B117" s="1" t="str">
        <x:f>IF('浓度与阈值来源'!B117="","",'浓度与阈值来源'!B117)</x:f>
        <x:v>己酸烯丙酯</x:v>
      </x:c>
      <x:c r="C117" s="1" t="str">
        <x:f>IF('浓度与阈值来源'!C117="","",'浓度与阈值来源'!C117)</x:f>
        <x:v>123-68-2</x:v>
      </x:c>
      <x:c r="D117" s="1"/>
      <x:c r="E117" s="5" t="str">
        <x:f>IF('浓度与阈值来源'!D117&gt;0,'浓度与阈值来源'!D117,"")</x:f>
      </x:c>
      <x:c r="F117" s="6" t="n">
        <x:f>COUNT('浓度与阈值来源'!E117:DM117)</x:f>
        <x:v>1</x:v>
      </x:c>
      <x:c r="G117" s="5" t="n">
        <x:f>IF(F117=0,"",MAX('浓度与阈值来源'!E117:DM117))</x:f>
        <x:v>77</x:v>
      </x:c>
      <x:c r="H117" s="5" t="n">
        <x:f>IF(F117=0,"",MEDIAN('浓度与阈值来源'!E117:DM117))</x:f>
        <x:v>77</x:v>
      </x:c>
      <x:c r="I117" s="7" t="str">
        <x:f>IF(AND(ISNUMBER(E117),E117&gt;0,F117&gt;0),G117/E117,"")</x:f>
      </x:c>
      <x:c r="J117" s="7" t="str">
        <x:f>IF(AND(ISNUMBER(E117),E117&gt;0,F117&gt;0),H117/E117,"")</x:f>
      </x:c>
      <x:c r="K117" s="1" t="str">
        <x:f>IF(F117=0,"无浓度数据",IF(E117="","缺周表阈值","可计算"))</x:f>
        <x:v>缺周表阈值</x:v>
      </x:c>
      <x:c r="L117" s="1" t="str">
        <x:f>IF(NOT(ISNUMBER(J117)),"待定",IF(J117&gt;50,"骨架成分",IF(J117&gt;=2,"重要成分","两档成分")))</x:f>
        <x:v>待定</x:v>
      </x:c>
      <x:c r="M117" s="1" t="str">
        <x:f>IF(NOT(ISNUMBER(J117)),"",IF(J117&gt;=2,3,2))</x:f>
      </x:c>
      <x:c r="N117" s="1" t="str">
        <x:f>IF(NOT(ISNUMBER(J117)),"缺少可算OAV",IF(J117&gt;=2,"最大值、中位值、低值待校准","最大值、中位值"))</x:f>
        <x:v>缺少可算OAV</x:v>
      </x:c>
      <x:c r="O117" s="1" t="str">
        <x:f>IF(NOT(ISNUMBER(J117)),"待定",IF(J117&lt;2,"不设第三档",IF(J117&lt;=5,"中位OAV≤5；低档须低于中位浓度","低档需预试确认与中档可区分")))</x:f>
        <x:v>待定</x:v>
      </x:c>
    </x:row>
    <x:row r="118" ht="23" customHeight="1">
      <x:c r="A118" s="1" t="n">
        <x:f>'浓度与阈值来源'!A118</x:f>
        <x:v>113</x:v>
      </x:c>
      <x:c r="B118" s="1" t="str">
        <x:f>IF('浓度与阈值来源'!B118="","",'浓度与阈值来源'!B118)</x:f>
        <x:v>丁醛</x:v>
      </x:c>
      <x:c r="C118" s="1" t="str">
        <x:f>IF('浓度与阈值来源'!C118="","",'浓度与阈值来源'!C118)</x:f>
        <x:v>123-72-8</x:v>
      </x:c>
      <x:c r="D118" s="1" t="str">
        <x:v>Butyraldehyde</x:v>
      </x:c>
      <x:c r="E118" s="5" t="str">
        <x:f>IF('浓度与阈值来源'!D118&gt;0,'浓度与阈值来源'!D118,"")</x:f>
      </x:c>
      <x:c r="F118" s="6" t="n">
        <x:f>COUNT('浓度与阈值来源'!E118:DM118)</x:f>
        <x:v>4</x:v>
      </x:c>
      <x:c r="G118" s="5" t="n">
        <x:f>IF(F118=0,"",MAX('浓度与阈值来源'!E118:DM118))</x:f>
        <x:v>363</x:v>
      </x:c>
      <x:c r="H118" s="5" t="n">
        <x:f>IF(F118=0,"",MEDIAN('浓度与阈值来源'!E118:DM118))</x:f>
        <x:v>240.5</x:v>
      </x:c>
      <x:c r="I118" s="7" t="str">
        <x:f>IF(AND(ISNUMBER(E118),E118&gt;0,F118&gt;0),G118/E118,"")</x:f>
      </x:c>
      <x:c r="J118" s="7" t="str">
        <x:f>IF(AND(ISNUMBER(E118),E118&gt;0,F118&gt;0),H118/E118,"")</x:f>
      </x:c>
      <x:c r="K118" s="1" t="str">
        <x:f>IF(F118=0,"无浓度数据",IF(E118="","缺周表阈值","可计算"))</x:f>
        <x:v>缺周表阈值</x:v>
      </x:c>
      <x:c r="L118" s="1" t="str">
        <x:f>IF(NOT(ISNUMBER(J118)),"待定",IF(J118&gt;50,"骨架成分",IF(J118&gt;=2,"重要成分","两档成分")))</x:f>
        <x:v>待定</x:v>
      </x:c>
      <x:c r="M118" s="1" t="str">
        <x:f>IF(NOT(ISNUMBER(J118)),"",IF(J118&gt;=2,3,2))</x:f>
      </x:c>
      <x:c r="N118" s="1" t="str">
        <x:f>IF(NOT(ISNUMBER(J118)),"缺少可算OAV",IF(J118&gt;=2,"最大值、中位值、低值待校准","最大值、中位值"))</x:f>
        <x:v>缺少可算OAV</x:v>
      </x:c>
      <x:c r="O118" s="1" t="str">
        <x:f>IF(NOT(ISNUMBER(J118)),"待定",IF(J118&lt;2,"不设第三档",IF(J118&lt;=5,"中位OAV≤5；低档须低于中位浓度","低档需预试确认与中档可区分")))</x:f>
        <x:v>待定</x:v>
      </x:c>
    </x:row>
    <x:row r="119" ht="23" customHeight="1">
      <x:c r="A119" s="1" t="n">
        <x:f>'浓度与阈值来源'!A119</x:f>
        <x:v>114</x:v>
      </x:c>
      <x:c r="B119" s="1" t="str">
        <x:f>IF('浓度与阈值来源'!B119="","",'浓度与阈值来源'!B119)</x:f>
        <x:v>乙酸丁酯</x:v>
      </x:c>
      <x:c r="C119" s="1" t="str">
        <x:f>IF('浓度与阈值来源'!C119="","",'浓度与阈值来源'!C119)</x:f>
        <x:v>123-86-4</x:v>
      </x:c>
      <x:c r="D119" s="1" t="str">
        <x:v>Butyl acetate</x:v>
      </x:c>
      <x:c r="E119" s="5" t="n">
        <x:f>IF('浓度与阈值来源'!D119&gt;0,'浓度与阈值来源'!D119,"")</x:f>
        <x:v>1800</x:v>
      </x:c>
      <x:c r="F119" s="6" t="n">
        <x:f>COUNT('浓度与阈值来源'!E119:DM119)</x:f>
        <x:v>30</x:v>
      </x:c>
      <x:c r="G119" s="5" t="n">
        <x:f>IF(F119=0,"",MAX('浓度与阈值来源'!E119:DM119))</x:f>
        <x:v>47100</x:v>
      </x:c>
      <x:c r="H119" s="5" t="n">
        <x:f>IF(F119=0,"",MEDIAN('浓度与阈值来源'!E119:DM119))</x:f>
        <x:v>3147.945</x:v>
      </x:c>
      <x:c r="I119" s="7" t="n">
        <x:f>IF(AND(ISNUMBER(E119),E119&gt;0,F119&gt;0),G119/E119,"")</x:f>
        <x:v>26.166666666666668</x:v>
      </x:c>
      <x:c r="J119" s="7" t="n">
        <x:f>IF(AND(ISNUMBER(E119),E119&gt;0,F119&gt;0),H119/E119,"")</x:f>
        <x:v>1.7488583333333334</x:v>
      </x:c>
      <x:c r="K119" s="1" t="str">
        <x:f>IF(F119=0,"无浓度数据",IF(E119="","缺周表阈值","可计算"))</x:f>
        <x:v>可计算</x:v>
      </x:c>
      <x:c r="L119" s="1" t="str">
        <x:f>IF(NOT(ISNUMBER(J119)),"待定",IF(J119&gt;50,"骨架成分",IF(J119&gt;=2,"重要成分","两档成分")))</x:f>
        <x:v>两档成分</x:v>
      </x:c>
      <x:c r="M119" s="1" t="n">
        <x:f>IF(NOT(ISNUMBER(J119)),"",IF(J119&gt;=2,3,2))</x:f>
        <x:v>2</x:v>
      </x:c>
      <x:c r="N119" s="1" t="str">
        <x:f>IF(NOT(ISNUMBER(J119)),"缺少可算OAV",IF(J119&gt;=2,"最大值、中位值、低值待校准","最大值、中位值"))</x:f>
        <x:v>最大值、中位值</x:v>
      </x:c>
      <x:c r="O119" s="1" t="str">
        <x:f>IF(NOT(ISNUMBER(J119)),"待定",IF(J119&lt;2,"不设第三档",IF(J119&lt;=5,"中位OAV≤5；低档须低于中位浓度","低档需预试确认与中档可区分")))</x:f>
        <x:v>不设第三档</x:v>
      </x:c>
    </x:row>
    <x:row r="120" ht="23" customHeight="1">
      <x:c r="A120" s="1" t="n">
        <x:f>'浓度与阈值来源'!A120</x:f>
        <x:v>115</x:v>
      </x:c>
      <x:c r="B120" s="1" t="str">
        <x:f>IF('浓度与阈值来源'!B120="","",'浓度与阈值来源'!B120)</x:f>
        <x:v>乙酸异戊酯</x:v>
      </x:c>
      <x:c r="C120" s="1" t="str">
        <x:f>IF('浓度与阈值来源'!C120="","",'浓度与阈值来源'!C120)</x:f>
        <x:v>123-92-2</x:v>
      </x:c>
      <x:c r="D120" s="1" t="str">
        <x:v>Isoamyl acetate</x:v>
      </x:c>
      <x:c r="E120" s="5" t="n">
        <x:f>IF('浓度与阈值来源'!D120&gt;0,'浓度与阈值来源'!D120,"")</x:f>
        <x:v>93.9</x:v>
      </x:c>
      <x:c r="F120" s="6" t="n">
        <x:f>COUNT('浓度与阈值来源'!E120:DM120)</x:f>
        <x:v>48</x:v>
      </x:c>
      <x:c r="G120" s="5" t="n">
        <x:f>IF(F120=0,"",MAX('浓度与阈值来源'!E120:DM120))</x:f>
        <x:v>6516</x:v>
      </x:c>
      <x:c r="H120" s="5" t="n">
        <x:f>IF(F120=0,"",MEDIAN('浓度与阈值来源'!E120:DM120))</x:f>
        <x:v>443.16499999999996</x:v>
      </x:c>
      <x:c r="I120" s="7" t="n">
        <x:f>IF(AND(ISNUMBER(E120),E120&gt;0,F120&gt;0),G120/E120,"")</x:f>
        <x:v>69.39297124600638</x:v>
      </x:c>
      <x:c r="J120" s="7" t="n">
        <x:f>IF(AND(ISNUMBER(E120),E120&gt;0,F120&gt;0),H120/E120,"")</x:f>
        <x:v>4.719542066027689</x:v>
      </x:c>
      <x:c r="K120" s="1" t="str">
        <x:f>IF(F120=0,"无浓度数据",IF(E120="","缺周表阈值","可计算"))</x:f>
        <x:v>可计算</x:v>
      </x:c>
      <x:c r="L120" s="1" t="str">
        <x:f>IF(NOT(ISNUMBER(J120)),"待定",IF(J120&gt;50,"骨架成分",IF(J120&gt;=2,"重要成分","两档成分")))</x:f>
        <x:v>重要成分</x:v>
      </x:c>
      <x:c r="M120" s="1" t="n">
        <x:f>IF(NOT(ISNUMBER(J120)),"",IF(J120&gt;=2,3,2))</x:f>
        <x:v>3</x:v>
      </x:c>
      <x:c r="N120" s="1" t="str">
        <x:f>IF(NOT(ISNUMBER(J120)),"缺少可算OAV",IF(J120&gt;=2,"最大值、中位值、低值待校准","最大值、中位值"))</x:f>
        <x:v>最大值、中位值、低值待校准</x:v>
      </x:c>
      <x:c r="O120" s="1" t="str">
        <x:f>IF(NOT(ISNUMBER(J120)),"待定",IF(J120&lt;2,"不设第三档",IF(J120&lt;=5,"中位OAV≤5；低档须低于中位浓度","低档需预试确认与中档可区分")))</x:f>
        <x:v>中位OAV≤5；低档须低于中位浓度</x:v>
      </x:c>
    </x:row>
    <x:row r="121" ht="23" customHeight="1">
      <x:c r="A121" s="1" t="n">
        <x:f>'浓度与阈值来源'!A121</x:f>
        <x:v>116</x:v>
      </x:c>
      <x:c r="B121" s="1" t="str">
        <x:f>IF('浓度与阈值来源'!B121="","",'浓度与阈值来源'!B121)</x:f>
        <x:v>十四酸乙酯</x:v>
      </x:c>
      <x:c r="C121" s="1" t="str">
        <x:f>IF('浓度与阈值来源'!C121="","",'浓度与阈值来源'!C121)</x:f>
        <x:v>124-06-1</x:v>
      </x:c>
      <x:c r="D121" s="1" t="str">
        <x:v>ethyl tetradecanoate</x:v>
      </x:c>
      <x:c r="E121" s="5" t="n">
        <x:f>IF('浓度与阈值来源'!D121&gt;0,'浓度与阈值来源'!D121,"")</x:f>
        <x:v>33551</x:v>
      </x:c>
      <x:c r="F121" s="6" t="n">
        <x:f>COUNT('浓度与阈值来源'!E121:DM121)</x:f>
        <x:v>39</x:v>
      </x:c>
      <x:c r="G121" s="5" t="n">
        <x:f>IF(F121=0,"",MAX('浓度与阈值来源'!E121:DM121))</x:f>
        <x:v>27390</x:v>
      </x:c>
      <x:c r="H121" s="5" t="n">
        <x:f>IF(F121=0,"",MEDIAN('浓度与阈值来源'!E121:DM121))</x:f>
        <x:v>811.93</x:v>
      </x:c>
      <x:c r="I121" s="7" t="n">
        <x:f>IF(AND(ISNUMBER(E121),E121&gt;0,F121&gt;0),G121/E121,"")</x:f>
        <x:v>0.8163691097135704</x:v>
      </x:c>
      <x:c r="J121" s="7" t="n">
        <x:f>IF(AND(ISNUMBER(E121),E121&gt;0,F121&gt;0),H121/E121,"")</x:f>
        <x:v>0.024199874817442103</x:v>
      </x:c>
      <x:c r="K121" s="1" t="str">
        <x:f>IF(F121=0,"无浓度数据",IF(E121="","缺周表阈值","可计算"))</x:f>
        <x:v>可计算</x:v>
      </x:c>
      <x:c r="L121" s="1" t="str">
        <x:f>IF(NOT(ISNUMBER(J121)),"待定",IF(J121&gt;50,"骨架成分",IF(J121&gt;=2,"重要成分","两档成分")))</x:f>
        <x:v>两档成分</x:v>
      </x:c>
      <x:c r="M121" s="1" t="n">
        <x:f>IF(NOT(ISNUMBER(J121)),"",IF(J121&gt;=2,3,2))</x:f>
        <x:v>2</x:v>
      </x:c>
      <x:c r="N121" s="1" t="str">
        <x:f>IF(NOT(ISNUMBER(J121)),"缺少可算OAV",IF(J121&gt;=2,"最大值、中位值、低值待校准","最大值、中位值"))</x:f>
        <x:v>最大值、中位值</x:v>
      </x:c>
      <x:c r="O121" s="1" t="str">
        <x:f>IF(NOT(ISNUMBER(J121)),"待定",IF(J121&lt;2,"不设第三档",IF(J121&lt;=5,"中位OAV≤5；低档须低于中位浓度","低档需预试确认与中档可区分")))</x:f>
        <x:v>不设第三档</x:v>
      </x:c>
    </x:row>
    <x:row r="122" ht="23" customHeight="1">
      <x:c r="A122" s="1" t="n">
        <x:f>'浓度与阈值来源'!A122</x:f>
        <x:v>117</x:v>
      </x:c>
      <x:c r="B122" s="1" t="str">
        <x:f>IF('浓度与阈值来源'!B122="","",'浓度与阈值来源'!B122)</x:f>
        <x:v>辛酸</x:v>
      </x:c>
      <x:c r="C122" s="1" t="str">
        <x:f>IF('浓度与阈值来源'!C122="","",'浓度与阈值来源'!C122)</x:f>
        <x:v>124-07-2</x:v>
      </x:c>
      <x:c r="D122" s="1" t="str">
        <x:v>Octanoic acid</x:v>
      </x:c>
      <x:c r="E122" s="5" t="n">
        <x:f>IF('浓度与阈值来源'!D122&gt;0,'浓度与阈值来源'!D122,"")</x:f>
        <x:v>2700</x:v>
      </x:c>
      <x:c r="F122" s="6" t="n">
        <x:f>COUNT('浓度与阈值来源'!E122:DM122)</x:f>
        <x:v>79</x:v>
      </x:c>
      <x:c r="G122" s="5" t="n">
        <x:f>IF(F122=0,"",MAX('浓度与阈值来源'!E122:DM122))</x:f>
        <x:v>40201.1</x:v>
      </x:c>
      <x:c r="H122" s="5" t="n">
        <x:f>IF(F122=0,"",MEDIAN('浓度与阈值来源'!E122:DM122))</x:f>
        <x:v>7200</x:v>
      </x:c>
      <x:c r="I122" s="7" t="n">
        <x:f>IF(AND(ISNUMBER(E122),E122&gt;0,F122&gt;0),G122/E122,"")</x:f>
        <x:v>14.889296296296296</x:v>
      </x:c>
      <x:c r="J122" s="7" t="n">
        <x:f>IF(AND(ISNUMBER(E122),E122&gt;0,F122&gt;0),H122/E122,"")</x:f>
        <x:v>2.6666666666666665</x:v>
      </x:c>
      <x:c r="K122" s="1" t="str">
        <x:f>IF(F122=0,"无浓度数据",IF(E122="","缺周表阈值","可计算"))</x:f>
        <x:v>可计算</x:v>
      </x:c>
      <x:c r="L122" s="1" t="str">
        <x:f>IF(NOT(ISNUMBER(J122)),"待定",IF(J122&gt;50,"骨架成分",IF(J122&gt;=2,"重要成分","两档成分")))</x:f>
        <x:v>重要成分</x:v>
      </x:c>
      <x:c r="M122" s="1" t="n">
        <x:f>IF(NOT(ISNUMBER(J122)),"",IF(J122&gt;=2,3,2))</x:f>
        <x:v>3</x:v>
      </x:c>
      <x:c r="N122" s="1" t="str">
        <x:f>IF(NOT(ISNUMBER(J122)),"缺少可算OAV",IF(J122&gt;=2,"最大值、中位值、低值待校准","最大值、中位值"))</x:f>
        <x:v>最大值、中位值、低值待校准</x:v>
      </x:c>
      <x:c r="O122" s="1" t="str">
        <x:f>IF(NOT(ISNUMBER(J122)),"待定",IF(J122&lt;2,"不设第三档",IF(J122&lt;=5,"中位OAV≤5；低档须低于中位浓度","低档需预试确认与中档可区分")))</x:f>
        <x:v>中位OAV≤5；低档须低于中位浓度</x:v>
      </x:c>
    </x:row>
    <x:row r="123" ht="23" customHeight="1">
      <x:c r="A123" s="1" t="n">
        <x:f>'浓度与阈值来源'!A123</x:f>
        <x:v>118</x:v>
      </x:c>
      <x:c r="B123" s="1" t="str">
        <x:f>IF('浓度与阈值来源'!B123="","",'浓度与阈值来源'!B123)</x:f>
        <x:v>辛醛</x:v>
      </x:c>
      <x:c r="C123" s="1" t="str">
        <x:f>IF('浓度与阈值来源'!C123="","",'浓度与阈值来源'!C123)</x:f>
        <x:v>124-13-0</x:v>
      </x:c>
      <x:c r="D123" s="1"/>
      <x:c r="E123" s="5" t="n">
        <x:f>IF('浓度与阈值来源'!D123&gt;0,'浓度与阈值来源'!D123,"")</x:f>
        <x:v>39.6</x:v>
      </x:c>
      <x:c r="F123" s="6" t="n">
        <x:f>COUNT('浓度与阈值来源'!E123:DM123)</x:f>
        <x:v>15</x:v>
      </x:c>
      <x:c r="G123" s="5" t="n">
        <x:f>IF(F123=0,"",MAX('浓度与阈值来源'!E123:DM123))</x:f>
        <x:v>146.29</x:v>
      </x:c>
      <x:c r="H123" s="5" t="n">
        <x:f>IF(F123=0,"",MEDIAN('浓度与阈值来源'!E123:DM123))</x:f>
        <x:v>36.91</x:v>
      </x:c>
      <x:c r="I123" s="7" t="n">
        <x:f>IF(AND(ISNUMBER(E123),E123&gt;0,F123&gt;0),G123/E123,"")</x:f>
        <x:v>3.694191919191919</x:v>
      </x:c>
      <x:c r="J123" s="7" t="n">
        <x:f>IF(AND(ISNUMBER(E123),E123&gt;0,F123&gt;0),H123/E123,"")</x:f>
        <x:v>0.9320707070707069</x:v>
      </x:c>
      <x:c r="K123" s="1" t="str">
        <x:f>IF(F123=0,"无浓度数据",IF(E123="","缺周表阈值","可计算"))</x:f>
        <x:v>可计算</x:v>
      </x:c>
      <x:c r="L123" s="1" t="str">
        <x:f>IF(NOT(ISNUMBER(J123)),"待定",IF(J123&gt;50,"骨架成分",IF(J123&gt;=2,"重要成分","两档成分")))</x:f>
        <x:v>两档成分</x:v>
      </x:c>
      <x:c r="M123" s="1" t="n">
        <x:f>IF(NOT(ISNUMBER(J123)),"",IF(J123&gt;=2,3,2))</x:f>
        <x:v>2</x:v>
      </x:c>
      <x:c r="N123" s="1" t="str">
        <x:f>IF(NOT(ISNUMBER(J123)),"缺少可算OAV",IF(J123&gt;=2,"最大值、中位值、低值待校准","最大值、中位值"))</x:f>
        <x:v>最大值、中位值</x:v>
      </x:c>
      <x:c r="O123" s="1" t="str">
        <x:f>IF(NOT(ISNUMBER(J123)),"待定",IF(J123&lt;2,"不设第三档",IF(J123&lt;=5,"中位OAV≤5；低档须低于中位浓度","低档需预试确认与中档可区分")))</x:f>
        <x:v>不设第三档</x:v>
      </x:c>
    </x:row>
    <x:row r="124" ht="23" customHeight="1">
      <x:c r="A124" s="1" t="n">
        <x:f>'浓度与阈值来源'!A124</x:f>
        <x:v>119</x:v>
      </x:c>
      <x:c r="B124" s="1" t="str">
        <x:f>IF('浓度与阈值来源'!B124="","",'浓度与阈值来源'!B124)</x:f>
        <x:v>壬醛</x:v>
      </x:c>
      <x:c r="C124" s="1" t="str">
        <x:f>IF('浓度与阈值来源'!C124="","",'浓度与阈值来源'!C124)</x:f>
        <x:v>124-19-6</x:v>
      </x:c>
      <x:c r="D124" s="1" t="str">
        <x:v>Nonanal</x:v>
      </x:c>
      <x:c r="E124" s="5" t="n">
        <x:f>IF('浓度与阈值来源'!D124&gt;0,'浓度与阈值来源'!D124,"")</x:f>
        <x:v>122</x:v>
      </x:c>
      <x:c r="F124" s="6" t="n">
        <x:f>COUNT('浓度与阈值来源'!E124:DM124)</x:f>
        <x:v>32</x:v>
      </x:c>
      <x:c r="G124" s="5" t="n">
        <x:f>IF(F124=0,"",MAX('浓度与阈值来源'!E124:DM124))</x:f>
        <x:v>329</x:v>
      </x:c>
      <x:c r="H124" s="5" t="n">
        <x:f>IF(F124=0,"",MEDIAN('浓度与阈值来源'!E124:DM124))</x:f>
        <x:v>41.365</x:v>
      </x:c>
      <x:c r="I124" s="7" t="n">
        <x:f>IF(AND(ISNUMBER(E124),E124&gt;0,F124&gt;0),G124/E124,"")</x:f>
        <x:v>2.69672131147541</x:v>
      </x:c>
      <x:c r="J124" s="7" t="n">
        <x:f>IF(AND(ISNUMBER(E124),E124&gt;0,F124&gt;0),H124/E124,"")</x:f>
        <x:v>0.3390573770491803</x:v>
      </x:c>
      <x:c r="K124" s="1" t="str">
        <x:f>IF(F124=0,"无浓度数据",IF(E124="","缺周表阈值","可计算"))</x:f>
        <x:v>可计算</x:v>
      </x:c>
      <x:c r="L124" s="1" t="str">
        <x:f>IF(NOT(ISNUMBER(J124)),"待定",IF(J124&gt;50,"骨架成分",IF(J124&gt;=2,"重要成分","两档成分")))</x:f>
        <x:v>两档成分</x:v>
      </x:c>
      <x:c r="M124" s="1" t="n">
        <x:f>IF(NOT(ISNUMBER(J124)),"",IF(J124&gt;=2,3,2))</x:f>
        <x:v>2</x:v>
      </x:c>
      <x:c r="N124" s="1" t="str">
        <x:f>IF(NOT(ISNUMBER(J124)),"缺少可算OAV",IF(J124&gt;=2,"最大值、中位值、低值待校准","最大值、中位值"))</x:f>
        <x:v>最大值、中位值</x:v>
      </x:c>
      <x:c r="O124" s="1" t="str">
        <x:f>IF(NOT(ISNUMBER(J124)),"待定",IF(J124&lt;2,"不设第三档",IF(J124&lt;=5,"中位OAV≤5；低档须低于中位浓度","低档需预试确认与中档可区分")))</x:f>
        <x:v>不设第三档</x:v>
      </x:c>
    </x:row>
    <x:row r="125" ht="23" customHeight="1">
      <x:c r="A125" s="1" t="n">
        <x:f>'浓度与阈值来源'!A125</x:f>
        <x:v>120</x:v>
      </x:c>
      <x:c r="B125" s="1" t="str">
        <x:f>IF('浓度与阈值来源'!B125="","",'浓度与阈值来源'!B125)</x:f>
        <x:v>2-甲基丁醇</x:v>
      </x:c>
      <x:c r="C125" s="1" t="str">
        <x:f>IF('浓度与阈值来源'!C125="","",'浓度与阈值来源'!C125)</x:f>
        <x:v>137-32-6</x:v>
      </x:c>
      <x:c r="D125" s="1" t="str">
        <x:v>2-Methyl-1-butanol</x:v>
      </x:c>
      <x:c r="E125" s="5" t="n">
        <x:f>IF('浓度与阈值来源'!D125&gt;0,'浓度与阈值来源'!D125,"")</x:f>
        <x:v>300000</x:v>
      </x:c>
      <x:c r="F125" s="6" t="n">
        <x:f>COUNT('浓度与阈值来源'!E125:DM125)</x:f>
        <x:v>11</x:v>
      </x:c>
      <x:c r="G125" s="5" t="n">
        <x:f>IF(F125=0,"",MAX('浓度与阈值来源'!E125:DM125))</x:f>
        <x:v>341780</x:v>
      </x:c>
      <x:c r="H125" s="5" t="n">
        <x:f>IF(F125=0,"",MEDIAN('浓度与阈值来源'!E125:DM125))</x:f>
        <x:v>3500</x:v>
      </x:c>
      <x:c r="I125" s="7" t="n">
        <x:f>IF(AND(ISNUMBER(E125),E125&gt;0,F125&gt;0),G125/E125,"")</x:f>
        <x:v>1.1392666666666666</x:v>
      </x:c>
      <x:c r="J125" s="7" t="n">
        <x:f>IF(AND(ISNUMBER(E125),E125&gt;0,F125&gt;0),H125/E125,"")</x:f>
        <x:v>0.011666666666666667</x:v>
      </x:c>
      <x:c r="K125" s="1" t="str">
        <x:f>IF(F125=0,"无浓度数据",IF(E125="","缺周表阈值","可计算"))</x:f>
        <x:v>可计算</x:v>
      </x:c>
      <x:c r="L125" s="1" t="str">
        <x:f>IF(NOT(ISNUMBER(J125)),"待定",IF(J125&gt;50,"骨架成分",IF(J125&gt;=2,"重要成分","两档成分")))</x:f>
        <x:v>两档成分</x:v>
      </x:c>
      <x:c r="M125" s="1" t="n">
        <x:f>IF(NOT(ISNUMBER(J125)),"",IF(J125&gt;=2,3,2))</x:f>
        <x:v>2</x:v>
      </x:c>
      <x:c r="N125" s="1" t="str">
        <x:f>IF(NOT(ISNUMBER(J125)),"缺少可算OAV",IF(J125&gt;=2,"最大值、中位值、低值待校准","最大值、中位值"))</x:f>
        <x:v>最大值、中位值</x:v>
      </x:c>
      <x:c r="O125" s="1" t="str">
        <x:f>IF(NOT(ISNUMBER(J125)),"待定",IF(J125&lt;2,"不设第三档",IF(J125&lt;=5,"中位OAV≤5；低档须低于中位浓度","低档需预试确认与中档可区分")))</x:f>
        <x:v>不设第三档</x:v>
      </x:c>
    </x:row>
    <x:row r="126" ht="23" customHeight="1">
      <x:c r="A126" s="1" t="n">
        <x:f>'浓度与阈值来源'!A126</x:f>
        <x:v>121</x:v>
      </x:c>
      <x:c r="B126" s="1" t="str">
        <x:f>IF('浓度与阈值来源'!B126="","",'浓度与阈值来源'!B126)</x:f>
        <x:v>乳酸丁酯</x:v>
      </x:c>
      <x:c r="C126" s="1" t="str">
        <x:f>IF('浓度与阈值来源'!C126="","",'浓度与阈值来源'!C126)</x:f>
        <x:v>138-22-7</x:v>
      </x:c>
      <x:c r="D126" s="1" t="str">
        <x:v>Butyl lactate</x:v>
      </x:c>
      <x:c r="E126" s="5" t="str">
        <x:f>IF('浓度与阈值来源'!D126&gt;0,'浓度与阈值来源'!D126,"")</x:f>
      </x:c>
      <x:c r="F126" s="6" t="n">
        <x:f>COUNT('浓度与阈值来源'!E126:DM126)</x:f>
        <x:v>4</x:v>
      </x:c>
      <x:c r="G126" s="5" t="n">
        <x:f>IF(F126=0,"",MAX('浓度与阈值来源'!E126:DM126))</x:f>
        <x:v>18.03</x:v>
      </x:c>
      <x:c r="H126" s="5" t="n">
        <x:f>IF(F126=0,"",MEDIAN('浓度与阈值来源'!E126:DM126))</x:f>
        <x:v>2.675</x:v>
      </x:c>
      <x:c r="I126" s="7" t="str">
        <x:f>IF(AND(ISNUMBER(E126),E126&gt;0,F126&gt;0),G126/E126,"")</x:f>
      </x:c>
      <x:c r="J126" s="7" t="str">
        <x:f>IF(AND(ISNUMBER(E126),E126&gt;0,F126&gt;0),H126/E126,"")</x:f>
      </x:c>
      <x:c r="K126" s="1" t="str">
        <x:f>IF(F126=0,"无浓度数据",IF(E126="","缺周表阈值","可计算"))</x:f>
        <x:v>缺周表阈值</x:v>
      </x:c>
      <x:c r="L126" s="1" t="str">
        <x:f>IF(NOT(ISNUMBER(J126)),"待定",IF(J126&gt;50,"骨架成分",IF(J126&gt;=2,"重要成分","两档成分")))</x:f>
        <x:v>待定</x:v>
      </x:c>
      <x:c r="M126" s="1" t="str">
        <x:f>IF(NOT(ISNUMBER(J126)),"",IF(J126&gt;=2,3,2))</x:f>
      </x:c>
      <x:c r="N126" s="1" t="str">
        <x:f>IF(NOT(ISNUMBER(J126)),"缺少可算OAV",IF(J126&gt;=2,"最大值、中位值、低值待校准","最大值、中位值"))</x:f>
        <x:v>缺少可算OAV</x:v>
      </x:c>
      <x:c r="O126" s="1" t="str">
        <x:f>IF(NOT(ISNUMBER(J126)),"待定",IF(J126&lt;2,"不设第三档",IF(J126&lt;=5,"中位OAV≤5；低档须低于中位浓度","低档需预试确认与中档可区分")))</x:f>
        <x:v>待定</x:v>
      </x:c>
    </x:row>
    <x:row r="127" ht="23" customHeight="1">
      <x:c r="A127" s="1" t="n">
        <x:f>'浓度与阈值来源'!A127</x:f>
        <x:v>122</x:v>
      </x:c>
      <x:c r="B127" s="1" t="str">
        <x:f>IF('浓度与阈值来源'!B127="","",'浓度与阈值来源'!B127)</x:f>
      </x:c>
      <x:c r="C127" s="1" t="str">
        <x:f>IF('浓度与阈值来源'!C127="","",'浓度与阈值来源'!C127)</x:f>
        <x:v>138-86-3</x:v>
      </x:c>
      <x:c r="D127" s="1"/>
      <x:c r="E127" s="5" t="str">
        <x:f>IF('浓度与阈值来源'!D127&gt;0,'浓度与阈值来源'!D127,"")</x:f>
      </x:c>
      <x:c r="F127" s="6" t="n">
        <x:f>COUNT('浓度与阈值来源'!E127:DM127)</x:f>
        <x:v>1</x:v>
      </x:c>
      <x:c r="G127" s="5" t="n">
        <x:f>IF(F127=0,"",MAX('浓度与阈值来源'!E127:DM127))</x:f>
        <x:v>3.14</x:v>
      </x:c>
      <x:c r="H127" s="5" t="n">
        <x:f>IF(F127=0,"",MEDIAN('浓度与阈值来源'!E127:DM127))</x:f>
        <x:v>3.14</x:v>
      </x:c>
      <x:c r="I127" s="7" t="str">
        <x:f>IF(AND(ISNUMBER(E127),E127&gt;0,F127&gt;0),G127/E127,"")</x:f>
      </x:c>
      <x:c r="J127" s="7" t="str">
        <x:f>IF(AND(ISNUMBER(E127),E127&gt;0,F127&gt;0),H127/E127,"")</x:f>
      </x:c>
      <x:c r="K127" s="1" t="str">
        <x:f>IF(F127=0,"无浓度数据",IF(E127="","缺周表阈值","可计算"))</x:f>
        <x:v>缺周表阈值</x:v>
      </x:c>
      <x:c r="L127" s="1" t="str">
        <x:f>IF(NOT(ISNUMBER(J127)),"待定",IF(J127&gt;50,"骨架成分",IF(J127&gt;=2,"重要成分","两档成分")))</x:f>
        <x:v>待定</x:v>
      </x:c>
      <x:c r="M127" s="1" t="str">
        <x:f>IF(NOT(ISNUMBER(J127)),"",IF(J127&gt;=2,3,2))</x:f>
      </x:c>
      <x:c r="N127" s="1" t="str">
        <x:f>IF(NOT(ISNUMBER(J127)),"缺少可算OAV",IF(J127&gt;=2,"最大值、中位值、低值待校准","最大值、中位值"))</x:f>
        <x:v>缺少可算OAV</x:v>
      </x:c>
      <x:c r="O127" s="1" t="str">
        <x:f>IF(NOT(ISNUMBER(J127)),"待定",IF(J127&lt;2,"不设第三档",IF(J127&lt;=5,"中位OAV≤5；低档须低于中位浓度","低档需预试确认与中档可区分")))</x:f>
        <x:v>待定</x:v>
      </x:c>
    </x:row>
    <x:row r="128" ht="23" customHeight="1">
      <x:c r="A128" s="1" t="n">
        <x:f>'浓度与阈值来源'!A128</x:f>
        <x:v>123</x:v>
      </x:c>
      <x:c r="B128" s="1" t="str">
        <x:f>IF('浓度与阈值来源'!B128="","",'浓度与阈值来源'!B128)</x:f>
        <x:v>异戊酸-2-苯乙酯</x:v>
      </x:c>
      <x:c r="C128" s="1" t="str">
        <x:f>IF('浓度与阈值来源'!C128="","",'浓度与阈值来源'!C128)</x:f>
        <x:v>140-26-1</x:v>
      </x:c>
      <x:c r="D128" s="1"/>
      <x:c r="E128" s="5" t="str">
        <x:f>IF('浓度与阈值来源'!D128&gt;0,'浓度与阈值来源'!D128,"")</x:f>
      </x:c>
      <x:c r="F128" s="6" t="n">
        <x:f>COUNT('浓度与阈值来源'!E128:DM128)</x:f>
        <x:v>13</x:v>
      </x:c>
      <x:c r="G128" s="5" t="n">
        <x:f>IF(F128=0,"",MAX('浓度与阈值来源'!E128:DM128))</x:f>
        <x:v>36.34</x:v>
      </x:c>
      <x:c r="H128" s="5" t="n">
        <x:f>IF(F128=0,"",MEDIAN('浓度与阈值来源'!E128:DM128))</x:f>
        <x:v>19.16</x:v>
      </x:c>
      <x:c r="I128" s="7" t="str">
        <x:f>IF(AND(ISNUMBER(E128),E128&gt;0,F128&gt;0),G128/E128,"")</x:f>
      </x:c>
      <x:c r="J128" s="7" t="str">
        <x:f>IF(AND(ISNUMBER(E128),E128&gt;0,F128&gt;0),H128/E128,"")</x:f>
      </x:c>
      <x:c r="K128" s="1" t="str">
        <x:f>IF(F128=0,"无浓度数据",IF(E128="","缺周表阈值","可计算"))</x:f>
        <x:v>缺周表阈值</x:v>
      </x:c>
      <x:c r="L128" s="1" t="str">
        <x:f>IF(NOT(ISNUMBER(J128)),"待定",IF(J128&gt;50,"骨架成分",IF(J128&gt;=2,"重要成分","两档成分")))</x:f>
        <x:v>待定</x:v>
      </x:c>
      <x:c r="M128" s="1" t="str">
        <x:f>IF(NOT(ISNUMBER(J128)),"",IF(J128&gt;=2,3,2))</x:f>
      </x:c>
      <x:c r="N128" s="1" t="str">
        <x:f>IF(NOT(ISNUMBER(J128)),"缺少可算OAV",IF(J128&gt;=2,"最大值、中位值、低值待校准","最大值、中位值"))</x:f>
        <x:v>缺少可算OAV</x:v>
      </x:c>
      <x:c r="O128" s="1" t="str">
        <x:f>IF(NOT(ISNUMBER(J128)),"待定",IF(J128&lt;2,"不设第三档",IF(J128&lt;=5,"中位OAV≤5；低档须低于中位浓度","低档需预试确认与中档可区分")))</x:f>
        <x:v>待定</x:v>
      </x:c>
    </x:row>
    <x:row r="129" ht="23" customHeight="1">
      <x:c r="A129" s="1" t="n">
        <x:f>'浓度与阈值来源'!A129</x:f>
        <x:v>124</x:v>
      </x:c>
      <x:c r="B129" s="1" t="str">
        <x:f>IF('浓度与阈值来源'!B129="","",'浓度与阈值来源'!B129)</x:f>
        <x:v>乙酸乙酯</x:v>
      </x:c>
      <x:c r="C129" s="1" t="str">
        <x:f>IF('浓度与阈值来源'!C129="","",'浓度与阈值来源'!C129)</x:f>
        <x:v>141-78-6</x:v>
      </x:c>
      <x:c r="D129" s="1" t="str">
        <x:v>Ethyl acetate</x:v>
      </x:c>
      <x:c r="E129" s="5" t="n">
        <x:f>IF('浓度与阈值来源'!D129&gt;0,'浓度与阈值来源'!D129,"")</x:f>
        <x:v>32552</x:v>
      </x:c>
      <x:c r="F129" s="6" t="n">
        <x:f>COUNT('浓度与阈值来源'!E129:DM129)</x:f>
        <x:v>84</x:v>
      </x:c>
      <x:c r="G129" s="5" t="n">
        <x:f>IF(F129=0,"",MAX('浓度与阈值来源'!E129:DM129))</x:f>
        <x:v>4021850</x:v>
      </x:c>
      <x:c r="H129" s="5" t="n">
        <x:f>IF(F129=0,"",MEDIAN('浓度与阈值来源'!E129:DM129))</x:f>
        <x:v>11154</x:v>
      </x:c>
      <x:c r="I129" s="7" t="n">
        <x:f>IF(AND(ISNUMBER(E129),E129&gt;0,F129&gt;0),G129/E129,"")</x:f>
        <x:v>123.55154829196363</x:v>
      </x:c>
      <x:c r="J129" s="7" t="n">
        <x:f>IF(AND(ISNUMBER(E129),E129&gt;0,F129&gt;0),H129/E129,"")</x:f>
        <x:v>0.3426517571884984</x:v>
      </x:c>
      <x:c r="K129" s="1" t="str">
        <x:f>IF(F129=0,"无浓度数据",IF(E129="","缺周表阈值","可计算"))</x:f>
        <x:v>可计算</x:v>
      </x:c>
      <x:c r="L129" s="1" t="str">
        <x:f>IF(NOT(ISNUMBER(J129)),"待定",IF(J129&gt;50,"骨架成分",IF(J129&gt;=2,"重要成分","两档成分")))</x:f>
        <x:v>两档成分</x:v>
      </x:c>
      <x:c r="M129" s="1" t="n">
        <x:f>IF(NOT(ISNUMBER(J129)),"",IF(J129&gt;=2,3,2))</x:f>
        <x:v>2</x:v>
      </x:c>
      <x:c r="N129" s="1" t="str">
        <x:f>IF(NOT(ISNUMBER(J129)),"缺少可算OAV",IF(J129&gt;=2,"最大值、中位值、低值待校准","最大值、中位值"))</x:f>
        <x:v>最大值、中位值</x:v>
      </x:c>
      <x:c r="O129" s="1" t="str">
        <x:f>IF(NOT(ISNUMBER(J129)),"待定",IF(J129&lt;2,"不设第三档",IF(J129&lt;=5,"中位OAV≤5；低档须低于中位浓度","低档需预试确认与中档可区分")))</x:f>
        <x:v>不设第三档</x:v>
      </x:c>
    </x:row>
    <x:row r="130" ht="23" customHeight="1">
      <x:c r="A130" s="1" t="n">
        <x:f>'浓度与阈值来源'!A130</x:f>
        <x:v>125</x:v>
      </x:c>
      <x:c r="B130" s="1" t="str">
        <x:f>IF('浓度与阈值来源'!B130="","",'浓度与阈值来源'!B130)</x:f>
        <x:v>E-橙花叔醇</x:v>
      </x:c>
      <x:c r="C130" s="1" t="str">
        <x:f>IF('浓度与阈值来源'!C130="","",'浓度与阈值来源'!C130)</x:f>
        <x:v>142-50-7</x:v>
      </x:c>
      <x:c r="D130" s="1"/>
      <x:c r="E130" s="5" t="str">
        <x:f>IF('浓度与阈值来源'!D130&gt;0,'浓度与阈值来源'!D130,"")</x:f>
      </x:c>
      <x:c r="F130" s="6" t="n">
        <x:f>COUNT('浓度与阈值来源'!E130:DM130)</x:f>
        <x:v>14</x:v>
      </x:c>
      <x:c r="G130" s="5" t="n">
        <x:f>IF(F130=0,"",MAX('浓度与阈值来源'!E130:DM130))</x:f>
        <x:v>243.49</x:v>
      </x:c>
      <x:c r="H130" s="5" t="n">
        <x:f>IF(F130=0,"",MEDIAN('浓度与阈值来源'!E130:DM130))</x:f>
        <x:v>135.66500000000002</x:v>
      </x:c>
      <x:c r="I130" s="7" t="str">
        <x:f>IF(AND(ISNUMBER(E130),E130&gt;0,F130&gt;0),G130/E130,"")</x:f>
      </x:c>
      <x:c r="J130" s="7" t="str">
        <x:f>IF(AND(ISNUMBER(E130),E130&gt;0,F130&gt;0),H130/E130,"")</x:f>
      </x:c>
      <x:c r="K130" s="1" t="str">
        <x:f>IF(F130=0,"无浓度数据",IF(E130="","缺周表阈值","可计算"))</x:f>
        <x:v>缺周表阈值</x:v>
      </x:c>
      <x:c r="L130" s="1" t="str">
        <x:f>IF(NOT(ISNUMBER(J130)),"待定",IF(J130&gt;50,"骨架成分",IF(J130&gt;=2,"重要成分","两档成分")))</x:f>
        <x:v>待定</x:v>
      </x:c>
      <x:c r="M130" s="1" t="str">
        <x:f>IF(NOT(ISNUMBER(J130)),"",IF(J130&gt;=2,3,2))</x:f>
      </x:c>
      <x:c r="N130" s="1" t="str">
        <x:f>IF(NOT(ISNUMBER(J130)),"缺少可算OAV",IF(J130&gt;=2,"最大值、中位值、低值待校准","最大值、中位值"))</x:f>
        <x:v>缺少可算OAV</x:v>
      </x:c>
      <x:c r="O130" s="1" t="str">
        <x:f>IF(NOT(ISNUMBER(J130)),"待定",IF(J130&lt;2,"不设第三档",IF(J130&lt;=5,"中位OAV≤5；低档须低于中位浓度","低档需预试确认与中档可区分")))</x:f>
        <x:v>待定</x:v>
      </x:c>
    </x:row>
    <x:row r="131" ht="23" customHeight="1">
      <x:c r="A131" s="1" t="n">
        <x:f>'浓度与阈值来源'!A131</x:f>
        <x:v>126</x:v>
      </x:c>
      <x:c r="B131" s="1" t="str">
        <x:f>IF('浓度与阈值来源'!B131="","",'浓度与阈值来源'!B131)</x:f>
        <x:v>己酸</x:v>
      </x:c>
      <x:c r="C131" s="1" t="str">
        <x:f>IF('浓度与阈值来源'!C131="","",'浓度与阈值来源'!C131)</x:f>
        <x:v>142-62-1</x:v>
      </x:c>
      <x:c r="D131" s="1" t="str">
        <x:v>Hexanole acid</x:v>
      </x:c>
      <x:c r="E131" s="5" t="n">
        <x:f>IF('浓度与阈值来源'!D131&gt;0,'浓度与阈值来源'!D131,"")</x:f>
        <x:v>2520</x:v>
      </x:c>
      <x:c r="F131" s="6" t="n">
        <x:f>COUNT('浓度与阈值来源'!E131:DM131)</x:f>
        <x:v>89</x:v>
      </x:c>
      <x:c r="G131" s="5" t="n">
        <x:f>IF(F131=0,"",MAX('浓度与阈值来源'!E131:DM131))</x:f>
        <x:v>1551340.76</x:v>
      </x:c>
      <x:c r="H131" s="5" t="n">
        <x:f>IF(F131=0,"",MEDIAN('浓度与阈值来源'!E131:DM131))</x:f>
        <x:v>21500</x:v>
      </x:c>
      <x:c r="I131" s="7" t="n">
        <x:f>IF(AND(ISNUMBER(E131),E131&gt;0,F131&gt;0),G131/E131,"")</x:f>
        <x:v>615.6114126984127</x:v>
      </x:c>
      <x:c r="J131" s="7" t="n">
        <x:f>IF(AND(ISNUMBER(E131),E131&gt;0,F131&gt;0),H131/E131,"")</x:f>
        <x:v>8.531746031746032</x:v>
      </x:c>
      <x:c r="K131" s="1" t="str">
        <x:f>IF(F131=0,"无浓度数据",IF(E131="","缺周表阈值","可计算"))</x:f>
        <x:v>可计算</x:v>
      </x:c>
      <x:c r="L131" s="1" t="str">
        <x:f>IF(NOT(ISNUMBER(J131)),"待定",IF(J131&gt;50,"骨架成分",IF(J131&gt;=2,"重要成分","两档成分")))</x:f>
        <x:v>重要成分</x:v>
      </x:c>
      <x:c r="M131" s="1" t="n">
        <x:f>IF(NOT(ISNUMBER(J131)),"",IF(J131&gt;=2,3,2))</x:f>
        <x:v>3</x:v>
      </x:c>
      <x:c r="N131" s="1" t="str">
        <x:f>IF(NOT(ISNUMBER(J131)),"缺少可算OAV",IF(J131&gt;=2,"最大值、中位值、低值待校准","最大值、中位值"))</x:f>
        <x:v>最大值、中位值、低值待校准</x:v>
      </x:c>
      <x:c r="O131" s="1" t="str">
        <x:f>IF(NOT(ISNUMBER(J131)),"待定",IF(J131&lt;2,"不设第三档",IF(J131&lt;=5,"中位OAV≤5；低档须低于中位浓度","低档需预试确认与中档可区分")))</x:f>
        <x:v>低档需预试确认与中档可区分</x:v>
      </x:c>
    </x:row>
    <x:row r="132" ht="23" customHeight="1">
      <x:c r="A132" s="1" t="n">
        <x:f>'浓度与阈值来源'!A132</x:f>
        <x:v>127</x:v>
      </x:c>
      <x:c r="B132" s="1" t="str">
        <x:f>IF('浓度与阈值来源'!B132="","",'浓度与阈值来源'!B132)</x:f>
        <x:v>乙酸己酯</x:v>
      </x:c>
      <x:c r="C132" s="1" t="str">
        <x:f>IF('浓度与阈值来源'!C132="","",'浓度与阈值来源'!C132)</x:f>
        <x:v>142-92-7</x:v>
      </x:c>
      <x:c r="D132" s="1" t="str">
        <x:v>Hexyl acetate</x:v>
      </x:c>
      <x:c r="E132" s="5" t="n">
        <x:f>IF('浓度与阈值来源'!D132&gt;0,'浓度与阈值来源'!D132,"")</x:f>
        <x:v>5560</x:v>
      </x:c>
      <x:c r="F132" s="6" t="n">
        <x:f>COUNT('浓度与阈值来源'!E132:DM132)</x:f>
        <x:v>77</x:v>
      </x:c>
      <x:c r="G132" s="5" t="n">
        <x:f>IF(F132=0,"",MAX('浓度与阈值来源'!E132:DM132))</x:f>
        <x:v>121720</x:v>
      </x:c>
      <x:c r="H132" s="5" t="n">
        <x:f>IF(F132=0,"",MEDIAN('浓度与阈值来源'!E132:DM132))</x:f>
        <x:v>442</x:v>
      </x:c>
      <x:c r="I132" s="7" t="n">
        <x:f>IF(AND(ISNUMBER(E132),E132&gt;0,F132&gt;0),G132/E132,"")</x:f>
        <x:v>21.892086330935253</x:v>
      </x:c>
      <x:c r="J132" s="7" t="n">
        <x:f>IF(AND(ISNUMBER(E132),E132&gt;0,F132&gt;0),H132/E132,"")</x:f>
        <x:v>0.07949640287769784</x:v>
      </x:c>
      <x:c r="K132" s="1" t="str">
        <x:f>IF(F132=0,"无浓度数据",IF(E132="","缺周表阈值","可计算"))</x:f>
        <x:v>可计算</x:v>
      </x:c>
      <x:c r="L132" s="1" t="str">
        <x:f>IF(NOT(ISNUMBER(J132)),"待定",IF(J132&gt;50,"骨架成分",IF(J132&gt;=2,"重要成分","两档成分")))</x:f>
        <x:v>两档成分</x:v>
      </x:c>
      <x:c r="M132" s="1" t="n">
        <x:f>IF(NOT(ISNUMBER(J132)),"",IF(J132&gt;=2,3,2))</x:f>
        <x:v>2</x:v>
      </x:c>
      <x:c r="N132" s="1" t="str">
        <x:f>IF(NOT(ISNUMBER(J132)),"缺少可算OAV",IF(J132&gt;=2,"最大值、中位值、低值待校准","最大值、中位值"))</x:f>
        <x:v>最大值、中位值</x:v>
      </x:c>
      <x:c r="O132" s="1" t="str">
        <x:f>IF(NOT(ISNUMBER(J132)),"待定",IF(J132&lt;2,"不设第三档",IF(J132&lt;=5,"中位OAV≤5；低档须低于中位浓度","低档需预试确认与中档可区分")))</x:f>
        <x:v>不设第三档</x:v>
      </x:c>
    </x:row>
    <x:row r="133" ht="23" customHeight="1">
      <x:c r="A133" s="1" t="n">
        <x:f>'浓度与阈值来源'!A133</x:f>
        <x:v>128</x:v>
      </x:c>
      <x:c r="B133" s="1" t="str">
        <x:f>IF('浓度与阈值来源'!B133="","",'浓度与阈值来源'!B133)</x:f>
        <x:v>1-壬醇</x:v>
      </x:c>
      <x:c r="C133" s="1" t="str">
        <x:f>IF('浓度与阈值来源'!C133="","",'浓度与阈值来源'!C133)</x:f>
        <x:v>143-08-8</x:v>
      </x:c>
      <x:c r="D133" s="1" t="str">
        <x:v>nonan-1-ol</x:v>
      </x:c>
      <x:c r="E133" s="5" t="n">
        <x:f>IF('浓度与阈值来源'!D133&gt;0,'浓度与阈值来源'!D133,"")</x:f>
        <x:v>806</x:v>
      </x:c>
      <x:c r="F133" s="6" t="n">
        <x:f>COUNT('浓度与阈值来源'!E133:DM133)</x:f>
        <x:v>25</x:v>
      </x:c>
      <x:c r="G133" s="5" t="n">
        <x:f>IF(F133=0,"",MAX('浓度与阈值来源'!E133:DM133))</x:f>
        <x:v>766.71</x:v>
      </x:c>
      <x:c r="H133" s="5" t="n">
        <x:f>IF(F133=0,"",MEDIAN('浓度与阈值来源'!E133:DM133))</x:f>
        <x:v>177.67</x:v>
      </x:c>
      <x:c r="I133" s="7" t="n">
        <x:f>IF(AND(ISNUMBER(E133),E133&gt;0,F133&gt;0),G133/E133,"")</x:f>
        <x:v>0.9512531017369728</x:v>
      </x:c>
      <x:c r="J133" s="7" t="n">
        <x:f>IF(AND(ISNUMBER(E133),E133&gt;0,F133&gt;0),H133/E133,"")</x:f>
        <x:v>0.22043424317617866</x:v>
      </x:c>
      <x:c r="K133" s="1" t="str">
        <x:f>IF(F133=0,"无浓度数据",IF(E133="","缺周表阈值","可计算"))</x:f>
        <x:v>可计算</x:v>
      </x:c>
      <x:c r="L133" s="1" t="str">
        <x:f>IF(NOT(ISNUMBER(J133)),"待定",IF(J133&gt;50,"骨架成分",IF(J133&gt;=2,"重要成分","两档成分")))</x:f>
        <x:v>两档成分</x:v>
      </x:c>
      <x:c r="M133" s="1" t="n">
        <x:f>IF(NOT(ISNUMBER(J133)),"",IF(J133&gt;=2,3,2))</x:f>
        <x:v>2</x:v>
      </x:c>
      <x:c r="N133" s="1" t="str">
        <x:f>IF(NOT(ISNUMBER(J133)),"缺少可算OAV",IF(J133&gt;=2,"最大值、中位值、低值待校准","最大值、中位值"))</x:f>
        <x:v>最大值、中位值</x:v>
      </x:c>
      <x:c r="O133" s="1" t="str">
        <x:f>IF(NOT(ISNUMBER(J133)),"待定",IF(J133&lt;2,"不设第三档",IF(J133&lt;=5,"中位OAV≤5；低档须低于中位浓度","低档需预试确认与中档可区分")))</x:f>
        <x:v>不设第三档</x:v>
      </x:c>
    </x:row>
    <x:row r="134" ht="23" customHeight="1">
      <x:c r="A134" s="1" t="n">
        <x:f>'浓度与阈值来源'!A134</x:f>
        <x:v>129</x:v>
      </x:c>
      <x:c r="B134" s="1" t="str">
        <x:f>IF('浓度与阈值来源'!B134="","",'浓度与阈值来源'!B134)</x:f>
        <x:v>癸酸</x:v>
      </x:c>
      <x:c r="C134" s="1" t="str">
        <x:f>IF('浓度与阈值来源'!C134="","",'浓度与阈值来源'!C134)</x:f>
        <x:v>334-48-5</x:v>
      </x:c>
      <x:c r="D134" s="1"/>
      <x:c r="E134" s="5" t="str">
        <x:f>IF('浓度与阈值来源'!D134&gt;0,'浓度与阈值来源'!D134,"")</x:f>
      </x:c>
      <x:c r="F134" s="6" t="n">
        <x:f>COUNT('浓度与阈值来源'!E134:DM134)</x:f>
        <x:v>17</x:v>
      </x:c>
      <x:c r="G134" s="5" t="n">
        <x:f>IF(F134=0,"",MAX('浓度与阈值来源'!E134:DM134))</x:f>
        <x:v>9977.76</x:v>
      </x:c>
      <x:c r="H134" s="5" t="n">
        <x:f>IF(F134=0,"",MEDIAN('浓度与阈值来源'!E134:DM134))</x:f>
        <x:v>1275.49</x:v>
      </x:c>
      <x:c r="I134" s="7" t="str">
        <x:f>IF(AND(ISNUMBER(E134),E134&gt;0,F134&gt;0),G134/E134,"")</x:f>
      </x:c>
      <x:c r="J134" s="7" t="str">
        <x:f>IF(AND(ISNUMBER(E134),E134&gt;0,F134&gt;0),H134/E134,"")</x:f>
      </x:c>
      <x:c r="K134" s="1" t="str">
        <x:f>IF(F134=0,"无浓度数据",IF(E134="","缺周表阈值","可计算"))</x:f>
        <x:v>缺周表阈值</x:v>
      </x:c>
      <x:c r="L134" s="1" t="str">
        <x:f>IF(NOT(ISNUMBER(J134)),"待定",IF(J134&gt;50,"骨架成分",IF(J134&gt;=2,"重要成分","两档成分")))</x:f>
        <x:v>待定</x:v>
      </x:c>
      <x:c r="M134" s="1" t="str">
        <x:f>IF(NOT(ISNUMBER(J134)),"",IF(J134&gt;=2,3,2))</x:f>
      </x:c>
      <x:c r="N134" s="1" t="str">
        <x:f>IF(NOT(ISNUMBER(J134)),"缺少可算OAV",IF(J134&gt;=2,"最大值、中位值、低值待校准","最大值、中位值"))</x:f>
        <x:v>缺少可算OAV</x:v>
      </x:c>
      <x:c r="O134" s="1" t="str">
        <x:f>IF(NOT(ISNUMBER(J134)),"待定",IF(J134&lt;2,"不设第三档",IF(J134&lt;=5,"中位OAV≤5；低档须低于中位浓度","低档需预试确认与中档可区分")))</x:f>
        <x:v>待定</x:v>
      </x:c>
    </x:row>
    <x:row r="135" ht="23" customHeight="1">
      <x:c r="A135" s="1" t="n">
        <x:f>'浓度与阈值来源'!A135</x:f>
        <x:v>130</x:v>
      </x:c>
      <x:c r="B135" s="1" t="str">
        <x:f>IF('浓度与阈值来源'!B135="","",'浓度与阈值来源'!B135)</x:f>
      </x:c>
      <x:c r="C135" s="1" t="str">
        <x:f>IF('浓度与阈值来源'!C135="","",'浓度与阈值来源'!C135)</x:f>
        <x:v>431-63-8</x:v>
      </x:c>
      <x:c r="D135" s="1"/>
      <x:c r="E135" s="5" t="str">
        <x:f>IF('浓度与阈值来源'!D135&gt;0,'浓度与阈值来源'!D135,"")</x:f>
      </x:c>
      <x:c r="F135" s="6" t="n">
        <x:f>COUNT('浓度与阈值来源'!E135:DM135)</x:f>
        <x:v>2</x:v>
      </x:c>
      <x:c r="G135" s="5" t="n">
        <x:f>IF(F135=0,"",MAX('浓度与阈值来源'!E135:DM135))</x:f>
        <x:v>5.73</x:v>
      </x:c>
      <x:c r="H135" s="5" t="n">
        <x:f>IF(F135=0,"",MEDIAN('浓度与阈值来源'!E135:DM135))</x:f>
        <x:v>3.35</x:v>
      </x:c>
      <x:c r="I135" s="7" t="str">
        <x:f>IF(AND(ISNUMBER(E135),E135&gt;0,F135&gt;0),G135/E135,"")</x:f>
      </x:c>
      <x:c r="J135" s="7" t="str">
        <x:f>IF(AND(ISNUMBER(E135),E135&gt;0,F135&gt;0),H135/E135,"")</x:f>
      </x:c>
      <x:c r="K135" s="1" t="str">
        <x:f>IF(F135=0,"无浓度数据",IF(E135="","缺周表阈值","可计算"))</x:f>
        <x:v>缺周表阈值</x:v>
      </x:c>
      <x:c r="L135" s="1" t="str">
        <x:f>IF(NOT(ISNUMBER(J135)),"待定",IF(J135&gt;50,"骨架成分",IF(J135&gt;=2,"重要成分","两档成分")))</x:f>
        <x:v>待定</x:v>
      </x:c>
      <x:c r="M135" s="1" t="str">
        <x:f>IF(NOT(ISNUMBER(J135)),"",IF(J135&gt;=2,3,2))</x:f>
      </x:c>
      <x:c r="N135" s="1" t="str">
        <x:f>IF(NOT(ISNUMBER(J135)),"缺少可算OAV",IF(J135&gt;=2,"最大值、中位值、低值待校准","最大值、中位值"))</x:f>
        <x:v>缺少可算OAV</x:v>
      </x:c>
      <x:c r="O135" s="1" t="str">
        <x:f>IF(NOT(ISNUMBER(J135)),"待定",IF(J135&lt;2,"不设第三档",IF(J135&lt;=5,"中位OAV≤5；低档须低于中位浓度","低档需预试确认与中档可区分")))</x:f>
        <x:v>待定</x:v>
      </x:c>
    </x:row>
    <x:row r="136" ht="23" customHeight="1">
      <x:c r="A136" s="1" t="n">
        <x:f>'浓度与阈值来源'!A136</x:f>
        <x:v>131</x:v>
      </x:c>
      <x:c r="B136" s="1" t="str">
        <x:f>IF('浓度与阈值来源'!B136="","",'浓度与阈值来源'!B136)</x:f>
        <x:v>二乙氧基甲烷</x:v>
      </x:c>
      <x:c r="C136" s="1" t="str">
        <x:f>IF('浓度与阈值来源'!C136="","",'浓度与阈值来源'!C136)</x:f>
        <x:v>462-95-3</x:v>
      </x:c>
      <x:c r="D136" s="1"/>
      <x:c r="E136" s="5" t="str">
        <x:f>IF('浓度与阈值来源'!D136&gt;0,'浓度与阈值来源'!D136,"")</x:f>
      </x:c>
      <x:c r="F136" s="6" t="n">
        <x:f>COUNT('浓度与阈值来源'!E136:DM136)</x:f>
        <x:v>1</x:v>
      </x:c>
      <x:c r="G136" s="5" t="n">
        <x:f>IF(F136=0,"",MAX('浓度与阈值来源'!E136:DM136))</x:f>
        <x:v>23</x:v>
      </x:c>
      <x:c r="H136" s="5" t="n">
        <x:f>IF(F136=0,"",MEDIAN('浓度与阈值来源'!E136:DM136))</x:f>
        <x:v>23</x:v>
      </x:c>
      <x:c r="I136" s="7" t="str">
        <x:f>IF(AND(ISNUMBER(E136),E136&gt;0,F136&gt;0),G136/E136,"")</x:f>
      </x:c>
      <x:c r="J136" s="7" t="str">
        <x:f>IF(AND(ISNUMBER(E136),E136&gt;0,F136&gt;0),H136/E136,"")</x:f>
      </x:c>
      <x:c r="K136" s="1" t="str">
        <x:f>IF(F136=0,"无浓度数据",IF(E136="","缺周表阈值","可计算"))</x:f>
        <x:v>缺周表阈值</x:v>
      </x:c>
      <x:c r="L136" s="1" t="str">
        <x:f>IF(NOT(ISNUMBER(J136)),"待定",IF(J136&gt;50,"骨架成分",IF(J136&gt;=2,"重要成分","两档成分")))</x:f>
        <x:v>待定</x:v>
      </x:c>
      <x:c r="M136" s="1" t="str">
        <x:f>IF(NOT(ISNUMBER(J136)),"",IF(J136&gt;=2,3,2))</x:f>
      </x:c>
      <x:c r="N136" s="1" t="str">
        <x:f>IF(NOT(ISNUMBER(J136)),"缺少可算OAV",IF(J136&gt;=2,"最大值、中位值、低值待校准","最大值、中位值"))</x:f>
        <x:v>缺少可算OAV</x:v>
      </x:c>
      <x:c r="O136" s="1" t="str">
        <x:f>IF(NOT(ISNUMBER(J136)),"待定",IF(J136&lt;2,"不设第三档",IF(J136&lt;=5,"中位OAV≤5；低档须低于中位浓度","低档需预试确认与中档可区分")))</x:f>
        <x:v>待定</x:v>
      </x:c>
    </x:row>
    <x:row r="137" ht="23" customHeight="1">
      <x:c r="A137" s="1" t="n">
        <x:f>'浓度与阈值来源'!A137</x:f>
        <x:v>132</x:v>
      </x:c>
      <x:c r="B137" s="1" t="str">
        <x:f>IF('浓度与阈值来源'!B137="","",'浓度与阈值来源'!B137)</x:f>
      </x:c>
      <x:c r="C137" s="1" t="str">
        <x:f>IF('浓度与阈值来源'!C137="","",'浓度与阈值来源'!C137)</x:f>
        <x:v>463-40-1</x:v>
      </x:c>
      <x:c r="D137" s="1" t="str">
        <x:v>α-Linolenic acid</x:v>
      </x:c>
      <x:c r="E137" s="5" t="str">
        <x:f>IF('浓度与阈值来源'!D137&gt;0,'浓度与阈值来源'!D137,"")</x:f>
      </x:c>
      <x:c r="F137" s="6" t="n">
        <x:f>COUNT('浓度与阈值来源'!E137:DM137)</x:f>
        <x:v>6</x:v>
      </x:c>
      <x:c r="G137" s="5" t="n">
        <x:f>IF(F137=0,"",MAX('浓度与阈值来源'!E137:DM137))</x:f>
        <x:v>479</x:v>
      </x:c>
      <x:c r="H137" s="5" t="n">
        <x:f>IF(F137=0,"",MEDIAN('浓度与阈值来源'!E137:DM137))</x:f>
        <x:v>444.5</x:v>
      </x:c>
      <x:c r="I137" s="7" t="str">
        <x:f>IF(AND(ISNUMBER(E137),E137&gt;0,F137&gt;0),G137/E137,"")</x:f>
      </x:c>
      <x:c r="J137" s="7" t="str">
        <x:f>IF(AND(ISNUMBER(E137),E137&gt;0,F137&gt;0),H137/E137,"")</x:f>
      </x:c>
      <x:c r="K137" s="1" t="str">
        <x:f>IF(F137=0,"无浓度数据",IF(E137="","缺周表阈值","可计算"))</x:f>
        <x:v>缺周表阈值</x:v>
      </x:c>
      <x:c r="L137" s="1" t="str">
        <x:f>IF(NOT(ISNUMBER(J137)),"待定",IF(J137&gt;50,"骨架成分",IF(J137&gt;=2,"重要成分","两档成分")))</x:f>
        <x:v>待定</x:v>
      </x:c>
      <x:c r="M137" s="1" t="str">
        <x:f>IF(NOT(ISNUMBER(J137)),"",IF(J137&gt;=2,3,2))</x:f>
      </x:c>
      <x:c r="N137" s="1" t="str">
        <x:f>IF(NOT(ISNUMBER(J137)),"缺少可算OAV",IF(J137&gt;=2,"最大值、中位值、低值待校准","最大值、中位值"))</x:f>
        <x:v>缺少可算OAV</x:v>
      </x:c>
      <x:c r="O137" s="1" t="str">
        <x:f>IF(NOT(ISNUMBER(J137)),"待定",IF(J137&lt;2,"不设第三档",IF(J137&lt;=5,"中位OAV≤5；低档须低于中位浓度","低档需预试确认与中档可区分")))</x:f>
        <x:v>待定</x:v>
      </x:c>
    </x:row>
    <x:row r="138" ht="23" customHeight="1">
      <x:c r="A138" s="1" t="n">
        <x:f>'浓度与阈值来源'!A138</x:f>
        <x:v>133</x:v>
      </x:c>
      <x:c r="B138" s="1" t="str">
        <x:f>IF('浓度与阈值来源'!B138="","",'浓度与阈值来源'!B138)</x:f>
        <x:v>3-糠醛</x:v>
      </x:c>
      <x:c r="C138" s="1" t="str">
        <x:f>IF('浓度与阈值来源'!C138="","",'浓度与阈值来源'!C138)</x:f>
        <x:v>498-60-2</x:v>
      </x:c>
      <x:c r="D138" s="1" t="str">
        <x:v>3-Furaldehyde</x:v>
      </x:c>
      <x:c r="E138" s="5" t="str">
        <x:f>IF('浓度与阈值来源'!D138&gt;0,'浓度与阈值来源'!D138,"")</x:f>
      </x:c>
      <x:c r="F138" s="6" t="n">
        <x:f>COUNT('浓度与阈值来源'!E138:DM138)</x:f>
        <x:v>2</x:v>
      </x:c>
      <x:c r="G138" s="5" t="n">
        <x:f>IF(F138=0,"",MAX('浓度与阈值来源'!E138:DM138))</x:f>
        <x:v>11980</x:v>
      </x:c>
      <x:c r="H138" s="5" t="n">
        <x:f>IF(F138=0,"",MEDIAN('浓度与阈值来源'!E138:DM138))</x:f>
        <x:v>8885</x:v>
      </x:c>
      <x:c r="I138" s="7" t="str">
        <x:f>IF(AND(ISNUMBER(E138),E138&gt;0,F138&gt;0),G138/E138,"")</x:f>
      </x:c>
      <x:c r="J138" s="7" t="str">
        <x:f>IF(AND(ISNUMBER(E138),E138&gt;0,F138&gt;0),H138/E138,"")</x:f>
      </x:c>
      <x:c r="K138" s="1" t="str">
        <x:f>IF(F138=0,"无浓度数据",IF(E138="","缺周表阈值","可计算"))</x:f>
        <x:v>缺周表阈值</x:v>
      </x:c>
      <x:c r="L138" s="1" t="str">
        <x:f>IF(NOT(ISNUMBER(J138)),"待定",IF(J138&gt;50,"骨架成分",IF(J138&gt;=2,"重要成分","两档成分")))</x:f>
        <x:v>待定</x:v>
      </x:c>
      <x:c r="M138" s="1" t="str">
        <x:f>IF(NOT(ISNUMBER(J138)),"",IF(J138&gt;=2,3,2))</x:f>
      </x:c>
      <x:c r="N138" s="1" t="str">
        <x:f>IF(NOT(ISNUMBER(J138)),"缺少可算OAV",IF(J138&gt;=2,"最大值、中位值、低值待校准","最大值、中位值"))</x:f>
        <x:v>缺少可算OAV</x:v>
      </x:c>
      <x:c r="O138" s="1" t="str">
        <x:f>IF(NOT(ISNUMBER(J138)),"待定",IF(J138&lt;2,"不设第三档",IF(J138&lt;=5,"中位OAV≤5；低档须低于中位浓度","低档需预试确认与中档可区分")))</x:f>
        <x:v>待定</x:v>
      </x:c>
    </x:row>
    <x:row r="139" ht="23" customHeight="1">
      <x:c r="A139" s="1" t="n">
        <x:f>'浓度与阈值来源'!A139</x:f>
        <x:v>134</x:v>
      </x:c>
      <x:c r="B139" s="1" t="str">
        <x:f>IF('浓度与阈值来源'!B139="","",'浓度与阈值来源'!B139)</x:f>
        <x:v>3-苯基丙酸</x:v>
      </x:c>
      <x:c r="C139" s="1" t="str">
        <x:f>IF('浓度与阈值来源'!C139="","",'浓度与阈值来源'!C139)</x:f>
        <x:v>501-52-0</x:v>
      </x:c>
      <x:c r="D139" s="1" t="str">
        <x:v>3-phenyl propionic acid</x:v>
      </x:c>
      <x:c r="E139" s="5" t="str">
        <x:f>IF('浓度与阈值来源'!D139&gt;0,'浓度与阈值来源'!D139,"")</x:f>
      </x:c>
      <x:c r="F139" s="6" t="n">
        <x:f>COUNT('浓度与阈值来源'!E139:DM139)</x:f>
        <x:v>2</x:v>
      </x:c>
      <x:c r="G139" s="5" t="n">
        <x:f>IF(F139=0,"",MAX('浓度与阈值来源'!E139:DM139))</x:f>
        <x:v>473</x:v>
      </x:c>
      <x:c r="H139" s="5" t="n">
        <x:f>IF(F139=0,"",MEDIAN('浓度与阈值来源'!E139:DM139))</x:f>
        <x:v>423.5</x:v>
      </x:c>
      <x:c r="I139" s="7" t="str">
        <x:f>IF(AND(ISNUMBER(E139),E139&gt;0,F139&gt;0),G139/E139,"")</x:f>
      </x:c>
      <x:c r="J139" s="7" t="str">
        <x:f>IF(AND(ISNUMBER(E139),E139&gt;0,F139&gt;0),H139/E139,"")</x:f>
      </x:c>
      <x:c r="K139" s="1" t="str">
        <x:f>IF(F139=0,"无浓度数据",IF(E139="","缺周表阈值","可计算"))</x:f>
        <x:v>缺周表阈值</x:v>
      </x:c>
      <x:c r="L139" s="1" t="str">
        <x:f>IF(NOT(ISNUMBER(J139)),"待定",IF(J139&gt;50,"骨架成分",IF(J139&gt;=2,"重要成分","两档成分")))</x:f>
        <x:v>待定</x:v>
      </x:c>
      <x:c r="M139" s="1" t="str">
        <x:f>IF(NOT(ISNUMBER(J139)),"",IF(J139&gt;=2,3,2))</x:f>
      </x:c>
      <x:c r="N139" s="1" t="str">
        <x:f>IF(NOT(ISNUMBER(J139)),"缺少可算OAV",IF(J139&gt;=2,"最大值、中位值、低值待校准","最大值、中位值"))</x:f>
        <x:v>缺少可算OAV</x:v>
      </x:c>
      <x:c r="O139" s="1" t="str">
        <x:f>IF(NOT(ISNUMBER(J139)),"待定",IF(J139&lt;2,"不设第三档",IF(J139&lt;=5,"中位OAV≤5；低档须低于中位浓度","低档需预试确认与中档可区分")))</x:f>
        <x:v>待定</x:v>
      </x:c>
    </x:row>
    <x:row r="140" ht="23" customHeight="1">
      <x:c r="A140" s="1" t="n">
        <x:f>'浓度与阈值来源'!A140</x:f>
        <x:v>135</x:v>
      </x:c>
      <x:c r="B140" s="1" t="str">
        <x:f>IF('浓度与阈值来源'!B140="","",'浓度与阈值来源'!B140)</x:f>
      </x:c>
      <x:c r="C140" s="1" t="str">
        <x:f>IF('浓度与阈值来源'!C140="","",'浓度与阈值来源'!C140)</x:f>
        <x:v>502-69-2</x:v>
      </x:c>
      <x:c r="D140" s="1" t="str">
        <x:v>Fitone</x:v>
      </x:c>
      <x:c r="E140" s="5" t="str">
        <x:f>IF('浓度与阈值来源'!D140&gt;0,'浓度与阈值来源'!D140,"")</x:f>
      </x:c>
      <x:c r="F140" s="6" t="n">
        <x:f>COUNT('浓度与阈值来源'!E140:DM140)</x:f>
        <x:v>6</x:v>
      </x:c>
      <x:c r="G140" s="5" t="n">
        <x:f>IF(F140=0,"",MAX('浓度与阈值来源'!E140:DM140))</x:f>
        <x:v>508</x:v>
      </x:c>
      <x:c r="H140" s="5" t="n">
        <x:f>IF(F140=0,"",MEDIAN('浓度与阈值来源'!E140:DM140))</x:f>
        <x:v>349</x:v>
      </x:c>
      <x:c r="I140" s="7" t="str">
        <x:f>IF(AND(ISNUMBER(E140),E140&gt;0,F140&gt;0),G140/E140,"")</x:f>
      </x:c>
      <x:c r="J140" s="7" t="str">
        <x:f>IF(AND(ISNUMBER(E140),E140&gt;0,F140&gt;0),H140/E140,"")</x:f>
      </x:c>
      <x:c r="K140" s="1" t="str">
        <x:f>IF(F140=0,"无浓度数据",IF(E140="","缺周表阈值","可计算"))</x:f>
        <x:v>缺周表阈值</x:v>
      </x:c>
      <x:c r="L140" s="1" t="str">
        <x:f>IF(NOT(ISNUMBER(J140)),"待定",IF(J140&gt;50,"骨架成分",IF(J140&gt;=2,"重要成分","两档成分")))</x:f>
        <x:v>待定</x:v>
      </x:c>
      <x:c r="M140" s="1" t="str">
        <x:f>IF(NOT(ISNUMBER(J140)),"",IF(J140&gt;=2,3,2))</x:f>
      </x:c>
      <x:c r="N140" s="1" t="str">
        <x:f>IF(NOT(ISNUMBER(J140)),"缺少可算OAV",IF(J140&gt;=2,"最大值、中位值、低值待校准","最大值、中位值"))</x:f>
        <x:v>缺少可算OAV</x:v>
      </x:c>
      <x:c r="O140" s="1" t="str">
        <x:f>IF(NOT(ISNUMBER(J140)),"待定",IF(J140&lt;2,"不设第三档",IF(J140&lt;=5,"中位OAV≤5；低档须低于中位浓度","低档需预试确认与中档可区分")))</x:f>
        <x:v>待定</x:v>
      </x:c>
    </x:row>
    <x:row r="141" ht="23" customHeight="1">
      <x:c r="A141" s="1" t="n">
        <x:f>'浓度与阈值来源'!A141</x:f>
        <x:v>136</x:v>
      </x:c>
      <x:c r="B141" s="1" t="str">
        <x:f>IF('浓度与阈值来源'!B141="","",'浓度与阈值来源'!B141)</x:f>
        <x:v>异戊酸/3-甲基丁酸</x:v>
      </x:c>
      <x:c r="C141" s="1" t="str">
        <x:f>IF('浓度与阈值来源'!C141="","",'浓度与阈值来源'!C141)</x:f>
        <x:v>503-74-2</x:v>
      </x:c>
      <x:c r="D141" s="1" t="str">
        <x:v>Isovalenic acid</x:v>
      </x:c>
      <x:c r="E141" s="5" t="n">
        <x:f>IF('浓度与阈值来源'!D141&gt;0,'浓度与阈值来源'!D141,"")</x:f>
        <x:v>1050</x:v>
      </x:c>
      <x:c r="F141" s="6" t="n">
        <x:f>COUNT('浓度与阈值来源'!E141:DM141)</x:f>
        <x:v>73</x:v>
      </x:c>
      <x:c r="G141" s="5" t="n">
        <x:f>IF(F141=0,"",MAX('浓度与阈值来源'!E141:DM141))</x:f>
        <x:v>44000</x:v>
      </x:c>
      <x:c r="H141" s="5" t="n">
        <x:f>IF(F141=0,"",MEDIAN('浓度与阈值来源'!E141:DM141))</x:f>
        <x:v>3885</x:v>
      </x:c>
      <x:c r="I141" s="7" t="n">
        <x:f>IF(AND(ISNUMBER(E141),E141&gt;0,F141&gt;0),G141/E141,"")</x:f>
        <x:v>41.904761904761905</x:v>
      </x:c>
      <x:c r="J141" s="7" t="n">
        <x:f>IF(AND(ISNUMBER(E141),E141&gt;0,F141&gt;0),H141/E141,"")</x:f>
        <x:v>3.7</x:v>
      </x:c>
      <x:c r="K141" s="1" t="str">
        <x:f>IF(F141=0,"无浓度数据",IF(E141="","缺周表阈值","可计算"))</x:f>
        <x:v>可计算</x:v>
      </x:c>
      <x:c r="L141" s="1" t="str">
        <x:f>IF(NOT(ISNUMBER(J141)),"待定",IF(J141&gt;50,"骨架成分",IF(J141&gt;=2,"重要成分","两档成分")))</x:f>
        <x:v>重要成分</x:v>
      </x:c>
      <x:c r="M141" s="1" t="n">
        <x:f>IF(NOT(ISNUMBER(J141)),"",IF(J141&gt;=2,3,2))</x:f>
        <x:v>3</x:v>
      </x:c>
      <x:c r="N141" s="1" t="str">
        <x:f>IF(NOT(ISNUMBER(J141)),"缺少可算OAV",IF(J141&gt;=2,"最大值、中位值、低值待校准","最大值、中位值"))</x:f>
        <x:v>最大值、中位值、低值待校准</x:v>
      </x:c>
      <x:c r="O141" s="1" t="str">
        <x:f>IF(NOT(ISNUMBER(J141)),"待定",IF(J141&lt;2,"不设第三档",IF(J141&lt;=5,"中位OAV≤5；低档须低于中位浓度","低档需预试确认与中档可区分")))</x:f>
        <x:v>中位OAV≤5；低档须低于中位浓度</x:v>
      </x:c>
    </x:row>
    <x:row r="142" ht="23" customHeight="1">
      <x:c r="A142" s="1" t="n">
        <x:f>'浓度与阈值来源'!A142</x:f>
        <x:v>137</x:v>
      </x:c>
      <x:c r="B142" s="1" t="str">
        <x:f>IF('浓度与阈值来源'!B142="","",'浓度与阈值来源'!B142)</x:f>
      </x:c>
      <x:c r="C142" s="1" t="str">
        <x:f>IF('浓度与阈值来源'!C142="","",'浓度与阈值来源'!C142)</x:f>
        <x:v>505-10-2</x:v>
      </x:c>
      <x:c r="D142" s="1" t="str">
        <x:v>3-Methylthiopropanol</x:v>
      </x:c>
      <x:c r="E142" s="5" t="str">
        <x:f>IF('浓度与阈值来源'!D142&gt;0,'浓度与阈值来源'!D142,"")</x:f>
      </x:c>
      <x:c r="F142" s="6" t="n">
        <x:f>COUNT('浓度与阈值来源'!E142:DM142)</x:f>
        <x:v>8</x:v>
      </x:c>
      <x:c r="G142" s="5" t="n">
        <x:f>IF(F142=0,"",MAX('浓度与阈值来源'!E142:DM142))</x:f>
        <x:v>8660</x:v>
      </x:c>
      <x:c r="H142" s="5" t="n">
        <x:f>IF(F142=0,"",MEDIAN('浓度与阈值来源'!E142:DM142))</x:f>
        <x:v>2920</x:v>
      </x:c>
      <x:c r="I142" s="7" t="str">
        <x:f>IF(AND(ISNUMBER(E142),E142&gt;0,F142&gt;0),G142/E142,"")</x:f>
      </x:c>
      <x:c r="J142" s="7" t="str">
        <x:f>IF(AND(ISNUMBER(E142),E142&gt;0,F142&gt;0),H142/E142,"")</x:f>
      </x:c>
      <x:c r="K142" s="1" t="str">
        <x:f>IF(F142=0,"无浓度数据",IF(E142="","缺周表阈值","可计算"))</x:f>
        <x:v>缺周表阈值</x:v>
      </x:c>
      <x:c r="L142" s="1" t="str">
        <x:f>IF(NOT(ISNUMBER(J142)),"待定",IF(J142&gt;50,"骨架成分",IF(J142&gt;=2,"重要成分","两档成分")))</x:f>
        <x:v>待定</x:v>
      </x:c>
      <x:c r="M142" s="1" t="str">
        <x:f>IF(NOT(ISNUMBER(J142)),"",IF(J142&gt;=2,3,2))</x:f>
      </x:c>
      <x:c r="N142" s="1" t="str">
        <x:f>IF(NOT(ISNUMBER(J142)),"缺少可算OAV",IF(J142&gt;=2,"最大值、中位值、低值待校准","最大值、中位值"))</x:f>
        <x:v>缺少可算OAV</x:v>
      </x:c>
      <x:c r="O142" s="1" t="str">
        <x:f>IF(NOT(ISNUMBER(J142)),"待定",IF(J142&lt;2,"不设第三档",IF(J142&lt;=5,"中位OAV≤5；低档须低于中位浓度","低档需预试确认与中档可区分")))</x:f>
        <x:v>待定</x:v>
      </x:c>
    </x:row>
    <x:row r="143" ht="23" customHeight="1">
      <x:c r="A143" s="1" t="n">
        <x:f>'浓度与阈值来源'!A143</x:f>
        <x:v>138</x:v>
      </x:c>
      <x:c r="B143" s="1" t="str">
        <x:f>IF('浓度与阈值来源'!B143="","",'浓度与阈值来源'!B143)</x:f>
        <x:v>苯甲酸乙酯</x:v>
      </x:c>
      <x:c r="C143" s="1" t="str">
        <x:f>IF('浓度与阈值来源'!C143="","",'浓度与阈值来源'!C143)</x:f>
        <x:v>513-85-9</x:v>
      </x:c>
      <x:c r="D143" s="1"/>
      <x:c r="E143" s="5" t="n">
        <x:f>IF('浓度与阈值来源'!D143&gt;0,'浓度与阈值来源'!D143,"")</x:f>
        <x:v>407</x:v>
      </x:c>
      <x:c r="F143" s="6" t="n">
        <x:f>COUNT('浓度与阈值来源'!E143:DM143)</x:f>
        <x:v>6</x:v>
      </x:c>
      <x:c r="G143" s="5" t="n">
        <x:f>IF(F143=0,"",MAX('浓度与阈值来源'!E143:DM143))</x:f>
        <x:v>7.13</x:v>
      </x:c>
      <x:c r="H143" s="5" t="n">
        <x:f>IF(F143=0,"",MEDIAN('浓度与阈值来源'!E143:DM143))</x:f>
        <x:v>2.255</x:v>
      </x:c>
      <x:c r="I143" s="7" t="n">
        <x:f>IF(AND(ISNUMBER(E143),E143&gt;0,F143&gt;0),G143/E143,"")</x:f>
        <x:v>0.01751842751842752</x:v>
      </x:c>
      <x:c r="J143" s="7" t="n">
        <x:f>IF(AND(ISNUMBER(E143),E143&gt;0,F143&gt;0),H143/E143,"")</x:f>
        <x:v>0.00554054054054054</x:v>
      </x:c>
      <x:c r="K143" s="1" t="str">
        <x:f>IF(F143=0,"无浓度数据",IF(E143="","缺周表阈值","可计算"))</x:f>
        <x:v>可计算</x:v>
      </x:c>
      <x:c r="L143" s="1" t="str">
        <x:f>IF(NOT(ISNUMBER(J143)),"待定",IF(J143&gt;50,"骨架成分",IF(J143&gt;=2,"重要成分","两档成分")))</x:f>
        <x:v>两档成分</x:v>
      </x:c>
      <x:c r="M143" s="1" t="n">
        <x:f>IF(NOT(ISNUMBER(J143)),"",IF(J143&gt;=2,3,2))</x:f>
        <x:v>2</x:v>
      </x:c>
      <x:c r="N143" s="1" t="str">
        <x:f>IF(NOT(ISNUMBER(J143)),"缺少可算OAV",IF(J143&gt;=2,"最大值、中位值、低值待校准","最大值、中位值"))</x:f>
        <x:v>最大值、中位值</x:v>
      </x:c>
      <x:c r="O143" s="1" t="str">
        <x:f>IF(NOT(ISNUMBER(J143)),"待定",IF(J143&lt;2,"不设第三档",IF(J143&lt;=5,"中位OAV≤5；低档须低于中位浓度","低档需预试确认与中档可区分")))</x:f>
        <x:v>不设第三档</x:v>
      </x:c>
    </x:row>
    <x:row r="144" ht="23" customHeight="1">
      <x:c r="A144" s="1" t="n">
        <x:f>'浓度与阈值来源'!A144</x:f>
        <x:v>139</x:v>
      </x:c>
      <x:c r="B144" s="1" t="str">
        <x:f>IF('浓度与阈值来源'!B144="","",'浓度与阈值来源'!B144)</x:f>
        <x:v>3-羟基-2-丁酮</x:v>
      </x:c>
      <x:c r="C144" s="1" t="str">
        <x:f>IF('浓度与阈值来源'!C144="","",'浓度与阈值来源'!C144)</x:f>
        <x:v>513-86-0</x:v>
      </x:c>
      <x:c r="D144" s="1" t="str">
        <x:v>Acetoin</x:v>
      </x:c>
      <x:c r="E144" s="5" t="n">
        <x:f>IF('浓度与阈值来源'!D144&gt;0,'浓度与阈值来源'!D144,"")</x:f>
        <x:v>259</x:v>
      </x:c>
      <x:c r="F144" s="6" t="n">
        <x:f>COUNT('浓度与阈值来源'!E144:DM144)</x:f>
        <x:v>12</x:v>
      </x:c>
      <x:c r="G144" s="5" t="n">
        <x:f>IF(F144=0,"",MAX('浓度与阈值来源'!E144:DM144))</x:f>
        <x:v>420</x:v>
      </x:c>
      <x:c r="H144" s="5" t="n">
        <x:f>IF(F144=0,"",MEDIAN('浓度与阈值来源'!E144:DM144))</x:f>
        <x:v>9.85</x:v>
      </x:c>
      <x:c r="I144" s="7" t="n">
        <x:f>IF(AND(ISNUMBER(E144),E144&gt;0,F144&gt;0),G144/E144,"")</x:f>
        <x:v>1.6216216216216217</x:v>
      </x:c>
      <x:c r="J144" s="7" t="n">
        <x:f>IF(AND(ISNUMBER(E144),E144&gt;0,F144&gt;0),H144/E144,"")</x:f>
        <x:v>0.03803088803088803</x:v>
      </x:c>
      <x:c r="K144" s="1" t="str">
        <x:f>IF(F144=0,"无浓度数据",IF(E144="","缺周表阈值","可计算"))</x:f>
        <x:v>可计算</x:v>
      </x:c>
      <x:c r="L144" s="1" t="str">
        <x:f>IF(NOT(ISNUMBER(J144)),"待定",IF(J144&gt;50,"骨架成分",IF(J144&gt;=2,"重要成分","两档成分")))</x:f>
        <x:v>两档成分</x:v>
      </x:c>
      <x:c r="M144" s="1" t="n">
        <x:f>IF(NOT(ISNUMBER(J144)),"",IF(J144&gt;=2,3,2))</x:f>
        <x:v>2</x:v>
      </x:c>
      <x:c r="N144" s="1" t="str">
        <x:f>IF(NOT(ISNUMBER(J144)),"缺少可算OAV",IF(J144&gt;=2,"最大值、中位值、低值待校准","最大值、中位值"))</x:f>
        <x:v>最大值、中位值</x:v>
      </x:c>
      <x:c r="O144" s="1" t="str">
        <x:f>IF(NOT(ISNUMBER(J144)),"待定",IF(J144&lt;2,"不设第三档",IF(J144&lt;=5,"中位OAV≤5；低档须低于中位浓度","低档需预试确认与中档可区分")))</x:f>
        <x:v>不设第三档</x:v>
      </x:c>
    </x:row>
    <x:row r="145" ht="23" customHeight="1">
      <x:c r="A145" s="1" t="n">
        <x:f>'浓度与阈值来源'!A145</x:f>
        <x:v>140</x:v>
      </x:c>
      <x:c r="B145" s="1" t="str">
        <x:f>IF('浓度与阈值来源'!B145="","",'浓度与阈值来源'!B145)</x:f>
        <x:v>2-甲基呋喃</x:v>
      </x:c>
      <x:c r="C145" s="1" t="str">
        <x:f>IF('浓度与阈值来源'!C145="","",'浓度与阈值来源'!C145)</x:f>
        <x:v>534-22-5</x:v>
      </x:c>
      <x:c r="D145" s="1"/>
      <x:c r="E145" s="5" t="str">
        <x:f>IF('浓度与阈值来源'!D145&gt;0,'浓度与阈值来源'!D145,"")</x:f>
      </x:c>
      <x:c r="F145" s="6" t="n">
        <x:f>COUNT('浓度与阈值来源'!E145:DM145)</x:f>
        <x:v>1</x:v>
      </x:c>
      <x:c r="G145" s="5" t="n">
        <x:f>IF(F145=0,"",MAX('浓度与阈值来源'!E145:DM145))</x:f>
        <x:v>3</x:v>
      </x:c>
      <x:c r="H145" s="5" t="n">
        <x:f>IF(F145=0,"",MEDIAN('浓度与阈值来源'!E145:DM145))</x:f>
        <x:v>3</x:v>
      </x:c>
      <x:c r="I145" s="7" t="str">
        <x:f>IF(AND(ISNUMBER(E145),E145&gt;0,F145&gt;0),G145/E145,"")</x:f>
      </x:c>
      <x:c r="J145" s="7" t="str">
        <x:f>IF(AND(ISNUMBER(E145),E145&gt;0,F145&gt;0),H145/E145,"")</x:f>
      </x:c>
      <x:c r="K145" s="1" t="str">
        <x:f>IF(F145=0,"无浓度数据",IF(E145="","缺周表阈值","可计算"))</x:f>
        <x:v>缺周表阈值</x:v>
      </x:c>
      <x:c r="L145" s="1" t="str">
        <x:f>IF(NOT(ISNUMBER(J145)),"待定",IF(J145&gt;50,"骨架成分",IF(J145&gt;=2,"重要成分","两档成分")))</x:f>
        <x:v>待定</x:v>
      </x:c>
      <x:c r="M145" s="1" t="str">
        <x:f>IF(NOT(ISNUMBER(J145)),"",IF(J145&gt;=2,3,2))</x:f>
      </x:c>
      <x:c r="N145" s="1" t="str">
        <x:f>IF(NOT(ISNUMBER(J145)),"缺少可算OAV",IF(J145&gt;=2,"最大值、中位值、低值待校准","最大值、中位值"))</x:f>
        <x:v>缺少可算OAV</x:v>
      </x:c>
      <x:c r="O145" s="1" t="str">
        <x:f>IF(NOT(ISNUMBER(J145)),"待定",IF(J145&lt;2,"不设第三档",IF(J145&lt;=5,"中位OAV≤5；低档须低于中位浓度","低档需预试确认与中档可区分")))</x:f>
        <x:v>待定</x:v>
      </x:c>
    </x:row>
    <x:row r="146" ht="23" customHeight="1">
      <x:c r="A146" s="1" t="n">
        <x:f>'浓度与阈值来源'!A146</x:f>
        <x:v>141</x:v>
      </x:c>
      <x:c r="B146" s="1" t="str">
        <x:f>IF('浓度与阈值来源'!B146="","",'浓度与阈值来源'!B146)</x:f>
        <x:v>戊酸乙酯</x:v>
      </x:c>
      <x:c r="C146" s="1" t="str">
        <x:f>IF('浓度与阈值来源'!C146="","",'浓度与阈值来源'!C146)</x:f>
        <x:v>539-82-2</x:v>
      </x:c>
      <x:c r="D146" s="1" t="str">
        <x:v>Ethyl valerate</x:v>
      </x:c>
      <x:c r="E146" s="5" t="n">
        <x:f>IF('浓度与阈值来源'!D146&gt;0,'浓度与阈值来源'!D146,"")</x:f>
        <x:v>26.8</x:v>
      </x:c>
      <x:c r="F146" s="6" t="n">
        <x:f>COUNT('浓度与阈值来源'!E146:DM146)</x:f>
        <x:v>99</x:v>
      </x:c>
      <x:c r="G146" s="5" t="n">
        <x:f>IF(F146=0,"",MAX('浓度与阈值来源'!E146:DM146))</x:f>
        <x:v>1039840</x:v>
      </x:c>
      <x:c r="H146" s="5" t="n">
        <x:f>IF(F146=0,"",MEDIAN('浓度与阈值来源'!E146:DM146))</x:f>
        <x:v>6665</x:v>
      </x:c>
      <x:c r="I146" s="7" t="n">
        <x:f>IF(AND(ISNUMBER(E146),E146&gt;0,F146&gt;0),G146/E146,"")</x:f>
        <x:v>38800</x:v>
      </x:c>
      <x:c r="J146" s="7" t="n">
        <x:f>IF(AND(ISNUMBER(E146),E146&gt;0,F146&gt;0),H146/E146,"")</x:f>
        <x:v>248.69402985074626</x:v>
      </x:c>
      <x:c r="K146" s="1" t="str">
        <x:f>IF(F146=0,"无浓度数据",IF(E146="","缺周表阈值","可计算"))</x:f>
        <x:v>可计算</x:v>
      </x:c>
      <x:c r="L146" s="1" t="str">
        <x:f>IF(NOT(ISNUMBER(J146)),"待定",IF(J146&gt;50,"骨架成分",IF(J146&gt;=2,"重要成分","两档成分")))</x:f>
        <x:v>骨架成分</x:v>
      </x:c>
      <x:c r="M146" s="1" t="n">
        <x:f>IF(NOT(ISNUMBER(J146)),"",IF(J146&gt;=2,3,2))</x:f>
        <x:v>3</x:v>
      </x:c>
      <x:c r="N146" s="1" t="str">
        <x:f>IF(NOT(ISNUMBER(J146)),"缺少可算OAV",IF(J146&gt;=2,"最大值、中位值、低值待校准","最大值、中位值"))</x:f>
        <x:v>最大值、中位值、低值待校准</x:v>
      </x:c>
      <x:c r="O146" s="1" t="str">
        <x:f>IF(NOT(ISNUMBER(J146)),"待定",IF(J146&lt;2,"不设第三档",IF(J146&lt;=5,"中位OAV≤5；低档须低于中位浓度","低档需预试确认与中档可区分")))</x:f>
        <x:v>低档需预试确认与中档可区分</x:v>
      </x:c>
    </x:row>
    <x:row r="147" ht="23" customHeight="1">
      <x:c r="A147" s="1" t="n">
        <x:f>'浓度与阈值来源'!A147</x:f>
        <x:v>142</x:v>
      </x:c>
      <x:c r="B147" s="1" t="str">
        <x:f>IF('浓度与阈值来源'!B147="","",'浓度与阈值来源'!B147)</x:f>
        <x:v>丁酸异丁酯</x:v>
      </x:c>
      <x:c r="C147" s="1" t="str">
        <x:f>IF('浓度与阈值来源'!C147="","",'浓度与阈值来源'!C147)</x:f>
        <x:v>539-90-2</x:v>
      </x:c>
      <x:c r="D147" s="1"/>
      <x:c r="E147" s="5" t="str">
        <x:f>IF('浓度与阈值来源'!D147&gt;0,'浓度与阈值来源'!D147,"")</x:f>
      </x:c>
      <x:c r="F147" s="6" t="n">
        <x:f>COUNT('浓度与阈值来源'!E147:DM147)</x:f>
        <x:v>2</x:v>
      </x:c>
      <x:c r="G147" s="5" t="n">
        <x:f>IF(F147=0,"",MAX('浓度与阈值来源'!E147:DM147))</x:f>
        <x:v>222</x:v>
      </x:c>
      <x:c r="H147" s="5" t="n">
        <x:f>IF(F147=0,"",MEDIAN('浓度与阈值来源'!E147:DM147))</x:f>
        <x:v>170.5</x:v>
      </x:c>
      <x:c r="I147" s="7" t="str">
        <x:f>IF(AND(ISNUMBER(E147),E147&gt;0,F147&gt;0),G147/E147,"")</x:f>
      </x:c>
      <x:c r="J147" s="7" t="str">
        <x:f>IF(AND(ISNUMBER(E147),E147&gt;0,F147&gt;0),H147/E147,"")</x:f>
      </x:c>
      <x:c r="K147" s="1" t="str">
        <x:f>IF(F147=0,"无浓度数据",IF(E147="","缺周表阈值","可计算"))</x:f>
        <x:v>缺周表阈值</x:v>
      </x:c>
      <x:c r="L147" s="1" t="str">
        <x:f>IF(NOT(ISNUMBER(J147)),"待定",IF(J147&gt;50,"骨架成分",IF(J147&gt;=2,"重要成分","两档成分")))</x:f>
        <x:v>待定</x:v>
      </x:c>
      <x:c r="M147" s="1" t="str">
        <x:f>IF(NOT(ISNUMBER(J147)),"",IF(J147&gt;=2,3,2))</x:f>
      </x:c>
      <x:c r="N147" s="1" t="str">
        <x:f>IF(NOT(ISNUMBER(J147)),"缺少可算OAV",IF(J147&gt;=2,"最大值、中位值、低值待校准","最大值、中位值"))</x:f>
        <x:v>缺少可算OAV</x:v>
      </x:c>
      <x:c r="O147" s="1" t="str">
        <x:f>IF(NOT(ISNUMBER(J147)),"待定",IF(J147&lt;2,"不设第三档",IF(J147&lt;=5,"中位OAV≤5；低档须低于中位浓度","低档需预试确认与中档可区分")))</x:f>
        <x:v>待定</x:v>
      </x:c>
    </x:row>
    <x:row r="148" ht="23" customHeight="1">
      <x:c r="A148" s="1" t="n">
        <x:f>'浓度与阈值来源'!A148</x:f>
        <x:v>143</x:v>
      </x:c>
      <x:c r="B148" s="1" t="str">
        <x:f>IF('浓度与阈值来源'!B148="","",'浓度与阈值来源'!B148)</x:f>
        <x:v>4-甲基戊酸乙酯/异己酸乙酯</x:v>
      </x:c>
      <x:c r="C148" s="1" t="str">
        <x:f>IF('浓度与阈值来源'!C148="","",'浓度与阈值来源'!C148)</x:f>
        <x:v>540-07-8</x:v>
      </x:c>
      <x:c r="D148" s="1" t="str">
        <x:v>Ethyl 4-methyl valerate</x:v>
      </x:c>
      <x:c r="E148" s="5" t="str">
        <x:f>IF('浓度与阈值来源'!D148&gt;0,'浓度与阈值来源'!D148,"")</x:f>
      </x:c>
      <x:c r="F148" s="6" t="n">
        <x:f>COUNT('浓度与阈值来源'!E148:DM148)</x:f>
        <x:v>62</x:v>
      </x:c>
      <x:c r="G148" s="5" t="n">
        <x:f>IF(F148=0,"",MAX('浓度与阈值来源'!E148:DM148))</x:f>
        <x:v>40843</x:v>
      </x:c>
      <x:c r="H148" s="5" t="n">
        <x:f>IF(F148=0,"",MEDIAN('浓度与阈值来源'!E148:DM148))</x:f>
        <x:v>624.5899999999999</x:v>
      </x:c>
      <x:c r="I148" s="7" t="str">
        <x:f>IF(AND(ISNUMBER(E148),E148&gt;0,F148&gt;0),G148/E148,"")</x:f>
      </x:c>
      <x:c r="J148" s="7" t="str">
        <x:f>IF(AND(ISNUMBER(E148),E148&gt;0,F148&gt;0),H148/E148,"")</x:f>
      </x:c>
      <x:c r="K148" s="1" t="str">
        <x:f>IF(F148=0,"无浓度数据",IF(E148="","缺周表阈值","可计算"))</x:f>
        <x:v>缺周表阈值</x:v>
      </x:c>
      <x:c r="L148" s="1" t="str">
        <x:f>IF(NOT(ISNUMBER(J148)),"待定",IF(J148&gt;50,"骨架成分",IF(J148&gt;=2,"重要成分","两档成分")))</x:f>
        <x:v>待定</x:v>
      </x:c>
      <x:c r="M148" s="1" t="str">
        <x:f>IF(NOT(ISNUMBER(J148)),"",IF(J148&gt;=2,3,2))</x:f>
      </x:c>
      <x:c r="N148" s="1" t="str">
        <x:f>IF(NOT(ISNUMBER(J148)),"缺少可算OAV",IF(J148&gt;=2,"最大值、中位值、低值待校准","最大值、中位值"))</x:f>
        <x:v>缺少可算OAV</x:v>
      </x:c>
      <x:c r="O148" s="1" t="str">
        <x:f>IF(NOT(ISNUMBER(J148)),"待定",IF(J148&lt;2,"不设第三档",IF(J148&lt;=5,"中位OAV≤5；低档须低于中位浓度","低档需预试确认与中档可区分")))</x:f>
        <x:v>待定</x:v>
      </x:c>
    </x:row>
    <x:row r="149" ht="23" customHeight="1">
      <x:c r="A149" s="1" t="n">
        <x:f>'浓度与阈值来源'!A149</x:f>
        <x:v>144</x:v>
      </x:c>
      <x:c r="B149" s="1" t="str">
        <x:f>IF('浓度与阈值来源'!B149="","",'浓度与阈值来源'!B149)</x:f>
      </x:c>
      <x:c r="C149" s="1" t="str">
        <x:f>IF('浓度与阈值来源'!C149="","",'浓度与阈值来源'!C149)</x:f>
        <x:v>540-18-1</x:v>
      </x:c>
      <x:c r="D149" s="1"/>
      <x:c r="E149" s="5" t="str">
        <x:f>IF('浓度与阈值来源'!D149&gt;0,'浓度与阈值来源'!D149,"")</x:f>
      </x:c>
      <x:c r="F149" s="6" t="n">
        <x:f>COUNT('浓度与阈值来源'!E149:DM149)</x:f>
        <x:v>2</x:v>
      </x:c>
      <x:c r="G149" s="5" t="n">
        <x:f>IF(F149=0,"",MAX('浓度与阈值来源'!E149:DM149))</x:f>
        <x:v>0.85</x:v>
      </x:c>
      <x:c r="H149" s="5" t="n">
        <x:f>IF(F149=0,"",MEDIAN('浓度与阈值来源'!E149:DM149))</x:f>
        <x:v>0.45</x:v>
      </x:c>
      <x:c r="I149" s="7" t="str">
        <x:f>IF(AND(ISNUMBER(E149),E149&gt;0,F149&gt;0),G149/E149,"")</x:f>
      </x:c>
      <x:c r="J149" s="7" t="str">
        <x:f>IF(AND(ISNUMBER(E149),E149&gt;0,F149&gt;0),H149/E149,"")</x:f>
      </x:c>
      <x:c r="K149" s="1" t="str">
        <x:f>IF(F149=0,"无浓度数据",IF(E149="","缺周表阈值","可计算"))</x:f>
        <x:v>缺周表阈值</x:v>
      </x:c>
      <x:c r="L149" s="1" t="str">
        <x:f>IF(NOT(ISNUMBER(J149)),"待定",IF(J149&gt;50,"骨架成分",IF(J149&gt;=2,"重要成分","两档成分")))</x:f>
        <x:v>待定</x:v>
      </x:c>
      <x:c r="M149" s="1" t="str">
        <x:f>IF(NOT(ISNUMBER(J149)),"",IF(J149&gt;=2,3,2))</x:f>
      </x:c>
      <x:c r="N149" s="1" t="str">
        <x:f>IF(NOT(ISNUMBER(J149)),"缺少可算OAV",IF(J149&gt;=2,"最大值、中位值、低值待校准","最大值、中位值"))</x:f>
        <x:v>缺少可算OAV</x:v>
      </x:c>
      <x:c r="O149" s="1" t="str">
        <x:f>IF(NOT(ISNUMBER(J149)),"待定",IF(J149&lt;2,"不设第三档",IF(J149&lt;=5,"中位OAV≤5；低档须低于中位浓度","低档需预试确认与中档可区分")))</x:f>
        <x:v>待定</x:v>
      </x:c>
    </x:row>
    <x:row r="150" ht="23" customHeight="1">
      <x:c r="A150" s="1" t="n">
        <x:f>'浓度与阈值来源'!A150</x:f>
        <x:v>145</x:v>
      </x:c>
      <x:c r="B150" s="1" t="str">
        <x:f>IF('浓度与阈值来源'!B150="","",'浓度与阈值来源'!B150)</x:f>
      </x:c>
      <x:c r="C150" s="1" t="str">
        <x:f>IF('浓度与阈值来源'!C150="","",'浓度与阈值来源'!C150)</x:f>
        <x:v>542-10-9</x:v>
      </x:c>
      <x:c r="D150" s="1"/>
      <x:c r="E150" s="5" t="str">
        <x:f>IF('浓度与阈值来源'!D150&gt;0,'浓度与阈值来源'!D150,"")</x:f>
      </x:c>
      <x:c r="F150" s="6" t="n">
        <x:f>COUNT('浓度与阈值来源'!E150:DM150)</x:f>
        <x:v>1</x:v>
      </x:c>
      <x:c r="G150" s="5" t="n">
        <x:f>IF(F150=0,"",MAX('浓度与阈值来源'!E150:DM150))</x:f>
        <x:v>0.73</x:v>
      </x:c>
      <x:c r="H150" s="5" t="n">
        <x:f>IF(F150=0,"",MEDIAN('浓度与阈值来源'!E150:DM150))</x:f>
        <x:v>0.73</x:v>
      </x:c>
      <x:c r="I150" s="7" t="str">
        <x:f>IF(AND(ISNUMBER(E150),E150&gt;0,F150&gt;0),G150/E150,"")</x:f>
      </x:c>
      <x:c r="J150" s="7" t="str">
        <x:f>IF(AND(ISNUMBER(E150),E150&gt;0,F150&gt;0),H150/E150,"")</x:f>
      </x:c>
      <x:c r="K150" s="1" t="str">
        <x:f>IF(F150=0,"无浓度数据",IF(E150="","缺周表阈值","可计算"))</x:f>
        <x:v>缺周表阈值</x:v>
      </x:c>
      <x:c r="L150" s="1" t="str">
        <x:f>IF(NOT(ISNUMBER(J150)),"待定",IF(J150&gt;50,"骨架成分",IF(J150&gt;=2,"重要成分","两档成分")))</x:f>
        <x:v>待定</x:v>
      </x:c>
      <x:c r="M150" s="1" t="str">
        <x:f>IF(NOT(ISNUMBER(J150)),"",IF(J150&gt;=2,3,2))</x:f>
      </x:c>
      <x:c r="N150" s="1" t="str">
        <x:f>IF(NOT(ISNUMBER(J150)),"缺少可算OAV",IF(J150&gt;=2,"最大值、中位值、低值待校准","最大值、中位值"))</x:f>
        <x:v>缺少可算OAV</x:v>
      </x:c>
      <x:c r="O150" s="1" t="str">
        <x:f>IF(NOT(ISNUMBER(J150)),"待定",IF(J150&lt;2,"不设第三档",IF(J150&lt;=5,"中位OAV≤5；低档须低于中位浓度","低档需预试确认与中档可区分")))</x:f>
        <x:v>待定</x:v>
      </x:c>
    </x:row>
    <x:row r="151" ht="23" customHeight="1">
      <x:c r="A151" s="1" t="n">
        <x:f>'浓度与阈值来源'!A151</x:f>
        <x:v>146</x:v>
      </x:c>
      <x:c r="B151" s="1" t="str">
        <x:f>IF('浓度与阈值来源'!B151="","",'浓度与阈值来源'!B151)</x:f>
        <x:v>2-庚醇</x:v>
      </x:c>
      <x:c r="C151" s="1" t="str">
        <x:f>IF('浓度与阈值来源'!C151="","",'浓度与阈值来源'!C151)</x:f>
        <x:v>543-49-7</x:v>
      </x:c>
      <x:c r="D151" s="1" t="str">
        <x:v>2-Heptanol</x:v>
      </x:c>
      <x:c r="E151" s="5" t="n">
        <x:f>IF('浓度与阈值来源'!D151&gt;0,'浓度与阈值来源'!D151,"")</x:f>
        <x:v>1431</x:v>
      </x:c>
      <x:c r="F151" s="6" t="n">
        <x:f>COUNT('浓度与阈值来源'!E151:DM151)</x:f>
        <x:v>31</x:v>
      </x:c>
      <x:c r="G151" s="5" t="n">
        <x:f>IF(F151=0,"",MAX('浓度与阈值来源'!E151:DM151))</x:f>
        <x:v>1634.14</x:v>
      </x:c>
      <x:c r="H151" s="5" t="n">
        <x:f>IF(F151=0,"",MEDIAN('浓度与阈值来源'!E151:DM151))</x:f>
        <x:v>258.33</x:v>
      </x:c>
      <x:c r="I151" s="7" t="n">
        <x:f>IF(AND(ISNUMBER(E151),E151&gt;0,F151&gt;0),G151/E151,"")</x:f>
        <x:v>1.141956673654787</x:v>
      </x:c>
      <x:c r="J151" s="7" t="n">
        <x:f>IF(AND(ISNUMBER(E151),E151&gt;0,F151&gt;0),H151/E151,"")</x:f>
        <x:v>0.18052410901467505</x:v>
      </x:c>
      <x:c r="K151" s="1" t="str">
        <x:f>IF(F151=0,"无浓度数据",IF(E151="","缺周表阈值","可计算"))</x:f>
        <x:v>可计算</x:v>
      </x:c>
      <x:c r="L151" s="1" t="str">
        <x:f>IF(NOT(ISNUMBER(J151)),"待定",IF(J151&gt;50,"骨架成分",IF(J151&gt;=2,"重要成分","两档成分")))</x:f>
        <x:v>两档成分</x:v>
      </x:c>
      <x:c r="M151" s="1" t="n">
        <x:f>IF(NOT(ISNUMBER(J151)),"",IF(J151&gt;=2,3,2))</x:f>
        <x:v>2</x:v>
      </x:c>
      <x:c r="N151" s="1" t="str">
        <x:f>IF(NOT(ISNUMBER(J151)),"缺少可算OAV",IF(J151&gt;=2,"最大值、中位值、低值待校准","最大值、中位值"))</x:f>
        <x:v>最大值、中位值</x:v>
      </x:c>
      <x:c r="O151" s="1" t="str">
        <x:f>IF(NOT(ISNUMBER(J151)),"待定",IF(J151&lt;2,"不设第三档",IF(J151&lt;=5,"中位OAV≤5；低档须低于中位浓度","低档需预试确认与中档可区分")))</x:f>
        <x:v>不设第三档</x:v>
      </x:c>
    </x:row>
    <x:row r="152" ht="23" customHeight="1">
      <x:c r="A152" s="1" t="n">
        <x:f>'浓度与阈值来源'!A152</x:f>
        <x:v>147</x:v>
      </x:c>
      <x:c r="B152" s="1" t="str">
        <x:f>IF('浓度与阈值来源'!B152="","",'浓度与阈值来源'!B152)</x:f>
        <x:v>亚油酸乙酯</x:v>
      </x:c>
      <x:c r="C152" s="1" t="str">
        <x:f>IF('浓度与阈值来源'!C152="","",'浓度与阈值来源'!C152)</x:f>
        <x:v>544-35-4</x:v>
      </x:c>
      <x:c r="D152" s="1" t="str">
        <x:v>Ethyl linoleate</x:v>
      </x:c>
      <x:c r="E152" s="5" t="str">
        <x:f>IF('浓度与阈值来源'!D152&gt;0,'浓度与阈值来源'!D152,"")</x:f>
      </x:c>
      <x:c r="F152" s="6" t="n">
        <x:f>COUNT('浓度与阈值来源'!E152:DM152)</x:f>
        <x:v>18</x:v>
      </x:c>
      <x:c r="G152" s="5" t="n">
        <x:f>IF(F152=0,"",MAX('浓度与阈值来源'!E152:DM152))</x:f>
        <x:v>83690</x:v>
      </x:c>
      <x:c r="H152" s="5" t="n">
        <x:f>IF(F152=0,"",MEDIAN('浓度与阈值来源'!E152:DM152))</x:f>
        <x:v>283.43</x:v>
      </x:c>
      <x:c r="I152" s="7" t="str">
        <x:f>IF(AND(ISNUMBER(E152),E152&gt;0,F152&gt;0),G152/E152,"")</x:f>
      </x:c>
      <x:c r="J152" s="7" t="str">
        <x:f>IF(AND(ISNUMBER(E152),E152&gt;0,F152&gt;0),H152/E152,"")</x:f>
      </x:c>
      <x:c r="K152" s="1" t="str">
        <x:f>IF(F152=0,"无浓度数据",IF(E152="","缺周表阈值","可计算"))</x:f>
        <x:v>缺周表阈值</x:v>
      </x:c>
      <x:c r="L152" s="1" t="str">
        <x:f>IF(NOT(ISNUMBER(J152)),"待定",IF(J152&gt;50,"骨架成分",IF(J152&gt;=2,"重要成分","两档成分")))</x:f>
        <x:v>待定</x:v>
      </x:c>
      <x:c r="M152" s="1" t="str">
        <x:f>IF(NOT(ISNUMBER(J152)),"",IF(J152&gt;=2,3,2))</x:f>
      </x:c>
      <x:c r="N152" s="1" t="str">
        <x:f>IF(NOT(ISNUMBER(J152)),"缺少可算OAV",IF(J152&gt;=2,"最大值、中位值、低值待校准","最大值、中位值"))</x:f>
        <x:v>缺少可算OAV</x:v>
      </x:c>
      <x:c r="O152" s="1" t="str">
        <x:f>IF(NOT(ISNUMBER(J152)),"待定",IF(J152&lt;2,"不设第三档",IF(J152&lt;=5,"中位OAV≤5；低档须低于中位浓度","低档需预试确认与中档可区分")))</x:f>
        <x:v>待定</x:v>
      </x:c>
    </x:row>
    <x:row r="153" ht="23" customHeight="1">
      <x:c r="A153" s="1" t="n">
        <x:f>'浓度与阈值来源'!A153</x:f>
        <x:v>148</x:v>
      </x:c>
      <x:c r="B153" s="1" t="str">
        <x:f>IF('浓度与阈值来源'!B153="","",'浓度与阈值来源'!B153)</x:f>
      </x:c>
      <x:c r="C153" s="1" t="str">
        <x:f>IF('浓度与阈值来源'!C153="","",'浓度与阈值来源'!C153)</x:f>
        <x:v>545-49-7</x:v>
      </x:c>
      <x:c r="D153" s="1"/>
      <x:c r="E153" s="5" t="str">
        <x:f>IF('浓度与阈值来源'!D153&gt;0,'浓度与阈值来源'!D153,"")</x:f>
      </x:c>
      <x:c r="F153" s="6" t="n">
        <x:f>COUNT('浓度与阈值来源'!E153:DM153)</x:f>
        <x:v>4</x:v>
      </x:c>
      <x:c r="G153" s="5" t="n">
        <x:f>IF(F153=0,"",MAX('浓度与阈值来源'!E153:DM153))</x:f>
        <x:v>0.87</x:v>
      </x:c>
      <x:c r="H153" s="5" t="n">
        <x:f>IF(F153=0,"",MEDIAN('浓度与阈值来源'!E153:DM153))</x:f>
        <x:v>0.435</x:v>
      </x:c>
      <x:c r="I153" s="7" t="str">
        <x:f>IF(AND(ISNUMBER(E153),E153&gt;0,F153&gt;0),G153/E153,"")</x:f>
      </x:c>
      <x:c r="J153" s="7" t="str">
        <x:f>IF(AND(ISNUMBER(E153),E153&gt;0,F153&gt;0),H153/E153,"")</x:f>
      </x:c>
      <x:c r="K153" s="1" t="str">
        <x:f>IF(F153=0,"无浓度数据",IF(E153="","缺周表阈值","可计算"))</x:f>
        <x:v>缺周表阈值</x:v>
      </x:c>
      <x:c r="L153" s="1" t="str">
        <x:f>IF(NOT(ISNUMBER(J153)),"待定",IF(J153&gt;50,"骨架成分",IF(J153&gt;=2,"重要成分","两档成分")))</x:f>
        <x:v>待定</x:v>
      </x:c>
      <x:c r="M153" s="1" t="str">
        <x:f>IF(NOT(ISNUMBER(J153)),"",IF(J153&gt;=2,3,2))</x:f>
      </x:c>
      <x:c r="N153" s="1" t="str">
        <x:f>IF(NOT(ISNUMBER(J153)),"缺少可算OAV",IF(J153&gt;=2,"最大值、中位值、低值待校准","最大值、中位值"))</x:f>
        <x:v>缺少可算OAV</x:v>
      </x:c>
      <x:c r="O153" s="1" t="str">
        <x:f>IF(NOT(ISNUMBER(J153)),"待定",IF(J153&lt;2,"不设第三档",IF(J153&lt;=5,"中位OAV≤5；低档须低于中位浓度","低档需预试确认与中档可区分")))</x:f>
        <x:v>待定</x:v>
      </x:c>
    </x:row>
    <x:row r="154" ht="23" customHeight="1">
      <x:c r="A154" s="1" t="n">
        <x:f>'浓度与阈值来源'!A154</x:f>
        <x:v>149</x:v>
      </x:c>
      <x:c r="B154" s="1" t="str">
        <x:f>IF('浓度与阈值来源'!B154="","",'浓度与阈值来源'!B154)</x:f>
        <x:v>反,顺-2,6-壬二烯醛</x:v>
      </x:c>
      <x:c r="C154" s="1" t="str">
        <x:f>IF('浓度与阈值来源'!C154="","",'浓度与阈值来源'!C154)</x:f>
        <x:v>557-48-2</x:v>
      </x:c>
      <x:c r="D154" s="1"/>
      <x:c r="E154" s="5" t="n">
        <x:f>IF('浓度与阈值来源'!D154&gt;0,'浓度与阈值来源'!D154,"")</x:f>
        <x:v>0.64</x:v>
      </x:c>
      <x:c r="F154" s="6" t="n">
        <x:f>COUNT('浓度与阈值来源'!E154:DM154)</x:f>
        <x:v>16</x:v>
      </x:c>
      <x:c r="G154" s="5" t="n">
        <x:f>IF(F154=0,"",MAX('浓度与阈值来源'!E154:DM154))</x:f>
        <x:v>477.36</x:v>
      </x:c>
      <x:c r="H154" s="5" t="n">
        <x:f>IF(F154=0,"",MEDIAN('浓度与阈值来源'!E154:DM154))</x:f>
        <x:v>126.105</x:v>
      </x:c>
      <x:c r="I154" s="7" t="n">
        <x:f>IF(AND(ISNUMBER(E154),E154&gt;0,F154&gt;0),G154/E154,"")</x:f>
        <x:v>745.875</x:v>
      </x:c>
      <x:c r="J154" s="7" t="n">
        <x:f>IF(AND(ISNUMBER(E154),E154&gt;0,F154&gt;0),H154/E154,"")</x:f>
        <x:v>197.0390625</x:v>
      </x:c>
      <x:c r="K154" s="1" t="str">
        <x:f>IF(F154=0,"无浓度数据",IF(E154="","缺周表阈值","可计算"))</x:f>
        <x:v>可计算</x:v>
      </x:c>
      <x:c r="L154" s="1" t="str">
        <x:f>IF(NOT(ISNUMBER(J154)),"待定",IF(J154&gt;50,"骨架成分",IF(J154&gt;=2,"重要成分","两档成分")))</x:f>
        <x:v>骨架成分</x:v>
      </x:c>
      <x:c r="M154" s="1" t="n">
        <x:f>IF(NOT(ISNUMBER(J154)),"",IF(J154&gt;=2,3,2))</x:f>
        <x:v>3</x:v>
      </x:c>
      <x:c r="N154" s="1" t="str">
        <x:f>IF(NOT(ISNUMBER(J154)),"缺少可算OAV",IF(J154&gt;=2,"最大值、中位值、低值待校准","最大值、中位值"))</x:f>
        <x:v>最大值、中位值、低值待校准</x:v>
      </x:c>
      <x:c r="O154" s="1" t="str">
        <x:f>IF(NOT(ISNUMBER(J154)),"待定",IF(J154&lt;2,"不设第三档",IF(J154&lt;=5,"中位OAV≤5；低档须低于中位浓度","低档需预试确认与中档可区分")))</x:f>
        <x:v>低档需预试确认与中档可区分</x:v>
      </x:c>
    </x:row>
    <x:row r="155" ht="23" customHeight="1">
      <x:c r="A155" s="1" t="n">
        <x:f>'浓度与阈值来源'!A155</x:f>
        <x:v>150</x:v>
      </x:c>
      <x:c r="B155" s="1" t="str">
        <x:f>IF('浓度与阈值来源'!B155="","",'浓度与阈值来源'!B155)</x:f>
        <x:v>乳酸异丁酯</x:v>
      </x:c>
      <x:c r="C155" s="1" t="str">
        <x:f>IF('浓度与阈值来源'!C155="","",'浓度与阈值来源'!C155)</x:f>
        <x:v>585-24-0</x:v>
      </x:c>
      <x:c r="D155" s="1"/>
      <x:c r="E155" s="5" t="str">
        <x:f>IF('浓度与阈值来源'!D155&gt;0,'浓度与阈值来源'!D155,"")</x:f>
      </x:c>
      <x:c r="F155" s="6" t="n">
        <x:f>COUNT('浓度与阈值来源'!E155:DM155)</x:f>
        <x:v>16</x:v>
      </x:c>
      <x:c r="G155" s="5" t="n">
        <x:f>IF(F155=0,"",MAX('浓度与阈值来源'!E155:DM155))</x:f>
        <x:v>2503.88</x:v>
      </x:c>
      <x:c r="H155" s="5" t="n">
        <x:f>IF(F155=0,"",MEDIAN('浓度与阈值来源'!E155:DM155))</x:f>
        <x:v>590.37</x:v>
      </x:c>
      <x:c r="I155" s="7" t="str">
        <x:f>IF(AND(ISNUMBER(E155),E155&gt;0,F155&gt;0),G155/E155,"")</x:f>
      </x:c>
      <x:c r="J155" s="7" t="str">
        <x:f>IF(AND(ISNUMBER(E155),E155&gt;0,F155&gt;0),H155/E155,"")</x:f>
      </x:c>
      <x:c r="K155" s="1" t="str">
        <x:f>IF(F155=0,"无浓度数据",IF(E155="","缺周表阈值","可计算"))</x:f>
        <x:v>缺周表阈值</x:v>
      </x:c>
      <x:c r="L155" s="1" t="str">
        <x:f>IF(NOT(ISNUMBER(J155)),"待定",IF(J155&gt;50,"骨架成分",IF(J155&gt;=2,"重要成分","两档成分")))</x:f>
        <x:v>待定</x:v>
      </x:c>
      <x:c r="M155" s="1" t="str">
        <x:f>IF(NOT(ISNUMBER(J155)),"",IF(J155&gt;=2,3,2))</x:f>
      </x:c>
      <x:c r="N155" s="1" t="str">
        <x:f>IF(NOT(ISNUMBER(J155)),"缺少可算OAV",IF(J155&gt;=2,"最大值、中位值、低值待校准","最大值、中位值"))</x:f>
        <x:v>缺少可算OAV</x:v>
      </x:c>
      <x:c r="O155" s="1" t="str">
        <x:f>IF(NOT(ISNUMBER(J155)),"待定",IF(J155&lt;2,"不设第三档",IF(J155&lt;=5,"中位OAV≤5；低档须低于中位浓度","低档需预试确认与中档可区分")))</x:f>
        <x:v>待定</x:v>
      </x:c>
    </x:row>
    <x:row r="156" ht="23" customHeight="1">
      <x:c r="A156" s="1" t="n">
        <x:f>'浓度与阈值来源'!A156</x:f>
        <x:v>151</x:v>
      </x:c>
      <x:c r="B156" s="1" t="str">
        <x:f>IF('浓度与阈值来源'!B156="","",'浓度与阈值来源'!B156)</x:f>
        <x:v>3-辛醇</x:v>
      </x:c>
      <x:c r="C156" s="1" t="str">
        <x:f>IF('浓度与阈值来源'!C156="","",'浓度与阈值来源'!C156)</x:f>
        <x:v>589-98-0</x:v>
      </x:c>
      <x:c r="D156" s="1"/>
      <x:c r="E156" s="5" t="n">
        <x:f>IF('浓度与阈值来源'!D156&gt;0,'浓度与阈值来源'!D156,"")</x:f>
        <x:v>483</x:v>
      </x:c>
      <x:c r="F156" s="6" t="n">
        <x:f>COUNT('浓度与阈值来源'!E156:DM156)</x:f>
        <x:v>30</x:v>
      </x:c>
      <x:c r="G156" s="5" t="n">
        <x:f>IF(F156=0,"",MAX('浓度与阈值来源'!E156:DM156))</x:f>
        <x:v>394.15</x:v>
      </x:c>
      <x:c r="H156" s="5" t="n">
        <x:f>IF(F156=0,"",MEDIAN('浓度与阈值来源'!E156:DM156))</x:f>
        <x:v>104.28</x:v>
      </x:c>
      <x:c r="I156" s="7" t="n">
        <x:f>IF(AND(ISNUMBER(E156),E156&gt;0,F156&gt;0),G156/E156,"")</x:f>
        <x:v>0.8160455486542443</x:v>
      </x:c>
      <x:c r="J156" s="7" t="n">
        <x:f>IF(AND(ISNUMBER(E156),E156&gt;0,F156&gt;0),H156/E156,"")</x:f>
        <x:v>0.21590062111801242</x:v>
      </x:c>
      <x:c r="K156" s="1" t="str">
        <x:f>IF(F156=0,"无浓度数据",IF(E156="","缺周表阈值","可计算"))</x:f>
        <x:v>可计算</x:v>
      </x:c>
      <x:c r="L156" s="1" t="str">
        <x:f>IF(NOT(ISNUMBER(J156)),"待定",IF(J156&gt;50,"骨架成分",IF(J156&gt;=2,"重要成分","两档成分")))</x:f>
        <x:v>两档成分</x:v>
      </x:c>
      <x:c r="M156" s="1" t="n">
        <x:f>IF(NOT(ISNUMBER(J156)),"",IF(J156&gt;=2,3,2))</x:f>
        <x:v>2</x:v>
      </x:c>
      <x:c r="N156" s="1" t="str">
        <x:f>IF(NOT(ISNUMBER(J156)),"缺少可算OAV",IF(J156&gt;=2,"最大值、中位值、低值待校准","最大值、中位值"))</x:f>
        <x:v>最大值、中位值</x:v>
      </x:c>
      <x:c r="O156" s="1" t="str">
        <x:f>IF(NOT(ISNUMBER(J156)),"待定",IF(J156&lt;2,"不设第三档",IF(J156&lt;=5,"中位OAV≤5；低档须低于中位浓度","低档需预试确认与中档可区分")))</x:f>
        <x:v>不设第三档</x:v>
      </x:c>
    </x:row>
    <x:row r="157" ht="23" customHeight="1">
      <x:c r="A157" s="1" t="n">
        <x:f>'浓度与阈值来源'!A157</x:f>
        <x:v>152</x:v>
      </x:c>
      <x:c r="B157" s="1" t="str">
        <x:f>IF('浓度与阈值来源'!B157="","",'浓度与阈值来源'!B157)</x:f>
        <x:v>异戊醛</x:v>
      </x:c>
      <x:c r="C157" s="1" t="str">
        <x:f>IF('浓度与阈值来源'!C157="","",'浓度与阈值来源'!C157)</x:f>
        <x:v>590-86-3</x:v>
      </x:c>
      <x:c r="D157" s="1" t="str">
        <x:v>Isovaleraldehyde</x:v>
      </x:c>
      <x:c r="E157" s="5" t="n">
        <x:f>IF('浓度与阈值来源'!D157&gt;0,'浓度与阈值来源'!D157,"")</x:f>
        <x:v>16.5</x:v>
      </x:c>
      <x:c r="F157" s="6" t="n">
        <x:f>COUNT('浓度与阈值来源'!E157:DM157)</x:f>
        <x:v>53</x:v>
      </x:c>
      <x:c r="G157" s="5" t="n">
        <x:f>IF(F157=0,"",MAX('浓度与阈值来源'!E157:DM157))</x:f>
        <x:v>227200</x:v>
      </x:c>
      <x:c r="H157" s="5" t="n">
        <x:f>IF(F157=0,"",MEDIAN('浓度与阈值来源'!E157:DM157))</x:f>
        <x:v>5545</x:v>
      </x:c>
      <x:c r="I157" s="7" t="n">
        <x:f>IF(AND(ISNUMBER(E157),E157&gt;0,F157&gt;0),G157/E157,"")</x:f>
        <x:v>13769.69696969697</x:v>
      </x:c>
      <x:c r="J157" s="7" t="n">
        <x:f>IF(AND(ISNUMBER(E157),E157&gt;0,F157&gt;0),H157/E157,"")</x:f>
        <x:v>336.06060606060606</x:v>
      </x:c>
      <x:c r="K157" s="1" t="str">
        <x:f>IF(F157=0,"无浓度数据",IF(E157="","缺周表阈值","可计算"))</x:f>
        <x:v>可计算</x:v>
      </x:c>
      <x:c r="L157" s="1" t="str">
        <x:f>IF(NOT(ISNUMBER(J157)),"待定",IF(J157&gt;50,"骨架成分",IF(J157&gt;=2,"重要成分","两档成分")))</x:f>
        <x:v>骨架成分</x:v>
      </x:c>
      <x:c r="M157" s="1" t="n">
        <x:f>IF(NOT(ISNUMBER(J157)),"",IF(J157&gt;=2,3,2))</x:f>
        <x:v>3</x:v>
      </x:c>
      <x:c r="N157" s="1" t="str">
        <x:f>IF(NOT(ISNUMBER(J157)),"缺少可算OAV",IF(J157&gt;=2,"最大值、中位值、低值待校准","最大值、中位值"))</x:f>
        <x:v>最大值、中位值、低值待校准</x:v>
      </x:c>
      <x:c r="O157" s="1" t="str">
        <x:f>IF(NOT(ISNUMBER(J157)),"待定",IF(J157&lt;2,"不设第三档",IF(J157&lt;=5,"中位OAV≤5；低档须低于中位浓度","低档需预试确认与中档可区分")))</x:f>
        <x:v>低档需预试确认与中档可区分</x:v>
      </x:c>
    </x:row>
    <x:row r="158" ht="23" customHeight="1">
      <x:c r="A158" s="1" t="n">
        <x:f>'浓度与阈值来源'!A158</x:f>
        <x:v>153</x:v>
      </x:c>
      <x:c r="B158" s="1" t="str">
        <x:f>IF('浓度与阈值来源'!B158="","",'浓度与阈值来源'!B158)</x:f>
        <x:v>戊酸丁酯</x:v>
      </x:c>
      <x:c r="C158" s="1" t="str">
        <x:f>IF('浓度与阈值来源'!C158="","",'浓度与阈值来源'!C158)</x:f>
        <x:v>591-68-4</x:v>
      </x:c>
      <x:c r="D158" s="1" t="str">
        <x:v>Butyl valerate</x:v>
      </x:c>
      <x:c r="E158" s="5" t="str">
        <x:f>IF('浓度与阈值来源'!D158&gt;0,'浓度与阈值来源'!D158,"")</x:f>
      </x:c>
      <x:c r="F158" s="6" t="n">
        <x:f>COUNT('浓度与阈值来源'!E158:DM158)</x:f>
        <x:v>12</x:v>
      </x:c>
      <x:c r="G158" s="5" t="n">
        <x:f>IF(F158=0,"",MAX('浓度与阈值来源'!E158:DM158))</x:f>
        <x:v>3381</x:v>
      </x:c>
      <x:c r="H158" s="5" t="n">
        <x:f>IF(F158=0,"",MEDIAN('浓度与阈值来源'!E158:DM158))</x:f>
        <x:v>240</x:v>
      </x:c>
      <x:c r="I158" s="7" t="str">
        <x:f>IF(AND(ISNUMBER(E158),E158&gt;0,F158&gt;0),G158/E158,"")</x:f>
      </x:c>
      <x:c r="J158" s="7" t="str">
        <x:f>IF(AND(ISNUMBER(E158),E158&gt;0,F158&gt;0),H158/E158,"")</x:f>
      </x:c>
      <x:c r="K158" s="1" t="str">
        <x:f>IF(F158=0,"无浓度数据",IF(E158="","缺周表阈值","可计算"))</x:f>
        <x:v>缺周表阈值</x:v>
      </x:c>
      <x:c r="L158" s="1" t="str">
        <x:f>IF(NOT(ISNUMBER(J158)),"待定",IF(J158&gt;50,"骨架成分",IF(J158&gt;=2,"重要成分","两档成分")))</x:f>
        <x:v>待定</x:v>
      </x:c>
      <x:c r="M158" s="1" t="str">
        <x:f>IF(NOT(ISNUMBER(J158)),"",IF(J158&gt;=2,3,2))</x:f>
      </x:c>
      <x:c r="N158" s="1" t="str">
        <x:f>IF(NOT(ISNUMBER(J158)),"缺少可算OAV",IF(J158&gt;=2,"最大值、中位值、低值待校准","最大值、中位值"))</x:f>
        <x:v>缺少可算OAV</x:v>
      </x:c>
      <x:c r="O158" s="1" t="str">
        <x:f>IF(NOT(ISNUMBER(J158)),"待定",IF(J158&lt;2,"不设第三档",IF(J158&lt;=5,"中位OAV≤5；低档须低于中位浓度","低档需预试确认与中档可区分")))</x:f>
        <x:v>待定</x:v>
      </x:c>
    </x:row>
    <x:row r="159" ht="23" customHeight="1">
      <x:c r="A159" s="1" t="n">
        <x:f>'浓度与阈值来源'!A159</x:f>
        <x:v>154</x:v>
      </x:c>
      <x:c r="B159" s="1" t="str">
        <x:f>IF('浓度与阈值来源'!B159="","",'浓度与阈值来源'!B159)</x:f>
      </x:c>
      <x:c r="C159" s="1" t="str">
        <x:f>IF('浓度与阈值来源'!C159="","",'浓度与阈值来源'!C159)</x:f>
        <x:v>592-84-7</x:v>
      </x:c>
      <x:c r="D159" s="1" t="str">
        <x:v>Butyl formate</x:v>
      </x:c>
      <x:c r="E159" s="5" t="str">
        <x:f>IF('浓度与阈值来源'!D159&gt;0,'浓度与阈值来源'!D159,"")</x:f>
      </x:c>
      <x:c r="F159" s="6" t="n">
        <x:f>COUNT('浓度与阈值来源'!E159:DM159)</x:f>
        <x:v>4</x:v>
      </x:c>
      <x:c r="G159" s="5" t="n">
        <x:f>IF(F159=0,"",MAX('浓度与阈值来源'!E159:DM159))</x:f>
        <x:v>71</x:v>
      </x:c>
      <x:c r="H159" s="5" t="n">
        <x:f>IF(F159=0,"",MEDIAN('浓度与阈值来源'!E159:DM159))</x:f>
        <x:v>32.315</x:v>
      </x:c>
      <x:c r="I159" s="7" t="str">
        <x:f>IF(AND(ISNUMBER(E159),E159&gt;0,F159&gt;0),G159/E159,"")</x:f>
      </x:c>
      <x:c r="J159" s="7" t="str">
        <x:f>IF(AND(ISNUMBER(E159),E159&gt;0,F159&gt;0),H159/E159,"")</x:f>
      </x:c>
      <x:c r="K159" s="1" t="str">
        <x:f>IF(F159=0,"无浓度数据",IF(E159="","缺周表阈值","可计算"))</x:f>
        <x:v>缺周表阈值</x:v>
      </x:c>
      <x:c r="L159" s="1" t="str">
        <x:f>IF(NOT(ISNUMBER(J159)),"待定",IF(J159&gt;50,"骨架成分",IF(J159&gt;=2,"重要成分","两档成分")))</x:f>
        <x:v>待定</x:v>
      </x:c>
      <x:c r="M159" s="1" t="str">
        <x:f>IF(NOT(ISNUMBER(J159)),"",IF(J159&gt;=2,3,2))</x:f>
      </x:c>
      <x:c r="N159" s="1" t="str">
        <x:f>IF(NOT(ISNUMBER(J159)),"缺少可算OAV",IF(J159&gt;=2,"最大值、中位值、低值待校准","最大值、中位值"))</x:f>
        <x:v>缺少可算OAV</x:v>
      </x:c>
      <x:c r="O159" s="1" t="str">
        <x:f>IF(NOT(ISNUMBER(J159)),"待定",IF(J159&lt;2,"不设第三档",IF(J159&lt;=5,"中位OAV≤5；低档须低于中位浓度","低档需预试确认与中档可区分")))</x:f>
        <x:v>待定</x:v>
      </x:c>
    </x:row>
    <x:row r="160" ht="23" customHeight="1">
      <x:c r="A160" s="1" t="n">
        <x:f>'浓度与阈值来源'!A160</x:f>
        <x:v>155</x:v>
      </x:c>
      <x:c r="B160" s="1" t="str">
        <x:f>IF('浓度与阈值来源'!B160="","",'浓度与阈值来源'!B160)</x:f>
      </x:c>
      <x:c r="C160" s="1" t="str">
        <x:f>IF('浓度与阈值来源'!C160="","",'浓度与阈值来源'!C160)</x:f>
        <x:v>598-75-4</x:v>
      </x:c>
      <x:c r="D160" s="1"/>
      <x:c r="E160" s="5" t="str">
        <x:f>IF('浓度与阈值来源'!D160&gt;0,'浓度与阈值来源'!D160,"")</x:f>
      </x:c>
      <x:c r="F160" s="6" t="n">
        <x:f>COUNT('浓度与阈值来源'!E160:DM160)</x:f>
        <x:v>5</x:v>
      </x:c>
      <x:c r="G160" s="5" t="n">
        <x:f>IF(F160=0,"",MAX('浓度与阈值来源'!E160:DM160))</x:f>
        <x:v>8.43</x:v>
      </x:c>
      <x:c r="H160" s="5" t="n">
        <x:f>IF(F160=0,"",MEDIAN('浓度与阈值来源'!E160:DM160))</x:f>
        <x:v>3.39</x:v>
      </x:c>
      <x:c r="I160" s="7" t="str">
        <x:f>IF(AND(ISNUMBER(E160),E160&gt;0,F160&gt;0),G160/E160,"")</x:f>
      </x:c>
      <x:c r="J160" s="7" t="str">
        <x:f>IF(AND(ISNUMBER(E160),E160&gt;0,F160&gt;0),H160/E160,"")</x:f>
      </x:c>
      <x:c r="K160" s="1" t="str">
        <x:f>IF(F160=0,"无浓度数据",IF(E160="","缺周表阈值","可计算"))</x:f>
        <x:v>缺周表阈值</x:v>
      </x:c>
      <x:c r="L160" s="1" t="str">
        <x:f>IF(NOT(ISNUMBER(J160)),"待定",IF(J160&gt;50,"骨架成分",IF(J160&gt;=2,"重要成分","两档成分")))</x:f>
        <x:v>待定</x:v>
      </x:c>
      <x:c r="M160" s="1" t="str">
        <x:f>IF(NOT(ISNUMBER(J160)),"",IF(J160&gt;=2,3,2))</x:f>
      </x:c>
      <x:c r="N160" s="1" t="str">
        <x:f>IF(NOT(ISNUMBER(J160)),"缺少可算OAV",IF(J160&gt;=2,"最大值、中位值、低值待校准","最大值、中位值"))</x:f>
        <x:v>缺少可算OAV</x:v>
      </x:c>
      <x:c r="O160" s="1" t="str">
        <x:f>IF(NOT(ISNUMBER(J160)),"待定",IF(J160&lt;2,"不设第三档",IF(J160&lt;=5,"中位OAV≤5；低档须低于中位浓度","低档需预试确认与中档可区分")))</x:f>
        <x:v>待定</x:v>
      </x:c>
    </x:row>
    <x:row r="161" ht="23" customHeight="1">
      <x:c r="A161" s="1" t="n">
        <x:f>'浓度与阈值来源'!A161</x:f>
        <x:v>156</x:v>
      </x:c>
      <x:c r="B161" s="1" t="str">
        <x:f>IF('浓度与阈值来源'!B161="","",'浓度与阈值来源'!B161)</x:f>
        <x:v>2-糠醛乙酯</x:v>
      </x:c>
      <x:c r="C161" s="1" t="str">
        <x:f>IF('浓度与阈值来源'!C161="","",'浓度与阈值来源'!C161)</x:f>
        <x:v>614-99-3</x:v>
      </x:c>
      <x:c r="D161" s="1" t="str">
        <x:v>ethyl 2-furoate</x:v>
      </x:c>
      <x:c r="E161" s="5" t="str">
        <x:f>IF('浓度与阈值来源'!D161&gt;0,'浓度与阈值来源'!D161,"")</x:f>
      </x:c>
      <x:c r="F161" s="6" t="n">
        <x:f>COUNT('浓度与阈值来源'!E161:DM161)</x:f>
        <x:v>15</x:v>
      </x:c>
      <x:c r="G161" s="5" t="n">
        <x:f>IF(F161=0,"",MAX('浓度与阈值来源'!E161:DM161))</x:f>
        <x:v>900.27</x:v>
      </x:c>
      <x:c r="H161" s="5" t="n">
        <x:f>IF(F161=0,"",MEDIAN('浓度与阈值来源'!E161:DM161))</x:f>
        <x:v>771.04</x:v>
      </x:c>
      <x:c r="I161" s="7" t="str">
        <x:f>IF(AND(ISNUMBER(E161),E161&gt;0,F161&gt;0),G161/E161,"")</x:f>
      </x:c>
      <x:c r="J161" s="7" t="str">
        <x:f>IF(AND(ISNUMBER(E161),E161&gt;0,F161&gt;0),H161/E161,"")</x:f>
      </x:c>
      <x:c r="K161" s="1" t="str">
        <x:f>IF(F161=0,"无浓度数据",IF(E161="","缺周表阈值","可计算"))</x:f>
        <x:v>缺周表阈值</x:v>
      </x:c>
      <x:c r="L161" s="1" t="str">
        <x:f>IF(NOT(ISNUMBER(J161)),"待定",IF(J161&gt;50,"骨架成分",IF(J161&gt;=2,"重要成分","两档成分")))</x:f>
        <x:v>待定</x:v>
      </x:c>
      <x:c r="M161" s="1" t="str">
        <x:f>IF(NOT(ISNUMBER(J161)),"",IF(J161&gt;=2,3,2))</x:f>
      </x:c>
      <x:c r="N161" s="1" t="str">
        <x:f>IF(NOT(ISNUMBER(J161)),"缺少可算OAV",IF(J161&gt;=2,"最大值、中位值、低值待校准","最大值、中位值"))</x:f>
        <x:v>缺少可算OAV</x:v>
      </x:c>
      <x:c r="O161" s="1" t="str">
        <x:f>IF(NOT(ISNUMBER(J161)),"待定",IF(J161&lt;2,"不设第三档",IF(J161&lt;=5,"中位OAV≤5；低档须低于中位浓度","低档需预试确认与中档可区分")))</x:f>
        <x:v>待定</x:v>
      </x:c>
    </x:row>
    <x:row r="162" ht="23" customHeight="1">
      <x:c r="A162" s="1" t="n">
        <x:f>'浓度与阈值来源'!A162</x:f>
        <x:v>157</x:v>
      </x:c>
      <x:c r="B162" s="1" t="str">
        <x:f>IF('浓度与阈值来源'!B162="","",'浓度与阈值来源'!B162)</x:f>
        <x:v>乳酸丙酯</x:v>
      </x:c>
      <x:c r="C162" s="1" t="str">
        <x:f>IF('浓度与阈值来源'!C162="","",'浓度与阈值来源'!C162)</x:f>
        <x:v>616-09-1</x:v>
      </x:c>
      <x:c r="D162" s="1"/>
      <x:c r="E162" s="5" t="str">
        <x:f>IF('浓度与阈值来源'!D162&gt;0,'浓度与阈值来源'!D162,"")</x:f>
      </x:c>
      <x:c r="F162" s="6" t="n">
        <x:f>COUNT('浓度与阈值来源'!E162:DM162)</x:f>
        <x:v>2</x:v>
      </x:c>
      <x:c r="G162" s="5" t="n">
        <x:f>IF(F162=0,"",MAX('浓度与阈值来源'!E162:DM162))</x:f>
        <x:v>9190</x:v>
      </x:c>
      <x:c r="H162" s="5" t="n">
        <x:f>IF(F162=0,"",MEDIAN('浓度与阈值来源'!E162:DM162))</x:f>
        <x:v>5830</x:v>
      </x:c>
      <x:c r="I162" s="7" t="str">
        <x:f>IF(AND(ISNUMBER(E162),E162&gt;0,F162&gt;0),G162/E162,"")</x:f>
      </x:c>
      <x:c r="J162" s="7" t="str">
        <x:f>IF(AND(ISNUMBER(E162),E162&gt;0,F162&gt;0),H162/E162,"")</x:f>
      </x:c>
      <x:c r="K162" s="1" t="str">
        <x:f>IF(F162=0,"无浓度数据",IF(E162="","缺周表阈值","可计算"))</x:f>
        <x:v>缺周表阈值</x:v>
      </x:c>
      <x:c r="L162" s="1" t="str">
        <x:f>IF(NOT(ISNUMBER(J162)),"待定",IF(J162&gt;50,"骨架成分",IF(J162&gt;=2,"重要成分","两档成分")))</x:f>
        <x:v>待定</x:v>
      </x:c>
      <x:c r="M162" s="1" t="str">
        <x:f>IF(NOT(ISNUMBER(J162)),"",IF(J162&gt;=2,3,2))</x:f>
      </x:c>
      <x:c r="N162" s="1" t="str">
        <x:f>IF(NOT(ISNUMBER(J162)),"缺少可算OAV",IF(J162&gt;=2,"最大值、中位值、低值待校准","最大值、中位值"))</x:f>
        <x:v>缺少可算OAV</x:v>
      </x:c>
      <x:c r="O162" s="1" t="str">
        <x:f>IF(NOT(ISNUMBER(J162)),"待定",IF(J162&lt;2,"不设第三档",IF(J162&lt;=5,"中位OAV≤5；低档须低于中位浓度","低档需预试确认与中档可区分")))</x:f>
        <x:v>待定</x:v>
      </x:c>
    </x:row>
    <x:row r="163" ht="23" customHeight="1">
      <x:c r="A163" s="1" t="n">
        <x:f>'浓度与阈值来源'!A163</x:f>
        <x:v>158</x:v>
      </x:c>
      <x:c r="B163" s="1" t="str">
        <x:f>IF('浓度与阈值来源'!B163="","",'浓度与阈值来源'!B163)</x:f>
      </x:c>
      <x:c r="C163" s="1" t="str">
        <x:f>IF('浓度与阈值来源'!C163="","",'浓度与阈值来源'!C163)</x:f>
        <x:v>617-35-6</x:v>
      </x:c>
      <x:c r="D163" s="1" t="str">
        <x:v>Ethyl pyruvate</x:v>
      </x:c>
      <x:c r="E163" s="5" t="str">
        <x:f>IF('浓度与阈值来源'!D163&gt;0,'浓度与阈值来源'!D163,"")</x:f>
      </x:c>
      <x:c r="F163" s="6" t="n">
        <x:f>COUNT('浓度与阈值来源'!E163:DM163)</x:f>
        <x:v>7</x:v>
      </x:c>
      <x:c r="G163" s="5" t="n">
        <x:f>IF(F163=0,"",MAX('浓度与阈值来源'!E163:DM163))</x:f>
        <x:v>4034</x:v>
      </x:c>
      <x:c r="H163" s="5" t="n">
        <x:f>IF(F163=0,"",MEDIAN('浓度与阈值来源'!E163:DM163))</x:f>
        <x:v>2518</x:v>
      </x:c>
      <x:c r="I163" s="7" t="str">
        <x:f>IF(AND(ISNUMBER(E163),E163&gt;0,F163&gt;0),G163/E163,"")</x:f>
      </x:c>
      <x:c r="J163" s="7" t="str">
        <x:f>IF(AND(ISNUMBER(E163),E163&gt;0,F163&gt;0),H163/E163,"")</x:f>
      </x:c>
      <x:c r="K163" s="1" t="str">
        <x:f>IF(F163=0,"无浓度数据",IF(E163="","缺周表阈值","可计算"))</x:f>
        <x:v>缺周表阈值</x:v>
      </x:c>
      <x:c r="L163" s="1" t="str">
        <x:f>IF(NOT(ISNUMBER(J163)),"待定",IF(J163&gt;50,"骨架成分",IF(J163&gt;=2,"重要成分","两档成分")))</x:f>
        <x:v>待定</x:v>
      </x:c>
      <x:c r="M163" s="1" t="str">
        <x:f>IF(NOT(ISNUMBER(J163)),"",IF(J163&gt;=2,3,2))</x:f>
      </x:c>
      <x:c r="N163" s="1" t="str">
        <x:f>IF(NOT(ISNUMBER(J163)),"缺少可算OAV",IF(J163&gt;=2,"最大值、中位值、低值待校准","最大值、中位值"))</x:f>
        <x:v>缺少可算OAV</x:v>
      </x:c>
      <x:c r="O163" s="1" t="str">
        <x:f>IF(NOT(ISNUMBER(J163)),"待定",IF(J163&lt;2,"不设第三档",IF(J163&lt;=5,"中位OAV≤5；低档须低于中位浓度","低档需预试确认与中档可区分")))</x:f>
        <x:v>待定</x:v>
      </x:c>
    </x:row>
    <x:row r="164" ht="23" customHeight="1">
      <x:c r="A164" s="1" t="n">
        <x:f>'浓度与阈值来源'!A164</x:f>
        <x:v>159</x:v>
      </x:c>
      <x:c r="B164" s="1" t="str">
        <x:f>IF('浓度与阈值来源'!B164="","",'浓度与阈值来源'!B164)</x:f>
        <x:v>5-甲基-2-糠醛</x:v>
      </x:c>
      <x:c r="C164" s="1" t="str">
        <x:f>IF('浓度与阈值来源'!C164="","",'浓度与阈值来源'!C164)</x:f>
        <x:v>620-02-0</x:v>
      </x:c>
      <x:c r="D164" s="1"/>
      <x:c r="E164" s="5" t="str">
        <x:f>IF('浓度与阈值来源'!D164&gt;0,'浓度与阈值来源'!D164,"")</x:f>
      </x:c>
      <x:c r="F164" s="6" t="n">
        <x:f>COUNT('浓度与阈值来源'!E164:DM164)</x:f>
        <x:v>14</x:v>
      </x:c>
      <x:c r="G164" s="5" t="n">
        <x:f>IF(F164=0,"",MAX('浓度与阈值来源'!E164:DM164))</x:f>
        <x:v>529.51</x:v>
      </x:c>
      <x:c r="H164" s="5" t="n">
        <x:f>IF(F164=0,"",MEDIAN('浓度与阈值来源'!E164:DM164))</x:f>
        <x:v>202.9475</x:v>
      </x:c>
      <x:c r="I164" s="7" t="str">
        <x:f>IF(AND(ISNUMBER(E164),E164&gt;0,F164&gt;0),G164/E164,"")</x:f>
      </x:c>
      <x:c r="J164" s="7" t="str">
        <x:f>IF(AND(ISNUMBER(E164),E164&gt;0,F164&gt;0),H164/E164,"")</x:f>
      </x:c>
      <x:c r="K164" s="1" t="str">
        <x:f>IF(F164=0,"无浓度数据",IF(E164="","缺周表阈值","可计算"))</x:f>
        <x:v>缺周表阈值</x:v>
      </x:c>
      <x:c r="L164" s="1" t="str">
        <x:f>IF(NOT(ISNUMBER(J164)),"待定",IF(J164&gt;50,"骨架成分",IF(J164&gt;=2,"重要成分","两档成分")))</x:f>
        <x:v>待定</x:v>
      </x:c>
      <x:c r="M164" s="1" t="str">
        <x:f>IF(NOT(ISNUMBER(J164)),"",IF(J164&gt;=2,3,2))</x:f>
      </x:c>
      <x:c r="N164" s="1" t="str">
        <x:f>IF(NOT(ISNUMBER(J164)),"缺少可算OAV",IF(J164&gt;=2,"最大值、中位值、低值待校准","最大值、中位值"))</x:f>
        <x:v>缺少可算OAV</x:v>
      </x:c>
      <x:c r="O164" s="1" t="str">
        <x:f>IF(NOT(ISNUMBER(J164)),"待定",IF(J164&lt;2,"不设第三档",IF(J164&lt;=5,"中位OAV≤5；低档须低于中位浓度","低档需预试确认与中档可区分")))</x:f>
        <x:v>待定</x:v>
      </x:c>
    </x:row>
    <x:row r="165" ht="23" customHeight="1">
      <x:c r="A165" s="1" t="n">
        <x:f>'浓度与阈值来源'!A165</x:f>
        <x:v>160</x:v>
      </x:c>
      <x:c r="B165" s="1" t="str">
        <x:f>IF('浓度与阈值来源'!B165="","",'浓度与阈值来源'!B165)</x:f>
        <x:v>乙酸糠酯</x:v>
      </x:c>
      <x:c r="C165" s="1" t="str">
        <x:f>IF('浓度与阈值来源'!C165="","",'浓度与阈值来源'!C165)</x:f>
        <x:v>623-17-6</x:v>
      </x:c>
      <x:c r="D165" s="1" t="str">
        <x:v>furfuryl acetate</x:v>
      </x:c>
      <x:c r="E165" s="5" t="n">
        <x:f>IF('浓度与阈值来源'!D165&gt;0,'浓度与阈值来源'!D165,"")</x:f>
        <x:v>26050</x:v>
      </x:c>
      <x:c r="F165" s="6" t="n">
        <x:f>COUNT('浓度与阈值来源'!E165:DM165)</x:f>
        <x:v>18</x:v>
      </x:c>
      <x:c r="G165" s="5" t="n">
        <x:f>IF(F165=0,"",MAX('浓度与阈值来源'!E165:DM165))</x:f>
        <x:v>114</x:v>
      </x:c>
      <x:c r="H165" s="5" t="n">
        <x:f>IF(F165=0,"",MEDIAN('浓度与阈值来源'!E165:DM165))</x:f>
        <x:v>70.5</x:v>
      </x:c>
      <x:c r="I165" s="7" t="n">
        <x:f>IF(AND(ISNUMBER(E165),E165&gt;0,F165&gt;0),G165/E165,"")</x:f>
        <x:v>0.004376199616122841</x:v>
      </x:c>
      <x:c r="J165" s="7" t="n">
        <x:f>IF(AND(ISNUMBER(E165),E165&gt;0,F165&gt;0),H165/E165,"")</x:f>
        <x:v>0.002706333973128599</x:v>
      </x:c>
      <x:c r="K165" s="1" t="str">
        <x:f>IF(F165=0,"无浓度数据",IF(E165="","缺周表阈值","可计算"))</x:f>
        <x:v>可计算</x:v>
      </x:c>
      <x:c r="L165" s="1" t="str">
        <x:f>IF(NOT(ISNUMBER(J165)),"待定",IF(J165&gt;50,"骨架成分",IF(J165&gt;=2,"重要成分","两档成分")))</x:f>
        <x:v>两档成分</x:v>
      </x:c>
      <x:c r="M165" s="1" t="n">
        <x:f>IF(NOT(ISNUMBER(J165)),"",IF(J165&gt;=2,3,2))</x:f>
        <x:v>2</x:v>
      </x:c>
      <x:c r="N165" s="1" t="str">
        <x:f>IF(NOT(ISNUMBER(J165)),"缺少可算OAV",IF(J165&gt;=2,"最大值、中位值、低值待校准","最大值、中位值"))</x:f>
        <x:v>最大值、中位值</x:v>
      </x:c>
      <x:c r="O165" s="1" t="str">
        <x:f>IF(NOT(ISNUMBER(J165)),"待定",IF(J165&lt;2,"不设第三档",IF(J165&lt;=5,"中位OAV≤5；低档须低于中位浓度","低档需预试确认与中档可区分")))</x:f>
        <x:v>不设第三档</x:v>
      </x:c>
    </x:row>
    <x:row r="166" ht="23" customHeight="1">
      <x:c r="A166" s="1" t="n">
        <x:f>'浓度与阈值来源'!A166</x:f>
        <x:v>161</x:v>
      </x:c>
      <x:c r="B166" s="1" t="str">
        <x:f>IF('浓度与阈值来源'!B166="","",'浓度与阈值来源'!B166)</x:f>
        <x:v>丁酸糠酯</x:v>
      </x:c>
      <x:c r="C166" s="1" t="str">
        <x:f>IF('浓度与阈值来源'!C166="","",'浓度与阈值来源'!C166)</x:f>
        <x:v>623-21-2</x:v>
      </x:c>
      <x:c r="D166" s="1"/>
      <x:c r="E166" s="5" t="n">
        <x:f>IF('浓度与阈值来源'!D166&gt;0,'浓度与阈值来源'!D166,"")</x:f>
        <x:v>4900</x:v>
      </x:c>
      <x:c r="F166" s="6" t="n">
        <x:f>COUNT('浓度与阈值来源'!E166:DM166)</x:f>
        <x:v>14</x:v>
      </x:c>
      <x:c r="G166" s="5" t="n">
        <x:f>IF(F166=0,"",MAX('浓度与阈值来源'!E166:DM166))</x:f>
        <x:v>152.91</x:v>
      </x:c>
      <x:c r="H166" s="5" t="n">
        <x:f>IF(F166=0,"",MEDIAN('浓度与阈值来源'!E166:DM166))</x:f>
        <x:v>31.905</x:v>
      </x:c>
      <x:c r="I166" s="7" t="n">
        <x:f>IF(AND(ISNUMBER(E166),E166&gt;0,F166&gt;0),G166/E166,"")</x:f>
        <x:v>0.031206122448979592</x:v>
      </x:c>
      <x:c r="J166" s="7" t="n">
        <x:f>IF(AND(ISNUMBER(E166),E166&gt;0,F166&gt;0),H166/E166,"")</x:f>
        <x:v>0.006511224489795919</x:v>
      </x:c>
      <x:c r="K166" s="1" t="str">
        <x:f>IF(F166=0,"无浓度数据",IF(E166="","缺周表阈值","可计算"))</x:f>
        <x:v>可计算</x:v>
      </x:c>
      <x:c r="L166" s="1" t="str">
        <x:f>IF(NOT(ISNUMBER(J166)),"待定",IF(J166&gt;50,"骨架成分",IF(J166&gt;=2,"重要成分","两档成分")))</x:f>
        <x:v>两档成分</x:v>
      </x:c>
      <x:c r="M166" s="1" t="n">
        <x:f>IF(NOT(ISNUMBER(J166)),"",IF(J166&gt;=2,3,2))</x:f>
        <x:v>2</x:v>
      </x:c>
      <x:c r="N166" s="1" t="str">
        <x:f>IF(NOT(ISNUMBER(J166)),"缺少可算OAV",IF(J166&gt;=2,"最大值、中位值、低值待校准","最大值、中位值"))</x:f>
        <x:v>最大值、中位值</x:v>
      </x:c>
      <x:c r="O166" s="1" t="str">
        <x:f>IF(NOT(ISNUMBER(J166)),"待定",IF(J166&lt;2,"不设第三档",IF(J166&lt;=5,"中位OAV≤5；低档须低于中位浓度","低档需预试确认与中档可区分")))</x:f>
        <x:v>不设第三档</x:v>
      </x:c>
    </x:row>
    <x:row r="167" ht="23" customHeight="1">
      <x:c r="A167" s="1" t="n">
        <x:f>'浓度与阈值来源'!A167</x:f>
        <x:v>162</x:v>
      </x:c>
      <x:c r="B167" s="1" t="str">
        <x:f>IF('浓度与阈值来源'!B167="","",'浓度与阈值来源'!B167)</x:f>
        <x:v>辛酸丙酯</x:v>
      </x:c>
      <x:c r="C167" s="1" t="str">
        <x:f>IF('浓度与阈值来源'!C167="","",'浓度与阈值来源'!C167)</x:f>
        <x:v>624-13-5</x:v>
      </x:c>
      <x:c r="D167" s="1" t="str">
        <x:v>Propyl n-Octanoate</x:v>
      </x:c>
      <x:c r="E167" s="5" t="str">
        <x:f>IF('浓度与阈值来源'!D167&gt;0,'浓度与阈值来源'!D167,"")</x:f>
      </x:c>
      <x:c r="F167" s="6" t="n">
        <x:f>COUNT('浓度与阈值来源'!E167:DM167)</x:f>
        <x:v>22</x:v>
      </x:c>
      <x:c r="G167" s="5" t="n">
        <x:f>IF(F167=0,"",MAX('浓度与阈值来源'!E167:DM167))</x:f>
        <x:v>4186</x:v>
      </x:c>
      <x:c r="H167" s="5" t="n">
        <x:f>IF(F167=0,"",MEDIAN('浓度与阈值来源'!E167:DM167))</x:f>
        <x:v>926.345</x:v>
      </x:c>
      <x:c r="I167" s="7" t="str">
        <x:f>IF(AND(ISNUMBER(E167),E167&gt;0,F167&gt;0),G167/E167,"")</x:f>
      </x:c>
      <x:c r="J167" s="7" t="str">
        <x:f>IF(AND(ISNUMBER(E167),E167&gt;0,F167&gt;0),H167/E167,"")</x:f>
      </x:c>
      <x:c r="K167" s="1" t="str">
        <x:f>IF(F167=0,"无浓度数据",IF(E167="","缺周表阈值","可计算"))</x:f>
        <x:v>缺周表阈值</x:v>
      </x:c>
      <x:c r="L167" s="1" t="str">
        <x:f>IF(NOT(ISNUMBER(J167)),"待定",IF(J167&gt;50,"骨架成分",IF(J167&gt;=2,"重要成分","两档成分")))</x:f>
        <x:v>待定</x:v>
      </x:c>
      <x:c r="M167" s="1" t="str">
        <x:f>IF(NOT(ISNUMBER(J167)),"",IF(J167&gt;=2,3,2))</x:f>
      </x:c>
      <x:c r="N167" s="1" t="str">
        <x:f>IF(NOT(ISNUMBER(J167)),"缺少可算OAV",IF(J167&gt;=2,"最大值、中位值、低值待校准","最大值、中位值"))</x:f>
        <x:v>缺少可算OAV</x:v>
      </x:c>
      <x:c r="O167" s="1" t="str">
        <x:f>IF(NOT(ISNUMBER(J167)),"待定",IF(J167&lt;2,"不设第三档",IF(J167&lt;=5,"中位OAV≤5；低档须低于中位浓度","低档需预试确认与中档可区分")))</x:f>
        <x:v>待定</x:v>
      </x:c>
    </x:row>
    <x:row r="168" ht="23" customHeight="1">
      <x:c r="A168" s="1" t="n">
        <x:f>'浓度与阈值来源'!A168</x:f>
        <x:v>163</x:v>
      </x:c>
      <x:c r="B168" s="1" t="str">
        <x:f>IF('浓度与阈值来源'!B168="","",'浓度与阈值来源'!B168)</x:f>
        <x:v>二甲基二硫</x:v>
      </x:c>
      <x:c r="C168" s="1" t="str">
        <x:f>IF('浓度与阈值来源'!C168="","",'浓度与阈值来源'!C168)</x:f>
        <x:v>624-92-0</x:v>
      </x:c>
      <x:c r="D168" s="1"/>
      <x:c r="E168" s="5" t="str">
        <x:f>IF('浓度与阈值来源'!D168&gt;0,'浓度与阈值来源'!D168,"")</x:f>
      </x:c>
      <x:c r="F168" s="6" t="n">
        <x:f>COUNT('浓度与阈值来源'!E168:DM168)</x:f>
        <x:v>15</x:v>
      </x:c>
      <x:c r="G168" s="5" t="n">
        <x:f>IF(F168=0,"",MAX('浓度与阈值来源'!E168:DM168))</x:f>
        <x:v>1633.97</x:v>
      </x:c>
      <x:c r="H168" s="5" t="n">
        <x:f>IF(F168=0,"",MEDIAN('浓度与阈值来源'!E168:DM168))</x:f>
        <x:v>790.32</x:v>
      </x:c>
      <x:c r="I168" s="7" t="str">
        <x:f>IF(AND(ISNUMBER(E168),E168&gt;0,F168&gt;0),G168/E168,"")</x:f>
      </x:c>
      <x:c r="J168" s="7" t="str">
        <x:f>IF(AND(ISNUMBER(E168),E168&gt;0,F168&gt;0),H168/E168,"")</x:f>
      </x:c>
      <x:c r="K168" s="1" t="str">
        <x:f>IF(F168=0,"无浓度数据",IF(E168="","缺周表阈值","可计算"))</x:f>
        <x:v>缺周表阈值</x:v>
      </x:c>
      <x:c r="L168" s="1" t="str">
        <x:f>IF(NOT(ISNUMBER(J168)),"待定",IF(J168&gt;50,"骨架成分",IF(J168&gt;=2,"重要成分","两档成分")))</x:f>
        <x:v>待定</x:v>
      </x:c>
      <x:c r="M168" s="1" t="str">
        <x:f>IF(NOT(ISNUMBER(J168)),"",IF(J168&gt;=2,3,2))</x:f>
      </x:c>
      <x:c r="N168" s="1" t="str">
        <x:f>IF(NOT(ISNUMBER(J168)),"缺少可算OAV",IF(J168&gt;=2,"最大值、中位值、低值待校准","最大值、中位值"))</x:f>
        <x:v>缺少可算OAV</x:v>
      </x:c>
      <x:c r="O168" s="1" t="str">
        <x:f>IF(NOT(ISNUMBER(J168)),"待定",IF(J168&lt;2,"不设第三档",IF(J168&lt;=5,"中位OAV≤5；低档须低于中位浓度","低档需预试确认与中档可区分")))</x:f>
        <x:v>待定</x:v>
      </x:c>
    </x:row>
    <x:row r="169" ht="23" customHeight="1">
      <x:c r="A169" s="1" t="n">
        <x:f>'浓度与阈值来源'!A169</x:f>
        <x:v>164</x:v>
      </x:c>
      <x:c r="B169" s="1" t="str">
        <x:f>IF('浓度与阈值来源'!B169="","",'浓度与阈值来源'!B169)</x:f>
        <x:v>己酸丙酯a</x:v>
      </x:c>
      <x:c r="C169" s="1" t="str">
        <x:f>IF('浓度与阈值来源'!C169="","",'浓度与阈值来源'!C169)</x:f>
        <x:v>626-77-7</x:v>
      </x:c>
      <x:c r="D169" s="1" t="str">
        <x:v>Propyl hexanoate</x:v>
      </x:c>
      <x:c r="E169" s="5" t="n">
        <x:f>IF('浓度与阈值来源'!D169&gt;0,'浓度与阈值来源'!D169,"")</x:f>
        <x:v>12784</x:v>
      </x:c>
      <x:c r="F169" s="6" t="n">
        <x:f>COUNT('浓度与阈值来源'!E169:DM169)</x:f>
        <x:v>85</x:v>
      </x:c>
      <x:c r="G169" s="5" t="n">
        <x:f>IF(F169=0,"",MAX('浓度与阈值来源'!E169:DM169))</x:f>
        <x:v>45868.92</x:v>
      </x:c>
      <x:c r="H169" s="5" t="n">
        <x:f>IF(F169=0,"",MEDIAN('浓度与阈值来源'!E169:DM169))</x:f>
        <x:v>240</x:v>
      </x:c>
      <x:c r="I169" s="7" t="n">
        <x:f>IF(AND(ISNUMBER(E169),E169&gt;0,F169&gt;0),G169/E169,"")</x:f>
        <x:v>3.5879943679599497</x:v>
      </x:c>
      <x:c r="J169" s="7" t="n">
        <x:f>IF(AND(ISNUMBER(E169),E169&gt;0,F169&gt;0),H169/E169,"")</x:f>
        <x:v>0.01877346683354193</x:v>
      </x:c>
      <x:c r="K169" s="1" t="str">
        <x:f>IF(F169=0,"无浓度数据",IF(E169="","缺周表阈值","可计算"))</x:f>
        <x:v>可计算</x:v>
      </x:c>
      <x:c r="L169" s="1" t="str">
        <x:f>IF(NOT(ISNUMBER(J169)),"待定",IF(J169&gt;50,"骨架成分",IF(J169&gt;=2,"重要成分","两档成分")))</x:f>
        <x:v>两档成分</x:v>
      </x:c>
      <x:c r="M169" s="1" t="n">
        <x:f>IF(NOT(ISNUMBER(J169)),"",IF(J169&gt;=2,3,2))</x:f>
        <x:v>2</x:v>
      </x:c>
      <x:c r="N169" s="1" t="str">
        <x:f>IF(NOT(ISNUMBER(J169)),"缺少可算OAV",IF(J169&gt;=2,"最大值、中位值、低值待校准","最大值、中位值"))</x:f>
        <x:v>最大值、中位值</x:v>
      </x:c>
      <x:c r="O169" s="1" t="str">
        <x:f>IF(NOT(ISNUMBER(J169)),"待定",IF(J169&lt;2,"不设第三档",IF(J169&lt;=5,"中位OAV≤5；低档须低于中位浓度","低档需预试确认与中档可区分")))</x:f>
        <x:v>不设第三档</x:v>
      </x:c>
    </x:row>
    <x:row r="170" ht="23" customHeight="1">
      <x:c r="A170" s="1" t="n">
        <x:f>'浓度与阈值来源'!A170</x:f>
        <x:v>165</x:v>
      </x:c>
      <x:c r="B170" s="1" t="str">
        <x:f>IF('浓度与阈值来源'!B170="","",'浓度与阈值来源'!B170)</x:f>
        <x:v>己酸丁酯</x:v>
      </x:c>
      <x:c r="C170" s="1" t="str">
        <x:f>IF('浓度与阈值来源'!C170="","",'浓度与阈值来源'!C170)</x:f>
        <x:v>626-82-4</x:v>
      </x:c>
      <x:c r="D170" s="1" t="str">
        <x:v>Butyl hexanoate</x:v>
      </x:c>
      <x:c r="E170" s="5" t="n">
        <x:f>IF('浓度与阈值来源'!D170&gt;0,'浓度与阈值来源'!D170,"")</x:f>
        <x:v>677.84</x:v>
      </x:c>
      <x:c r="F170" s="6" t="n">
        <x:f>COUNT('浓度与阈值来源'!E170:DM170)</x:f>
        <x:v>68</x:v>
      </x:c>
      <x:c r="G170" s="5" t="n">
        <x:f>IF(F170=0,"",MAX('浓度与阈值来源'!E170:DM170))</x:f>
        <x:v>86300</x:v>
      </x:c>
      <x:c r="H170" s="5" t="n">
        <x:f>IF(F170=0,"",MEDIAN('浓度与阈值来源'!E170:DM170))</x:f>
        <x:v>823.735</x:v>
      </x:c>
      <x:c r="I170" s="7" t="n">
        <x:f>IF(AND(ISNUMBER(E170),E170&gt;0,F170&gt;0),G170/E170,"")</x:f>
        <x:v>127.31618080963058</x:v>
      </x:c>
      <x:c r="J170" s="7" t="n">
        <x:f>IF(AND(ISNUMBER(E170),E170&gt;0,F170&gt;0),H170/E170,"")</x:f>
        <x:v>1.2152351587395256</x:v>
      </x:c>
      <x:c r="K170" s="1" t="str">
        <x:f>IF(F170=0,"无浓度数据",IF(E170="","缺周表阈值","可计算"))</x:f>
        <x:v>可计算</x:v>
      </x:c>
      <x:c r="L170" s="1" t="str">
        <x:f>IF(NOT(ISNUMBER(J170)),"待定",IF(J170&gt;50,"骨架成分",IF(J170&gt;=2,"重要成分","两档成分")))</x:f>
        <x:v>两档成分</x:v>
      </x:c>
      <x:c r="M170" s="1" t="n">
        <x:f>IF(NOT(ISNUMBER(J170)),"",IF(J170&gt;=2,3,2))</x:f>
        <x:v>2</x:v>
      </x:c>
      <x:c r="N170" s="1" t="str">
        <x:f>IF(NOT(ISNUMBER(J170)),"缺少可算OAV",IF(J170&gt;=2,"最大值、中位值、低值待校准","最大值、中位值"))</x:f>
        <x:v>最大值、中位值</x:v>
      </x:c>
      <x:c r="O170" s="1" t="str">
        <x:f>IF(NOT(ISNUMBER(J170)),"待定",IF(J170&lt;2,"不设第三档",IF(J170&lt;=5,"中位OAV≤5；低档须低于中位浓度","低档需预试确认与中档可区分")))</x:f>
        <x:v>不设第三档</x:v>
      </x:c>
    </x:row>
    <x:row r="171" ht="23" customHeight="1">
      <x:c r="A171" s="1" t="n">
        <x:f>'浓度与阈值来源'!A171</x:f>
        <x:v>166</x:v>
      </x:c>
      <x:c r="B171" s="1" t="str">
        <x:f>IF('浓度与阈值来源'!B171="","",'浓度与阈值来源'!B171)</x:f>
        <x:v>2-己醇</x:v>
      </x:c>
      <x:c r="C171" s="1" t="str">
        <x:f>IF('浓度与阈值来源'!C171="","",'浓度与阈值来源'!C171)</x:f>
        <x:v>626-93-7</x:v>
      </x:c>
      <x:c r="D171" s="1" t="str">
        <x:v>2-Hexanol</x:v>
      </x:c>
      <x:c r="E171" s="5" t="str">
        <x:f>IF('浓度与阈值来源'!D171&gt;0,'浓度与阈值来源'!D171,"")</x:f>
      </x:c>
      <x:c r="F171" s="6" t="n">
        <x:f>COUNT('浓度与阈值来源'!E171:DM171)</x:f>
        <x:v>8</x:v>
      </x:c>
      <x:c r="G171" s="5" t="n">
        <x:f>IF(F171=0,"",MAX('浓度与阈值来源'!E171:DM171))</x:f>
        <x:v>5.96</x:v>
      </x:c>
      <x:c r="H171" s="5" t="n">
        <x:f>IF(F171=0,"",MEDIAN('浓度与阈值来源'!E171:DM171))</x:f>
        <x:v>1.085</x:v>
      </x:c>
      <x:c r="I171" s="7" t="str">
        <x:f>IF(AND(ISNUMBER(E171),E171&gt;0,F171&gt;0),G171/E171,"")</x:f>
      </x:c>
      <x:c r="J171" s="7" t="str">
        <x:f>IF(AND(ISNUMBER(E171),E171&gt;0,F171&gt;0),H171/E171,"")</x:f>
      </x:c>
      <x:c r="K171" s="1" t="str">
        <x:f>IF(F171=0,"无浓度数据",IF(E171="","缺周表阈值","可计算"))</x:f>
        <x:v>缺周表阈值</x:v>
      </x:c>
      <x:c r="L171" s="1" t="str">
        <x:f>IF(NOT(ISNUMBER(J171)),"待定",IF(J171&gt;50,"骨架成分",IF(J171&gt;=2,"重要成分","两档成分")))</x:f>
        <x:v>待定</x:v>
      </x:c>
      <x:c r="M171" s="1" t="str">
        <x:f>IF(NOT(ISNUMBER(J171)),"",IF(J171&gt;=2,3,2))</x:f>
      </x:c>
      <x:c r="N171" s="1" t="str">
        <x:f>IF(NOT(ISNUMBER(J171)),"缺少可算OAV",IF(J171&gt;=2,"最大值、中位值、低值待校准","最大值、中位值"))</x:f>
        <x:v>缺少可算OAV</x:v>
      </x:c>
      <x:c r="O171" s="1" t="str">
        <x:f>IF(NOT(ISNUMBER(J171)),"待定",IF(J171&lt;2,"不设第三档",IF(J171&lt;=5,"中位OAV≤5；低档须低于中位浓度","低档需预试确认与中档可区分")))</x:f>
        <x:v>待定</x:v>
      </x:c>
    </x:row>
    <x:row r="172" ht="23" customHeight="1">
      <x:c r="A172" s="1" t="n">
        <x:f>'浓度与阈值来源'!A172</x:f>
        <x:v>167</x:v>
      </x:c>
      <x:c r="B172" s="1" t="str">
        <x:f>IF('浓度与阈值来源'!B172="","",'浓度与阈值来源'!B172)</x:f>
        <x:v>十一酸乙酯</x:v>
      </x:c>
      <x:c r="C172" s="1" t="str">
        <x:f>IF('浓度与阈值来源'!C172="","",'浓度与阈值来源'!C172)</x:f>
        <x:v>627-90-7</x:v>
      </x:c>
      <x:c r="D172" s="1" t="str">
        <x:v>Ethyl undecanoate</x:v>
      </x:c>
      <x:c r="E172" s="5" t="str">
        <x:f>IF('浓度与阈值来源'!D172&gt;0,'浓度与阈值来源'!D172,"")</x:f>
      </x:c>
      <x:c r="F172" s="6" t="n">
        <x:f>COUNT('浓度与阈值来源'!E172:DM172)</x:f>
        <x:v>40</x:v>
      </x:c>
      <x:c r="G172" s="5" t="n">
        <x:f>IF(F172=0,"",MAX('浓度与阈值来源'!E172:DM172))</x:f>
        <x:v>2149</x:v>
      </x:c>
      <x:c r="H172" s="5" t="n">
        <x:f>IF(F172=0,"",MEDIAN('浓度与阈值来源'!E172:DM172))</x:f>
        <x:v>22</x:v>
      </x:c>
      <x:c r="I172" s="7" t="str">
        <x:f>IF(AND(ISNUMBER(E172),E172&gt;0,F172&gt;0),G172/E172,"")</x:f>
      </x:c>
      <x:c r="J172" s="7" t="str">
        <x:f>IF(AND(ISNUMBER(E172),E172&gt;0,F172&gt;0),H172/E172,"")</x:f>
      </x:c>
      <x:c r="K172" s="1" t="str">
        <x:f>IF(F172=0,"无浓度数据",IF(E172="","缺周表阈值","可计算"))</x:f>
        <x:v>缺周表阈值</x:v>
      </x:c>
      <x:c r="L172" s="1" t="str">
        <x:f>IF(NOT(ISNUMBER(J172)),"待定",IF(J172&gt;50,"骨架成分",IF(J172&gt;=2,"重要成分","两档成分")))</x:f>
        <x:v>待定</x:v>
      </x:c>
      <x:c r="M172" s="1" t="str">
        <x:f>IF(NOT(ISNUMBER(J172)),"",IF(J172&gt;=2,3,2))</x:f>
      </x:c>
      <x:c r="N172" s="1" t="str">
        <x:f>IF(NOT(ISNUMBER(J172)),"缺少可算OAV",IF(J172&gt;=2,"最大值、中位值、低值待校准","最大值、中位值"))</x:f>
        <x:v>缺少可算OAV</x:v>
      </x:c>
      <x:c r="O172" s="1" t="str">
        <x:f>IF(NOT(ISNUMBER(J172)),"待定",IF(J172&lt;2,"不设第三档",IF(J172&lt;=5,"中位OAV≤5；低档须低于中位浓度","低档需预试确认与中档可区分")))</x:f>
        <x:v>待定</x:v>
      </x:c>
    </x:row>
    <x:row r="173" ht="23" customHeight="1">
      <x:c r="A173" s="1" t="n">
        <x:f>'浓度与阈值来源'!A173</x:f>
        <x:v>168</x:v>
      </x:c>
      <x:c r="B173" s="1" t="str">
        <x:f>IF('浓度与阈值来源'!B173="","",'浓度与阈值来源'!B173)</x:f>
        <x:v>乙酸戊酯</x:v>
      </x:c>
      <x:c r="C173" s="1" t="str">
        <x:f>IF('浓度与阈值来源'!C173="","",'浓度与阈值来源'!C173)</x:f>
        <x:v>628-63-7</x:v>
      </x:c>
      <x:c r="D173" s="1"/>
      <x:c r="E173" s="5" t="str">
        <x:f>IF('浓度与阈值来源'!D173&gt;0,'浓度与阈值来源'!D173,"")</x:f>
      </x:c>
      <x:c r="F173" s="6" t="n">
        <x:f>COUNT('浓度与阈值来源'!E173:DM173)</x:f>
        <x:v>5</x:v>
      </x:c>
      <x:c r="G173" s="5" t="n">
        <x:f>IF(F173=0,"",MAX('浓度与阈值来源'!E173:DM173))</x:f>
        <x:v>321</x:v>
      </x:c>
      <x:c r="H173" s="5" t="n">
        <x:f>IF(F173=0,"",MEDIAN('浓度与阈值来源'!E173:DM173))</x:f>
        <x:v>20.24</x:v>
      </x:c>
      <x:c r="I173" s="7" t="str">
        <x:f>IF(AND(ISNUMBER(E173),E173&gt;0,F173&gt;0),G173/E173,"")</x:f>
      </x:c>
      <x:c r="J173" s="7" t="str">
        <x:f>IF(AND(ISNUMBER(E173),E173&gt;0,F173&gt;0),H173/E173,"")</x:f>
      </x:c>
      <x:c r="K173" s="1" t="str">
        <x:f>IF(F173=0,"无浓度数据",IF(E173="","缺周表阈值","可计算"))</x:f>
        <x:v>缺周表阈值</x:v>
      </x:c>
      <x:c r="L173" s="1" t="str">
        <x:f>IF(NOT(ISNUMBER(J173)),"待定",IF(J173&gt;50,"骨架成分",IF(J173&gt;=2,"重要成分","两档成分")))</x:f>
        <x:v>待定</x:v>
      </x:c>
      <x:c r="M173" s="1" t="str">
        <x:f>IF(NOT(ISNUMBER(J173)),"",IF(J173&gt;=2,3,2))</x:f>
      </x:c>
      <x:c r="N173" s="1" t="str">
        <x:f>IF(NOT(ISNUMBER(J173)),"缺少可算OAV",IF(J173&gt;=2,"最大值、中位值、低值待校准","最大值、中位值"))</x:f>
        <x:v>缺少可算OAV</x:v>
      </x:c>
      <x:c r="O173" s="1" t="str">
        <x:f>IF(NOT(ISNUMBER(J173)),"待定",IF(J173&lt;2,"不设第三档",IF(J173&lt;=5,"中位OAV≤5；低档须低于中位浓度","低档需预试确认与中档可区分")))</x:f>
        <x:v>待定</x:v>
      </x:c>
    </x:row>
    <x:row r="174" ht="23" customHeight="1">
      <x:c r="A174" s="1" t="n">
        <x:f>'浓度与阈值来源'!A174</x:f>
        <x:v>169</x:v>
      </x:c>
      <x:c r="B174" s="1" t="str">
        <x:f>IF('浓度与阈值来源'!B174="","",'浓度与阈值来源'!B174)</x:f>
        <x:v>棕榈酸乙酯</x:v>
      </x:c>
      <x:c r="C174" s="1" t="str">
        <x:f>IF('浓度与阈值来源'!C174="","",'浓度与阈值来源'!C174)</x:f>
        <x:v>628-97-7</x:v>
      </x:c>
      <x:c r="D174" s="1" t="str">
        <x:v>Ethyl palmitate</x:v>
      </x:c>
      <x:c r="E174" s="5" t="str">
        <x:f>IF('浓度与阈值来源'!D174&gt;0,'浓度与阈值来源'!D174,"")</x:f>
      </x:c>
      <x:c r="F174" s="6" t="n">
        <x:f>COUNT('浓度与阈值来源'!E174:DM174)</x:f>
        <x:v>42</x:v>
      </x:c>
      <x:c r="G174" s="5" t="n">
        <x:f>IF(F174=0,"",MAX('浓度与阈值来源'!E174:DM174))</x:f>
        <x:v>156714</x:v>
      </x:c>
      <x:c r="H174" s="5" t="n">
        <x:f>IF(F174=0,"",MEDIAN('浓度与阈值来源'!E174:DM174))</x:f>
        <x:v>1231.8</x:v>
      </x:c>
      <x:c r="I174" s="7" t="str">
        <x:f>IF(AND(ISNUMBER(E174),E174&gt;0,F174&gt;0),G174/E174,"")</x:f>
      </x:c>
      <x:c r="J174" s="7" t="str">
        <x:f>IF(AND(ISNUMBER(E174),E174&gt;0,F174&gt;0),H174/E174,"")</x:f>
      </x:c>
      <x:c r="K174" s="1" t="str">
        <x:f>IF(F174=0,"无浓度数据",IF(E174="","缺周表阈值","可计算"))</x:f>
        <x:v>缺周表阈值</x:v>
      </x:c>
      <x:c r="L174" s="1" t="str">
        <x:f>IF(NOT(ISNUMBER(J174)),"待定",IF(J174&gt;50,"骨架成分",IF(J174&gt;=2,"重要成分","两档成分")))</x:f>
        <x:v>待定</x:v>
      </x:c>
      <x:c r="M174" s="1" t="str">
        <x:f>IF(NOT(ISNUMBER(J174)),"",IF(J174&gt;=2,3,2))</x:f>
      </x:c>
      <x:c r="N174" s="1" t="str">
        <x:f>IF(NOT(ISNUMBER(J174)),"缺少可算OAV",IF(J174&gt;=2,"最大值、中位值、低值待校准","最大值、中位值"))</x:f>
        <x:v>缺少可算OAV</x:v>
      </x:c>
      <x:c r="O174" s="1" t="str">
        <x:f>IF(NOT(ISNUMBER(J174)),"待定",IF(J174&lt;2,"不设第三档",IF(J174&lt;=5,"中位OAV≤5；低档须低于中位浓度","低档需预试确认与中档可区分")))</x:f>
        <x:v>待定</x:v>
      </x:c>
    </x:row>
    <x:row r="175" ht="23" customHeight="1">
      <x:c r="A175" s="1" t="n">
        <x:f>'浓度与阈值来源'!A175</x:f>
        <x:v>170</x:v>
      </x:c>
      <x:c r="B175" s="1" t="str">
        <x:f>IF('浓度与阈值来源'!B175="","",'浓度与阈值来源'!B175)</x:f>
        <x:v>2-壬基醇</x:v>
      </x:c>
      <x:c r="C175" s="1" t="str">
        <x:f>IF('浓度与阈值来源'!C175="","",'浓度与阈值来源'!C175)</x:f>
        <x:v>628-99-9</x:v>
      </x:c>
      <x:c r="D175" s="1"/>
      <x:c r="E175" s="5" t="str">
        <x:f>IF('浓度与阈值来源'!D175&gt;0,'浓度与阈值来源'!D175,"")</x:f>
      </x:c>
      <x:c r="F175" s="6" t="n">
        <x:f>COUNT('浓度与阈值来源'!E175:DM175)</x:f>
        <x:v>1</x:v>
      </x:c>
      <x:c r="G175" s="5" t="n">
        <x:f>IF(F175=0,"",MAX('浓度与阈值来源'!E175:DM175))</x:f>
        <x:v>0.1</x:v>
      </x:c>
      <x:c r="H175" s="5" t="n">
        <x:f>IF(F175=0,"",MEDIAN('浓度与阈值来源'!E175:DM175))</x:f>
        <x:v>0.1</x:v>
      </x:c>
      <x:c r="I175" s="7" t="str">
        <x:f>IF(AND(ISNUMBER(E175),E175&gt;0,F175&gt;0),G175/E175,"")</x:f>
      </x:c>
      <x:c r="J175" s="7" t="str">
        <x:f>IF(AND(ISNUMBER(E175),E175&gt;0,F175&gt;0),H175/E175,"")</x:f>
      </x:c>
      <x:c r="K175" s="1" t="str">
        <x:f>IF(F175=0,"无浓度数据",IF(E175="","缺周表阈值","可计算"))</x:f>
        <x:v>缺周表阈值</x:v>
      </x:c>
      <x:c r="L175" s="1" t="str">
        <x:f>IF(NOT(ISNUMBER(J175)),"待定",IF(J175&gt;50,"骨架成分",IF(J175&gt;=2,"重要成分","两档成分")))</x:f>
        <x:v>待定</x:v>
      </x:c>
      <x:c r="M175" s="1" t="str">
        <x:f>IF(NOT(ISNUMBER(J175)),"",IF(J175&gt;=2,3,2))</x:f>
      </x:c>
      <x:c r="N175" s="1" t="str">
        <x:f>IF(NOT(ISNUMBER(J175)),"缺少可算OAV",IF(J175&gt;=2,"最大值、中位值、低值待校准","最大值、中位值"))</x:f>
        <x:v>缺少可算OAV</x:v>
      </x:c>
      <x:c r="O175" s="1" t="str">
        <x:f>IF(NOT(ISNUMBER(J175)),"待定",IF(J175&lt;2,"不设第三档",IF(J175&lt;=5,"中位OAV≤5；低档须低于中位浓度","低档需预试确认与中档可区分")))</x:f>
        <x:v>待定</x:v>
      </x:c>
    </x:row>
    <x:row r="176" ht="23" customHeight="1">
      <x:c r="A176" s="1" t="n">
        <x:f>'浓度与阈值来源'!A176</x:f>
        <x:v>171</x:v>
      </x:c>
      <x:c r="B176" s="1" t="str">
        <x:f>IF('浓度与阈值来源'!B176="","",'浓度与阈值来源'!B176)</x:f>
        <x:v>异己酸（4-甲基戊酸）</x:v>
      </x:c>
      <x:c r="C176" s="1" t="str">
        <x:f>IF('浓度与阈值来源'!C176="","",'浓度与阈值来源'!C176)</x:f>
        <x:v>646-07-1</x:v>
      </x:c>
      <x:c r="D176" s="1" t="str">
        <x:v>4-methylvaleric acid</x:v>
      </x:c>
      <x:c r="E176" s="5" t="str">
        <x:f>IF('浓度与阈值来源'!D176&gt;0,'浓度与阈值来源'!D176,"")</x:f>
      </x:c>
      <x:c r="F176" s="6" t="n">
        <x:f>COUNT('浓度与阈值来源'!E176:DM176)</x:f>
        <x:v>37</x:v>
      </x:c>
      <x:c r="G176" s="5" t="n">
        <x:f>IF(F176=0,"",MAX('浓度与阈值来源'!E176:DM176))</x:f>
        <x:v>25500</x:v>
      </x:c>
      <x:c r="H176" s="5" t="n">
        <x:f>IF(F176=0,"",MEDIAN('浓度与阈值来源'!E176:DM176))</x:f>
        <x:v>815.63</x:v>
      </x:c>
      <x:c r="I176" s="7" t="str">
        <x:f>IF(AND(ISNUMBER(E176),E176&gt;0,F176&gt;0),G176/E176,"")</x:f>
      </x:c>
      <x:c r="J176" s="7" t="str">
        <x:f>IF(AND(ISNUMBER(E176),E176&gt;0,F176&gt;0),H176/E176,"")</x:f>
      </x:c>
      <x:c r="K176" s="1" t="str">
        <x:f>IF(F176=0,"无浓度数据",IF(E176="","缺周表阈值","可计算"))</x:f>
        <x:v>缺周表阈值</x:v>
      </x:c>
      <x:c r="L176" s="1" t="str">
        <x:f>IF(NOT(ISNUMBER(J176)),"待定",IF(J176&gt;50,"骨架成分",IF(J176&gt;=2,"重要成分","两档成分")))</x:f>
        <x:v>待定</x:v>
      </x:c>
      <x:c r="M176" s="1" t="str">
        <x:f>IF(NOT(ISNUMBER(J176)),"",IF(J176&gt;=2,3,2))</x:f>
      </x:c>
      <x:c r="N176" s="1" t="str">
        <x:f>IF(NOT(ISNUMBER(J176)),"缺少可算OAV",IF(J176&gt;=2,"最大值、中位值、低值待校准","最大值、中位值"))</x:f>
        <x:v>缺少可算OAV</x:v>
      </x:c>
      <x:c r="O176" s="1" t="str">
        <x:f>IF(NOT(ISNUMBER(J176)),"待定",IF(J176&lt;2,"不设第三档",IF(J176&lt;=5,"中位OAV≤5；低档须低于中位浓度","低档需预试确认与中档可区分")))</x:f>
        <x:v>待定</x:v>
      </x:c>
    </x:row>
    <x:row r="177" ht="23" customHeight="1">
      <x:c r="A177" s="1" t="n">
        <x:f>'浓度与阈值来源'!A177</x:f>
        <x:v>172</x:v>
      </x:c>
      <x:c r="B177" s="1" t="str">
        <x:f>IF('浓度与阈值来源'!B177="","",'浓度与阈值来源'!B177)</x:f>
        <x:v>异戊酸异戊酯</x:v>
      </x:c>
      <x:c r="C177" s="1" t="str">
        <x:f>IF('浓度与阈值来源'!C177="","",'浓度与阈值来源'!C177)</x:f>
        <x:v>659-70-1</x:v>
      </x:c>
      <x:c r="D177" s="1"/>
      <x:c r="E177" s="5" t="n">
        <x:f>IF('浓度与阈值来源'!D177&gt;0,'浓度与阈值来源'!D177,"")</x:f>
        <x:v>134</x:v>
      </x:c>
      <x:c r="F177" s="6" t="n">
        <x:f>COUNT('浓度与阈值来源'!E177:DM177)</x:f>
        <x:v>16</x:v>
      </x:c>
      <x:c r="G177" s="5" t="n">
        <x:f>IF(F177=0,"",MAX('浓度与阈值来源'!E177:DM177))</x:f>
        <x:v>42.64</x:v>
      </x:c>
      <x:c r="H177" s="5" t="n">
        <x:f>IF(F177=0,"",MEDIAN('浓度与阈值来源'!E177:DM177))</x:f>
        <x:v>17.78</x:v>
      </x:c>
      <x:c r="I177" s="7" t="n">
        <x:f>IF(AND(ISNUMBER(E177),E177&gt;0,F177&gt;0),G177/E177,"")</x:f>
        <x:v>0.3182089552238806</x:v>
      </x:c>
      <x:c r="J177" s="7" t="n">
        <x:f>IF(AND(ISNUMBER(E177),E177&gt;0,F177&gt;0),H177/E177,"")</x:f>
        <x:v>0.13268656716417912</x:v>
      </x:c>
      <x:c r="K177" s="1" t="str">
        <x:f>IF(F177=0,"无浓度数据",IF(E177="","缺周表阈值","可计算"))</x:f>
        <x:v>可计算</x:v>
      </x:c>
      <x:c r="L177" s="1" t="str">
        <x:f>IF(NOT(ISNUMBER(J177)),"待定",IF(J177&gt;50,"骨架成分",IF(J177&gt;=2,"重要成分","两档成分")))</x:f>
        <x:v>两档成分</x:v>
      </x:c>
      <x:c r="M177" s="1" t="n">
        <x:f>IF(NOT(ISNUMBER(J177)),"",IF(J177&gt;=2,3,2))</x:f>
        <x:v>2</x:v>
      </x:c>
      <x:c r="N177" s="1" t="str">
        <x:f>IF(NOT(ISNUMBER(J177)),"缺少可算OAV",IF(J177&gt;=2,"最大值、中位值、低值待校准","最大值、中位值"))</x:f>
        <x:v>最大值、中位值</x:v>
      </x:c>
      <x:c r="O177" s="1" t="str">
        <x:f>IF(NOT(ISNUMBER(J177)),"待定",IF(J177&lt;2,"不设第三档",IF(J177&lt;=5,"中位OAV≤5；低档须低于中位浓度","低档需预试确认与中档可区分")))</x:f>
        <x:v>不设第三档</x:v>
      </x:c>
    </x:row>
    <x:row r="178" ht="23" customHeight="1">
      <x:c r="A178" s="1" t="n">
        <x:f>'浓度与阈值来源'!A178</x:f>
        <x:v>173</x:v>
      </x:c>
      <x:c r="B178" s="1" t="str">
        <x:f>IF('浓度与阈值来源'!B178="","",'浓度与阈值来源'!B178)</x:f>
      </x:c>
      <x:c r="C178" s="1" t="str">
        <x:f>IF('浓度与阈值来源'!C178="","",'浓度与阈值来源'!C178)</x:f>
        <x:v>687-47-8</x:v>
      </x:c>
      <x:c r="D178" s="1" t="str">
        <x:v>Ethyl L(--)-lactate</x:v>
      </x:c>
      <x:c r="E178" s="5" t="str">
        <x:f>IF('浓度与阈值来源'!D178&gt;0,'浓度与阈值来源'!D178,"")</x:f>
      </x:c>
      <x:c r="F178" s="6" t="n">
        <x:f>COUNT('浓度与阈值来源'!E178:DM178)</x:f>
        <x:v>0</x:v>
      </x:c>
      <x:c r="G178" s="5" t="str">
        <x:f>IF(F178=0,"",MAX('浓度与阈值来源'!E178:DM178))</x:f>
      </x:c>
      <x:c r="H178" s="5" t="str">
        <x:f>IF(F178=0,"",MEDIAN('浓度与阈值来源'!E178:DM178))</x:f>
      </x:c>
      <x:c r="I178" s="7" t="str">
        <x:f>IF(AND(ISNUMBER(E178),E178&gt;0,F178&gt;0),G178/E178,"")</x:f>
      </x:c>
      <x:c r="J178" s="7" t="str">
        <x:f>IF(AND(ISNUMBER(E178),E178&gt;0,F178&gt;0),H178/E178,"")</x:f>
      </x:c>
      <x:c r="K178" s="1" t="str">
        <x:f>IF(F178=0,"无浓度数据",IF(E178="","缺周表阈值","可计算"))</x:f>
        <x:v>无浓度数据</x:v>
      </x:c>
      <x:c r="L178" s="1" t="str">
        <x:f>IF(NOT(ISNUMBER(J178)),"待定",IF(J178&gt;50,"骨架成分",IF(J178&gt;=2,"重要成分","两档成分")))</x:f>
        <x:v>待定</x:v>
      </x:c>
      <x:c r="M178" s="1" t="str">
        <x:f>IF(NOT(ISNUMBER(J178)),"",IF(J178&gt;=2,3,2))</x:f>
      </x:c>
      <x:c r="N178" s="1" t="str">
        <x:f>IF(NOT(ISNUMBER(J178)),"缺少可算OAV",IF(J178&gt;=2,"最大值、中位值、低值待校准","最大值、中位值"))</x:f>
        <x:v>缺少可算OAV</x:v>
      </x:c>
      <x:c r="O178" s="1" t="str">
        <x:f>IF(NOT(ISNUMBER(J178)),"待定",IF(J178&lt;2,"不设第三档",IF(J178&lt;=5,"中位OAV≤5；低档须低于中位浓度","低档需预试确认与中档可区分")))</x:f>
        <x:v>待定</x:v>
      </x:c>
    </x:row>
    <x:row r="179" ht="23" customHeight="1">
      <x:c r="A179" s="1" t="n">
        <x:f>'浓度与阈值来源'!A179</x:f>
        <x:v>174</x:v>
      </x:c>
      <x:c r="B179" s="1" t="str">
        <x:f>IF('浓度与阈值来源'!B179="","",'浓度与阈值来源'!B179)</x:f>
        <x:v>甲基壬基甲酮</x:v>
      </x:c>
      <x:c r="C179" s="1" t="str">
        <x:f>IF('浓度与阈值来源'!C179="","",'浓度与阈值来源'!C179)</x:f>
        <x:v>693-54-9</x:v>
      </x:c>
      <x:c r="D179" s="1"/>
      <x:c r="E179" s="5" t="n">
        <x:f>IF('浓度与阈值来源'!D179&gt;0,'浓度与阈值来源'!D179,"")</x:f>
        <x:v>400</x:v>
      </x:c>
      <x:c r="F179" s="6" t="n">
        <x:f>COUNT('浓度与阈值来源'!E179:DM179)</x:f>
        <x:v>2</x:v>
      </x:c>
      <x:c r="G179" s="5" t="n">
        <x:f>IF(F179=0,"",MAX('浓度与阈值来源'!E179:DM179))</x:f>
        <x:v>374</x:v>
      </x:c>
      <x:c r="H179" s="5" t="n">
        <x:f>IF(F179=0,"",MEDIAN('浓度与阈值来源'!E179:DM179))</x:f>
        <x:v>290.5</x:v>
      </x:c>
      <x:c r="I179" s="7" t="n">
        <x:f>IF(AND(ISNUMBER(E179),E179&gt;0,F179&gt;0),G179/E179,"")</x:f>
        <x:v>0.935</x:v>
      </x:c>
      <x:c r="J179" s="7" t="n">
        <x:f>IF(AND(ISNUMBER(E179),E179&gt;0,F179&gt;0),H179/E179,"")</x:f>
        <x:v>0.72625</x:v>
      </x:c>
      <x:c r="K179" s="1" t="str">
        <x:f>IF(F179=0,"无浓度数据",IF(E179="","缺周表阈值","可计算"))</x:f>
        <x:v>可计算</x:v>
      </x:c>
      <x:c r="L179" s="1" t="str">
        <x:f>IF(NOT(ISNUMBER(J179)),"待定",IF(J179&gt;50,"骨架成分",IF(J179&gt;=2,"重要成分","两档成分")))</x:f>
        <x:v>两档成分</x:v>
      </x:c>
      <x:c r="M179" s="1" t="n">
        <x:f>IF(NOT(ISNUMBER(J179)),"",IF(J179&gt;=2,3,2))</x:f>
        <x:v>2</x:v>
      </x:c>
      <x:c r="N179" s="1" t="str">
        <x:f>IF(NOT(ISNUMBER(J179)),"缺少可算OAV",IF(J179&gt;=2,"最大值、中位值、低值待校准","最大值、中位值"))</x:f>
        <x:v>最大值、中位值</x:v>
      </x:c>
      <x:c r="O179" s="1" t="str">
        <x:f>IF(NOT(ISNUMBER(J179)),"待定",IF(J179&lt;2,"不设第三档",IF(J179&lt;=5,"中位OAV≤5；低档须低于中位浓度","低档需预试确认与中档可区分")))</x:f>
        <x:v>不设第三档</x:v>
      </x:c>
    </x:row>
    <x:row r="180" ht="23" customHeight="1">
      <x:c r="A180" s="1" t="n">
        <x:f>'浓度与阈值来源'!A180</x:f>
        <x:v>175</x:v>
      </x:c>
      <x:c r="B180" s="1" t="str">
        <x:f>IF('浓度与阈值来源'!B180="","",'浓度与阈值来源'!B180)</x:f>
        <x:v>γ-己内酯</x:v>
      </x:c>
      <x:c r="C180" s="1" t="str">
        <x:f>IF('浓度与阈值来源'!C180="","",'浓度与阈值来源'!C180)</x:f>
        <x:v>695-06-7</x:v>
      </x:c>
      <x:c r="D180" s="1" t="str">
        <x:v>5-ethyloxolan--2-one</x:v>
      </x:c>
      <x:c r="E180" s="5" t="n">
        <x:f>IF('浓度与阈值来源'!D180&gt;0,'浓度与阈值来源'!D180,"")</x:f>
        <x:v>12500</x:v>
      </x:c>
      <x:c r="F180" s="6" t="n">
        <x:f>COUNT('浓度与阈值来源'!E180:DM180)</x:f>
        <x:v>18</x:v>
      </x:c>
      <x:c r="G180" s="5" t="n">
        <x:f>IF(F180=0,"",MAX('浓度与阈值来源'!E180:DM180))</x:f>
        <x:v>17760</x:v>
      </x:c>
      <x:c r="H180" s="5" t="n">
        <x:f>IF(F180=0,"",MEDIAN('浓度与阈值来源'!E180:DM180))</x:f>
        <x:v>21.015</x:v>
      </x:c>
      <x:c r="I180" s="7" t="n">
        <x:f>IF(AND(ISNUMBER(E180),E180&gt;0,F180&gt;0),G180/E180,"")</x:f>
        <x:v>1.4208</x:v>
      </x:c>
      <x:c r="J180" s="7" t="n">
        <x:f>IF(AND(ISNUMBER(E180),E180&gt;0,F180&gt;0),H180/E180,"")</x:f>
        <x:v>0.0016812</x:v>
      </x:c>
      <x:c r="K180" s="1" t="str">
        <x:f>IF(F180=0,"无浓度数据",IF(E180="","缺周表阈值","可计算"))</x:f>
        <x:v>可计算</x:v>
      </x:c>
      <x:c r="L180" s="1" t="str">
        <x:f>IF(NOT(ISNUMBER(J180)),"待定",IF(J180&gt;50,"骨架成分",IF(J180&gt;=2,"重要成分","两档成分")))</x:f>
        <x:v>两档成分</x:v>
      </x:c>
      <x:c r="M180" s="1" t="n">
        <x:f>IF(NOT(ISNUMBER(J180)),"",IF(J180&gt;=2,3,2))</x:f>
        <x:v>2</x:v>
      </x:c>
      <x:c r="N180" s="1" t="str">
        <x:f>IF(NOT(ISNUMBER(J180)),"缺少可算OAV",IF(J180&gt;=2,"最大值、中位值、低值待校准","最大值、中位值"))</x:f>
        <x:v>最大值、中位值</x:v>
      </x:c>
      <x:c r="O180" s="1" t="str">
        <x:f>IF(NOT(ISNUMBER(J180)),"待定",IF(J180&lt;2,"不设第三档",IF(J180&lt;=5,"中位OAV≤5；低档须低于中位浓度","低档需预试确认与中档可区分")))</x:f>
        <x:v>不设第三档</x:v>
      </x:c>
    </x:row>
    <x:row r="181" ht="23" customHeight="1">
      <x:c r="A181" s="1" t="n">
        <x:f>'浓度与阈值来源'!A181</x:f>
        <x:v>176</x:v>
      </x:c>
      <x:c r="B181" s="1" t="str">
        <x:f>IF('浓度与阈值来源'!B181="","",'浓度与阈值来源'!B181)</x:f>
        <x:v>2-壬酮</x:v>
      </x:c>
      <x:c r="C181" s="1" t="str">
        <x:f>IF('浓度与阈值来源'!C181="","",'浓度与阈值来源'!C181)</x:f>
        <x:v>821-55-6</x:v>
      </x:c>
      <x:c r="D181" s="1" t="str">
        <x:v>2-Nonanone</x:v>
      </x:c>
      <x:c r="E181" s="5" t="n">
        <x:f>IF('浓度与阈值来源'!D181&gt;0,'浓度与阈值来源'!D181,"")</x:f>
        <x:v>393</x:v>
      </x:c>
      <x:c r="F181" s="6" t="n">
        <x:f>COUNT('浓度与阈值来源'!E181:DM181)</x:f>
        <x:v>44</x:v>
      </x:c>
      <x:c r="G181" s="5" t="n">
        <x:f>IF(F181=0,"",MAX('浓度与阈值来源'!E181:DM181))</x:f>
        <x:v>2288.38</x:v>
      </x:c>
      <x:c r="H181" s="5" t="n">
        <x:f>IF(F181=0,"",MEDIAN('浓度与阈值来源'!E181:DM181))</x:f>
        <x:v>109.67500000000001</x:v>
      </x:c>
      <x:c r="I181" s="7" t="n">
        <x:f>IF(AND(ISNUMBER(E181),E181&gt;0,F181&gt;0),G181/E181,"")</x:f>
        <x:v>5.822849872773538</x:v>
      </x:c>
      <x:c r="J181" s="7" t="n">
        <x:f>IF(AND(ISNUMBER(E181),E181&gt;0,F181&gt;0),H181/E181,"")</x:f>
        <x:v>0.2790712468193384</x:v>
      </x:c>
      <x:c r="K181" s="1" t="str">
        <x:f>IF(F181=0,"无浓度数据",IF(E181="","缺周表阈值","可计算"))</x:f>
        <x:v>可计算</x:v>
      </x:c>
      <x:c r="L181" s="1" t="str">
        <x:f>IF(NOT(ISNUMBER(J181)),"待定",IF(J181&gt;50,"骨架成分",IF(J181&gt;=2,"重要成分","两档成分")))</x:f>
        <x:v>两档成分</x:v>
      </x:c>
      <x:c r="M181" s="1" t="n">
        <x:f>IF(NOT(ISNUMBER(J181)),"",IF(J181&gt;=2,3,2))</x:f>
        <x:v>2</x:v>
      </x:c>
      <x:c r="N181" s="1" t="str">
        <x:f>IF(NOT(ISNUMBER(J181)),"缺少可算OAV",IF(J181&gt;=2,"最大值、中位值、低值待校准","最大值、中位值"))</x:f>
        <x:v>最大值、中位值</x:v>
      </x:c>
      <x:c r="O181" s="1" t="str">
        <x:f>IF(NOT(ISNUMBER(J181)),"待定",IF(J181&lt;2,"不设第三档",IF(J181&lt;=5,"中位OAV≤5；低档须低于中位浓度","低档需预试确认与中档可区分")))</x:f>
        <x:v>不设第三档</x:v>
      </x:c>
    </x:row>
    <x:row r="182" ht="23" customHeight="1">
      <x:c r="A182" s="1" t="n">
        <x:f>'浓度与阈值来源'!A182</x:f>
        <x:v>177</x:v>
      </x:c>
      <x:c r="B182" s="1" t="str">
        <x:f>IF('浓度与阈值来源'!B182="","",'浓度与阈值来源'!B182)</x:f>
        <x:v>反式-3-己烯-1-醇</x:v>
      </x:c>
      <x:c r="C182" s="1" t="str">
        <x:f>IF('浓度与阈值来源'!C182="","",'浓度与阈值来源'!C182)</x:f>
        <x:v>928-97-2</x:v>
      </x:c>
      <x:c r="D182" s="1"/>
      <x:c r="E182" s="5" t="n">
        <x:f>IF('浓度与阈值来源'!D182&gt;0,'浓度与阈值来源'!D182,"")</x:f>
        <x:v>400</x:v>
      </x:c>
      <x:c r="F182" s="6" t="n">
        <x:f>COUNT('浓度与阈值来源'!E182:DM182)</x:f>
        <x:v>14</x:v>
      </x:c>
      <x:c r="G182" s="5" t="n">
        <x:f>IF(F182=0,"",MAX('浓度与阈值来源'!E182:DM182))</x:f>
        <x:v>480.35</x:v>
      </x:c>
      <x:c r="H182" s="5" t="n">
        <x:f>IF(F182=0,"",MEDIAN('浓度与阈值来源'!E182:DM182))</x:f>
        <x:v>253.63</x:v>
      </x:c>
      <x:c r="I182" s="7" t="n">
        <x:f>IF(AND(ISNUMBER(E182),E182&gt;0,F182&gt;0),G182/E182,"")</x:f>
        <x:v>1.2008750000000001</x:v>
      </x:c>
      <x:c r="J182" s="7" t="n">
        <x:f>IF(AND(ISNUMBER(E182),E182&gt;0,F182&gt;0),H182/E182,"")</x:f>
        <x:v>0.6340749999999999</x:v>
      </x:c>
      <x:c r="K182" s="1" t="str">
        <x:f>IF(F182=0,"无浓度数据",IF(E182="","缺周表阈值","可计算"))</x:f>
        <x:v>可计算</x:v>
      </x:c>
      <x:c r="L182" s="1" t="str">
        <x:f>IF(NOT(ISNUMBER(J182)),"待定",IF(J182&gt;50,"骨架成分",IF(J182&gt;=2,"重要成分","两档成分")))</x:f>
        <x:v>两档成分</x:v>
      </x:c>
      <x:c r="M182" s="1" t="n">
        <x:f>IF(NOT(ISNUMBER(J182)),"",IF(J182&gt;=2,3,2))</x:f>
        <x:v>2</x:v>
      </x:c>
      <x:c r="N182" s="1" t="str">
        <x:f>IF(NOT(ISNUMBER(J182)),"缺少可算OAV",IF(J182&gt;=2,"最大值、中位值、低值待校准","最大值、中位值"))</x:f>
        <x:v>最大值、中位值</x:v>
      </x:c>
      <x:c r="O182" s="1" t="str">
        <x:f>IF(NOT(ISNUMBER(J182)),"待定",IF(J182&lt;2,"不设第三档",IF(J182&lt;=5,"中位OAV≤5；低档须低于中位浓度","低档需预试确认与中档可区分")))</x:f>
        <x:v>不设第三档</x:v>
      </x:c>
    </x:row>
    <x:row r="183" ht="23" customHeight="1">
      <x:c r="A183" s="1" t="n">
        <x:f>'浓度与阈值来源'!A183</x:f>
        <x:v>178</x:v>
      </x:c>
      <x:c r="B183" s="1" t="str">
        <x:f>IF('浓度与阈值来源'!B183="","",'浓度与阈值来源'!B183)</x:f>
        <x:v>辛酸己酯</x:v>
      </x:c>
      <x:c r="C183" s="1" t="str">
        <x:f>IF('浓度与阈值来源'!C183="","",'浓度与阈值来源'!C183)</x:f>
        <x:v>1117-55-1</x:v>
      </x:c>
      <x:c r="D183" s="1" t="str">
        <x:v>Hexyl octanoate</x:v>
      </x:c>
      <x:c r="E183" s="5" t="str">
        <x:f>IF('浓度与阈值来源'!D183&gt;0,'浓度与阈值来源'!D183,"")</x:f>
      </x:c>
      <x:c r="F183" s="6" t="n">
        <x:f>COUNT('浓度与阈值来源'!E183:DM183)</x:f>
        <x:v>9</x:v>
      </x:c>
      <x:c r="G183" s="5" t="n">
        <x:f>IF(F183=0,"",MAX('浓度与阈值来源'!E183:DM183))</x:f>
        <x:v>21311</x:v>
      </x:c>
      <x:c r="H183" s="5" t="n">
        <x:f>IF(F183=0,"",MEDIAN('浓度与阈值来源'!E183:DM183))</x:f>
        <x:v>16506</x:v>
      </x:c>
      <x:c r="I183" s="7" t="str">
        <x:f>IF(AND(ISNUMBER(E183),E183&gt;0,F183&gt;0),G183/E183,"")</x:f>
      </x:c>
      <x:c r="J183" s="7" t="str">
        <x:f>IF(AND(ISNUMBER(E183),E183&gt;0,F183&gt;0),H183/E183,"")</x:f>
      </x:c>
      <x:c r="K183" s="1" t="str">
        <x:f>IF(F183=0,"无浓度数据",IF(E183="","缺周表阈值","可计算"))</x:f>
        <x:v>缺周表阈值</x:v>
      </x:c>
      <x:c r="L183" s="1" t="str">
        <x:f>IF(NOT(ISNUMBER(J183)),"待定",IF(J183&gt;50,"骨架成分",IF(J183&gt;=2,"重要成分","两档成分")))</x:f>
        <x:v>待定</x:v>
      </x:c>
      <x:c r="M183" s="1" t="str">
        <x:f>IF(NOT(ISNUMBER(J183)),"",IF(J183&gt;=2,3,2))</x:f>
      </x:c>
      <x:c r="N183" s="1" t="str">
        <x:f>IF(NOT(ISNUMBER(J183)),"缺少可算OAV",IF(J183&gt;=2,"最大值、中位值、低值待校准","最大值、中位值"))</x:f>
        <x:v>缺少可算OAV</x:v>
      </x:c>
      <x:c r="O183" s="1" t="str">
        <x:f>IF(NOT(ISNUMBER(J183)),"待定",IF(J183&lt;2,"不设第三档",IF(J183&lt;=5,"中位OAV≤5；低档须低于中位浓度","低档需预试确认与中档可区分")))</x:f>
        <x:v>待定</x:v>
      </x:c>
    </x:row>
    <x:row r="184" ht="23" customHeight="1">
      <x:c r="A184" s="1" t="n">
        <x:f>'浓度与阈值来源'!A184</x:f>
        <x:v>179</x:v>
      </x:c>
      <x:c r="B184" s="1" t="str">
        <x:f>IF('浓度与阈值来源'!B184="","",'浓度与阈值来源'!B184)</x:f>
        <x:v>2,3,5,6-四甲基吡嗪</x:v>
      </x:c>
      <x:c r="C184" s="1" t="str">
        <x:f>IF('浓度与阈值来源'!C184="","",'浓度与阈值来源'!C184)</x:f>
        <x:v>1124-11-4</x:v>
      </x:c>
      <x:c r="D184" s="1" t="str">
        <x:v>Tetramethylpyrazine</x:v>
      </x:c>
      <x:c r="E184" s="5" t="n">
        <x:f>IF('浓度与阈值来源'!D184&gt;0,'浓度与阈值来源'!D184,"")</x:f>
        <x:v>80073</x:v>
      </x:c>
      <x:c r="F184" s="6" t="n">
        <x:f>COUNT('浓度与阈值来源'!E184:DM184)</x:f>
        <x:v>28</x:v>
      </x:c>
      <x:c r="G184" s="5" t="n">
        <x:f>IF(F184=0,"",MAX('浓度与阈值来源'!E184:DM184))</x:f>
        <x:v>1550.5</x:v>
      </x:c>
      <x:c r="H184" s="5" t="n">
        <x:f>IF(F184=0,"",MEDIAN('浓度与阈值来源'!E184:DM184))</x:f>
        <x:v>68.97</x:v>
      </x:c>
      <x:c r="I184" s="7" t="n">
        <x:f>IF(AND(ISNUMBER(E184),E184&gt;0,F184&gt;0),G184/E184,"")</x:f>
        <x:v>0.019363580732581518</x:v>
      </x:c>
      <x:c r="J184" s="7" t="n">
        <x:f>IF(AND(ISNUMBER(E184),E184&gt;0,F184&gt;0),H184/E184,"")</x:f>
        <x:v>0.0008613390281368251</x:v>
      </x:c>
      <x:c r="K184" s="1" t="str">
        <x:f>IF(F184=0,"无浓度数据",IF(E184="","缺周表阈值","可计算"))</x:f>
        <x:v>可计算</x:v>
      </x:c>
      <x:c r="L184" s="1" t="str">
        <x:f>IF(NOT(ISNUMBER(J184)),"待定",IF(J184&gt;50,"骨架成分",IF(J184&gt;=2,"重要成分","两档成分")))</x:f>
        <x:v>两档成分</x:v>
      </x:c>
      <x:c r="M184" s="1" t="n">
        <x:f>IF(NOT(ISNUMBER(J184)),"",IF(J184&gt;=2,3,2))</x:f>
        <x:v>2</x:v>
      </x:c>
      <x:c r="N184" s="1" t="str">
        <x:f>IF(NOT(ISNUMBER(J184)),"缺少可算OAV",IF(J184&gt;=2,"最大值、中位值、低值待校准","最大值、中位值"))</x:f>
        <x:v>最大值、中位值</x:v>
      </x:c>
      <x:c r="O184" s="1" t="str">
        <x:f>IF(NOT(ISNUMBER(J184)),"待定",IF(J184&lt;2,"不设第三档",IF(J184&lt;=5,"中位OAV≤5；低档须低于中位浓度","低档需预试确认与中档可区分")))</x:f>
        <x:v>不设第三档</x:v>
      </x:c>
    </x:row>
    <x:row r="185" ht="23" customHeight="1">
      <x:c r="A185" s="1" t="n">
        <x:f>'浓度与阈值来源'!A185</x:f>
        <x:v>180</x:v>
      </x:c>
      <x:c r="B185" s="1" t="str">
        <x:f>IF('浓度与阈值来源'!B185="","",'浓度与阈值来源'!B185)</x:f>
        <x:v>亚麻酸乙酯</x:v>
      </x:c>
      <x:c r="C185" s="1" t="str">
        <x:f>IF('浓度与阈值来源'!C185="","",'浓度与阈值来源'!C185)</x:f>
        <x:v>1191-41-9</x:v>
      </x:c>
      <x:c r="D185" s="1"/>
      <x:c r="E185" s="5" t="str">
        <x:f>IF('浓度与阈值来源'!D185&gt;0,'浓度与阈值来源'!D185,"")</x:f>
      </x:c>
      <x:c r="F185" s="6" t="n">
        <x:f>COUNT('浓度与阈值来源'!E185:DM185)</x:f>
        <x:v>2</x:v>
      </x:c>
      <x:c r="G185" s="5" t="n">
        <x:f>IF(F185=0,"",MAX('浓度与阈值来源'!E185:DM185))</x:f>
        <x:v>326760</x:v>
      </x:c>
      <x:c r="H185" s="5" t="n">
        <x:f>IF(F185=0,"",MEDIAN('浓度与阈值来源'!E185:DM185))</x:f>
        <x:v>176035</x:v>
      </x:c>
      <x:c r="I185" s="7" t="str">
        <x:f>IF(AND(ISNUMBER(E185),E185&gt;0,F185&gt;0),G185/E185,"")</x:f>
      </x:c>
      <x:c r="J185" s="7" t="str">
        <x:f>IF(AND(ISNUMBER(E185),E185&gt;0,F185&gt;0),H185/E185,"")</x:f>
      </x:c>
      <x:c r="K185" s="1" t="str">
        <x:f>IF(F185=0,"无浓度数据",IF(E185="","缺周表阈值","可计算"))</x:f>
        <x:v>缺周表阈值</x:v>
      </x:c>
      <x:c r="L185" s="1" t="str">
        <x:f>IF(NOT(ISNUMBER(J185)),"待定",IF(J185&gt;50,"骨架成分",IF(J185&gt;=2,"重要成分","两档成分")))</x:f>
        <x:v>待定</x:v>
      </x:c>
      <x:c r="M185" s="1" t="str">
        <x:f>IF(NOT(ISNUMBER(J185)),"",IF(J185&gt;=2,3,2))</x:f>
      </x:c>
      <x:c r="N185" s="1" t="str">
        <x:f>IF(NOT(ISNUMBER(J185)),"缺少可算OAV",IF(J185&gt;=2,"最大值、中位值、低值待校准","最大值、中位值"))</x:f>
        <x:v>缺少可算OAV</x:v>
      </x:c>
      <x:c r="O185" s="1" t="str">
        <x:f>IF(NOT(ISNUMBER(J185)),"待定",IF(J185&lt;2,"不设第三档",IF(J185&lt;=5,"中位OAV≤5；低档须低于中位浓度","低档需预试确认与中档可区分")))</x:f>
        <x:v>待定</x:v>
      </x:c>
    </x:row>
    <x:row r="186" ht="23" customHeight="1">
      <x:c r="A186" s="1" t="n">
        <x:f>'浓度与阈值来源'!A186</x:f>
        <x:v>181</x:v>
      </x:c>
      <x:c r="B186" s="1" t="str">
        <x:f>IF('浓度与阈值来源'!B186="","",'浓度与阈值来源'!B186)</x:f>
        <x:v>2-乙酰基呋喃</x:v>
      </x:c>
      <x:c r="C186" s="1" t="str">
        <x:f>IF('浓度与阈值来源'!C186="","",'浓度与阈值来源'!C186)</x:f>
        <x:v>1192-62-7</x:v>
      </x:c>
      <x:c r="D186" s="1" t="str">
        <x:v>2-Acetylfuran</x:v>
      </x:c>
      <x:c r="E186" s="5" t="n">
        <x:f>IF('浓度与阈值来源'!D186&gt;0,'浓度与阈值来源'!D186,"")</x:f>
        <x:v>88596.2</x:v>
      </x:c>
      <x:c r="F186" s="6" t="n">
        <x:f>COUNT('浓度与阈值来源'!E186:DM186)</x:f>
        <x:v>21</x:v>
      </x:c>
      <x:c r="G186" s="5" t="n">
        <x:f>IF(F186=0,"",MAX('浓度与阈值来源'!E186:DM186))</x:f>
        <x:v>148000</x:v>
      </x:c>
      <x:c r="H186" s="5" t="n">
        <x:f>IF(F186=0,"",MEDIAN('浓度与阈值来源'!E186:DM186))</x:f>
        <x:v>2266.28</x:v>
      </x:c>
      <x:c r="I186" s="7" t="n">
        <x:f>IF(AND(ISNUMBER(E186),E186&gt;0,F186&gt;0),G186/E186,"")</x:f>
        <x:v>1.6705005406552427</x:v>
      </x:c>
      <x:c r="J186" s="7" t="n">
        <x:f>IF(AND(ISNUMBER(E186),E186&gt;0,F186&gt;0),H186/E186,"")</x:f>
        <x:v>0.02557987814375786</x:v>
      </x:c>
      <x:c r="K186" s="1" t="str">
        <x:f>IF(F186=0,"无浓度数据",IF(E186="","缺周表阈值","可计算"))</x:f>
        <x:v>可计算</x:v>
      </x:c>
      <x:c r="L186" s="1" t="str">
        <x:f>IF(NOT(ISNUMBER(J186)),"待定",IF(J186&gt;50,"骨架成分",IF(J186&gt;=2,"重要成分","两档成分")))</x:f>
        <x:v>两档成分</x:v>
      </x:c>
      <x:c r="M186" s="1" t="n">
        <x:f>IF(NOT(ISNUMBER(J186)),"",IF(J186&gt;=2,3,2))</x:f>
        <x:v>2</x:v>
      </x:c>
      <x:c r="N186" s="1" t="str">
        <x:f>IF(NOT(ISNUMBER(J186)),"缺少可算OAV",IF(J186&gt;=2,"最大值、中位值、低值待校准","最大值、中位值"))</x:f>
        <x:v>最大值、中位值</x:v>
      </x:c>
      <x:c r="O186" s="1" t="str">
        <x:f>IF(NOT(ISNUMBER(J186)),"待定",IF(J186&lt;2,"不设第三档",IF(J186&lt;=5,"中位OAV≤5；低档须低于中位浓度","低档需预试确认与中档可区分")))</x:f>
        <x:v>不设第三档</x:v>
      </x:c>
    </x:row>
    <x:row r="187" ht="23" customHeight="1">
      <x:c r="A187" s="1" t="n">
        <x:f>'浓度与阈值来源'!A187</x:f>
        <x:v>182</x:v>
      </x:c>
      <x:c r="B187" s="1" t="str">
        <x:f>IF('浓度与阈值来源'!B187="","",'浓度与阈值来源'!B187)</x:f>
        <x:v>2-乙酰基-5-甲基呋喃</x:v>
      </x:c>
      <x:c r="C187" s="1" t="str">
        <x:f>IF('浓度与阈值来源'!C187="","",'浓度与阈值来源'!C187)</x:f>
        <x:v>1193-79-9</x:v>
      </x:c>
      <x:c r="D187" s="1"/>
      <x:c r="E187" s="5" t="n">
        <x:f>IF('浓度与阈值来源'!D187&gt;0,'浓度与阈值来源'!D187,"")</x:f>
        <x:v>83259.8</x:v>
      </x:c>
      <x:c r="F187" s="6" t="n">
        <x:f>COUNT('浓度与阈值来源'!E187:DM187)</x:f>
        <x:v>11</x:v>
      </x:c>
      <x:c r="G187" s="5" t="n">
        <x:f>IF(F187=0,"",MAX('浓度与阈值来源'!E187:DM187))</x:f>
        <x:v>151.65</x:v>
      </x:c>
      <x:c r="H187" s="5" t="n">
        <x:f>IF(F187=0,"",MEDIAN('浓度与阈值来源'!E187:DM187))</x:f>
        <x:v>84.11</x:v>
      </x:c>
      <x:c r="I187" s="7" t="n">
        <x:f>IF(AND(ISNUMBER(E187),E187&gt;0,F187&gt;0),G187/E187,"")</x:f>
        <x:v>0.0018214072097218585</x:v>
      </x:c>
      <x:c r="J187" s="7" t="n">
        <x:f>IF(AND(ISNUMBER(E187),E187&gt;0,F187&gt;0),H187/E187,"")</x:f>
        <x:v>0.0010102114105486682</x:v>
      </x:c>
      <x:c r="K187" s="1" t="str">
        <x:f>IF(F187=0,"无浓度数据",IF(E187="","缺周表阈值","可计算"))</x:f>
        <x:v>可计算</x:v>
      </x:c>
      <x:c r="L187" s="1" t="str">
        <x:f>IF(NOT(ISNUMBER(J187)),"待定",IF(J187&gt;50,"骨架成分",IF(J187&gt;=2,"重要成分","两档成分")))</x:f>
        <x:v>两档成分</x:v>
      </x:c>
      <x:c r="M187" s="1" t="n">
        <x:f>IF(NOT(ISNUMBER(J187)),"",IF(J187&gt;=2,3,2))</x:f>
        <x:v>2</x:v>
      </x:c>
      <x:c r="N187" s="1" t="str">
        <x:f>IF(NOT(ISNUMBER(J187)),"缺少可算OAV",IF(J187&gt;=2,"最大值、中位值、低值待校准","最大值、中位值"))</x:f>
        <x:v>最大值、中位值</x:v>
      </x:c>
      <x:c r="O187" s="1" t="str">
        <x:f>IF(NOT(ISNUMBER(J187)),"待定",IF(J187&lt;2,"不设第三档",IF(J187&lt;=5,"中位OAV≤5；低档须低于中位浓度","低档需预试确认与中档可区分")))</x:f>
        <x:v>不设第三档</x:v>
      </x:c>
    </x:row>
    <x:row r="188" ht="23" customHeight="1">
      <x:c r="A188" s="1" t="n">
        <x:f>'浓度与阈值来源'!A188</x:f>
        <x:v>183</x:v>
      </x:c>
      <x:c r="B188" s="1" t="str">
        <x:f>IF('浓度与阈值来源'!B188="","",'浓度与阈值来源'!B188)</x:f>
      </x:c>
      <x:c r="C188" s="1" t="str">
        <x:f>IF('浓度与阈值来源'!C188="","",'浓度与阈值来源'!C188)</x:f>
        <x:v>1565-80-6</x:v>
      </x:c>
      <x:c r="D188" s="1"/>
      <x:c r="E188" s="5" t="str">
        <x:f>IF('浓度与阈值来源'!D188&gt;0,'浓度与阈值来源'!D188,"")</x:f>
      </x:c>
      <x:c r="F188" s="6" t="n">
        <x:f>COUNT('浓度与阈值来源'!E188:DM188)</x:f>
        <x:v>1</x:v>
      </x:c>
      <x:c r="G188" s="5" t="n">
        <x:f>IF(F188=0,"",MAX('浓度与阈值来源'!E188:DM188))</x:f>
        <x:v>0.14</x:v>
      </x:c>
      <x:c r="H188" s="5" t="n">
        <x:f>IF(F188=0,"",MEDIAN('浓度与阈值来源'!E188:DM188))</x:f>
        <x:v>0.14</x:v>
      </x:c>
      <x:c r="I188" s="7" t="str">
        <x:f>IF(AND(ISNUMBER(E188),E188&gt;0,F188&gt;0),G188/E188,"")</x:f>
      </x:c>
      <x:c r="J188" s="7" t="str">
        <x:f>IF(AND(ISNUMBER(E188),E188&gt;0,F188&gt;0),H188/E188,"")</x:f>
      </x:c>
      <x:c r="K188" s="1" t="str">
        <x:f>IF(F188=0,"无浓度数据",IF(E188="","缺周表阈值","可计算"))</x:f>
        <x:v>缺周表阈值</x:v>
      </x:c>
      <x:c r="L188" s="1" t="str">
        <x:f>IF(NOT(ISNUMBER(J188)),"待定",IF(J188&gt;50,"骨架成分",IF(J188&gt;=2,"重要成分","两档成分")))</x:f>
        <x:v>待定</x:v>
      </x:c>
      <x:c r="M188" s="1" t="str">
        <x:f>IF(NOT(ISNUMBER(J188)),"",IF(J188&gt;=2,3,2))</x:f>
      </x:c>
      <x:c r="N188" s="1" t="str">
        <x:f>IF(NOT(ISNUMBER(J188)),"缺少可算OAV",IF(J188&gt;=2,"最大值、中位值、低值待校准","最大值、中位值"))</x:f>
        <x:v>缺少可算OAV</x:v>
      </x:c>
      <x:c r="O188" s="1" t="str">
        <x:f>IF(NOT(ISNUMBER(J188)),"待定",IF(J188&lt;2,"不设第三档",IF(J188&lt;=5,"中位OAV≤5；低档须低于中位浓度","低档需预试确认与中档可区分")))</x:f>
        <x:v>待定</x:v>
      </x:c>
    </x:row>
    <x:row r="189" ht="23" customHeight="1">
      <x:c r="A189" s="1" t="n">
        <x:f>'浓度与阈值来源'!A189</x:f>
        <x:v>184</x:v>
      </x:c>
      <x:c r="B189" s="1" t="str">
        <x:f>IF('浓度与阈值来源'!B189="","",'浓度与阈值来源'!B189)</x:f>
        <x:v>3-辛烯-2-酮</x:v>
      </x:c>
      <x:c r="C189" s="1" t="str">
        <x:f>IF('浓度与阈值来源'!C189="","",'浓度与阈值来源'!C189)</x:f>
        <x:v>1669-44-9</x:v>
      </x:c>
      <x:c r="D189" s="1"/>
      <x:c r="E189" s="5" t="n">
        <x:f>IF('浓度与阈值来源'!D189&gt;0,'浓度与阈值来源'!D189,"")</x:f>
        <x:v>48.2</x:v>
      </x:c>
      <x:c r="F189" s="6" t="n">
        <x:f>COUNT('浓度与阈值来源'!E189:DM189)</x:f>
        <x:v>4</x:v>
      </x:c>
      <x:c r="G189" s="5" t="n">
        <x:f>IF(F189=0,"",MAX('浓度与阈值来源'!E189:DM189))</x:f>
        <x:v>179.12</x:v>
      </x:c>
      <x:c r="H189" s="5" t="n">
        <x:f>IF(F189=0,"",MEDIAN('浓度与阈值来源'!E189:DM189))</x:f>
        <x:v>113.35000000000001</x:v>
      </x:c>
      <x:c r="I189" s="7" t="n">
        <x:f>IF(AND(ISNUMBER(E189),E189&gt;0,F189&gt;0),G189/E189,"")</x:f>
        <x:v>3.7161825726141076</x:v>
      </x:c>
      <x:c r="J189" s="7" t="n">
        <x:f>IF(AND(ISNUMBER(E189),E189&gt;0,F189&gt;0),H189/E189,"")</x:f>
        <x:v>2.3516597510373445</x:v>
      </x:c>
      <x:c r="K189" s="1" t="str">
        <x:f>IF(F189=0,"无浓度数据",IF(E189="","缺周表阈值","可计算"))</x:f>
        <x:v>可计算</x:v>
      </x:c>
      <x:c r="L189" s="1" t="str">
        <x:f>IF(NOT(ISNUMBER(J189)),"待定",IF(J189&gt;50,"骨架成分",IF(J189&gt;=2,"重要成分","两档成分")))</x:f>
        <x:v>重要成分</x:v>
      </x:c>
      <x:c r="M189" s="1" t="n">
        <x:f>IF(NOT(ISNUMBER(J189)),"",IF(J189&gt;=2,3,2))</x:f>
        <x:v>3</x:v>
      </x:c>
      <x:c r="N189" s="1" t="str">
        <x:f>IF(NOT(ISNUMBER(J189)),"缺少可算OAV",IF(J189&gt;=2,"最大值、中位值、低值待校准","最大值、中位值"))</x:f>
        <x:v>最大值、中位值、低值待校准</x:v>
      </x:c>
      <x:c r="O189" s="1" t="str">
        <x:f>IF(NOT(ISNUMBER(J189)),"待定",IF(J189&lt;2,"不设第三档",IF(J189&lt;=5,"中位OAV≤5；低档须低于中位浓度","低档需预试确认与中档可区分")))</x:f>
        <x:v>中位OAV≤5；低档须低于中位浓度</x:v>
      </x:c>
    </x:row>
    <x:row r="190" ht="23" customHeight="1">
      <x:c r="A190" s="1" t="n">
        <x:f>'浓度与阈值来源'!A190</x:f>
        <x:v>185</x:v>
      </x:c>
      <x:c r="B190" s="1" t="str">
        <x:f>IF('浓度与阈值来源'!B190="","",'浓度与阈值来源'!B190)</x:f>
      </x:c>
      <x:c r="C190" s="1" t="str">
        <x:f>IF('浓度与阈值来源'!C190="","",'浓度与阈值来源'!C190)</x:f>
        <x:v>1883-13-2</x:v>
      </x:c>
      <x:c r="D190" s="1" t="str">
        <x:v>3-Hydroxylauric acid</x:v>
      </x:c>
      <x:c r="E190" s="5" t="str">
        <x:f>IF('浓度与阈值来源'!D190&gt;0,'浓度与阈值来源'!D190,"")</x:f>
      </x:c>
      <x:c r="F190" s="6" t="n">
        <x:f>COUNT('浓度与阈值来源'!E190:DM190)</x:f>
        <x:v>4</x:v>
      </x:c>
      <x:c r="G190" s="5" t="n">
        <x:f>IF(F190=0,"",MAX('浓度与阈值来源'!E190:DM190))</x:f>
        <x:v>189</x:v>
      </x:c>
      <x:c r="H190" s="5" t="n">
        <x:f>IF(F190=0,"",MEDIAN('浓度与阈值来源'!E190:DM190))</x:f>
        <x:v>103</x:v>
      </x:c>
      <x:c r="I190" s="7" t="str">
        <x:f>IF(AND(ISNUMBER(E190),E190&gt;0,F190&gt;0),G190/E190,"")</x:f>
      </x:c>
      <x:c r="J190" s="7" t="str">
        <x:f>IF(AND(ISNUMBER(E190),E190&gt;0,F190&gt;0),H190/E190,"")</x:f>
      </x:c>
      <x:c r="K190" s="1" t="str">
        <x:f>IF(F190=0,"无浓度数据",IF(E190="","缺周表阈值","可计算"))</x:f>
        <x:v>缺周表阈值</x:v>
      </x:c>
      <x:c r="L190" s="1" t="str">
        <x:f>IF(NOT(ISNUMBER(J190)),"待定",IF(J190&gt;50,"骨架成分",IF(J190&gt;=2,"重要成分","两档成分")))</x:f>
        <x:v>待定</x:v>
      </x:c>
      <x:c r="M190" s="1" t="str">
        <x:f>IF(NOT(ISNUMBER(J190)),"",IF(J190&gt;=2,3,2))</x:f>
      </x:c>
      <x:c r="N190" s="1" t="str">
        <x:f>IF(NOT(ISNUMBER(J190)),"缺少可算OAV",IF(J190&gt;=2,"最大值、中位值、低值待校准","最大值、中位值"))</x:f>
        <x:v>缺少可算OAV</x:v>
      </x:c>
      <x:c r="O190" s="1" t="str">
        <x:f>IF(NOT(ISNUMBER(J190)),"待定",IF(J190&lt;2,"不设第三档",IF(J190&lt;=5,"中位OAV≤5；低档须低于中位浓度","低档需预试确认与中档可区分")))</x:f>
        <x:v>待定</x:v>
      </x:c>
    </x:row>
    <x:row r="191" ht="23" customHeight="1">
      <x:c r="A191" s="1" t="n">
        <x:f>'浓度与阈值来源'!A191</x:f>
        <x:v>186</x:v>
      </x:c>
      <x:c r="B191" s="1" t="str">
        <x:f>IF('浓度与阈值来源'!B191="","",'浓度与阈值来源'!B191)</x:f>
        <x:v>3-苯基丙酸乙酯</x:v>
      </x:c>
      <x:c r="C191" s="1" t="str">
        <x:f>IF('浓度与阈值来源'!C191="","",'浓度与阈值来源'!C191)</x:f>
        <x:v>2021-28-5</x:v>
      </x:c>
      <x:c r="D191" s="1" t="str">
        <x:v>Ethyl 3-phenylpropionate</x:v>
      </x:c>
      <x:c r="E191" s="5" t="n">
        <x:f>IF('浓度与阈值来源'!D191&gt;0,'浓度与阈值来源'!D191,"")</x:f>
        <x:v>125</x:v>
      </x:c>
      <x:c r="F191" s="6" t="n">
        <x:f>COUNT('浓度与阈值来源'!E191:DM191)</x:f>
        <x:v>81</x:v>
      </x:c>
      <x:c r="G191" s="5" t="n">
        <x:f>IF(F191=0,"",MAX('浓度与阈值来源'!E191:DM191))</x:f>
        <x:v>11648000</x:v>
      </x:c>
      <x:c r="H191" s="5" t="n">
        <x:f>IF(F191=0,"",MEDIAN('浓度与阈值来源'!E191:DM191))</x:f>
        <x:v>635</x:v>
      </x:c>
      <x:c r="I191" s="7" t="n">
        <x:f>IF(AND(ISNUMBER(E191),E191&gt;0,F191&gt;0),G191/E191,"")</x:f>
        <x:v>93184</x:v>
      </x:c>
      <x:c r="J191" s="7" t="n">
        <x:f>IF(AND(ISNUMBER(E191),E191&gt;0,F191&gt;0),H191/E191,"")</x:f>
        <x:v>5.08</x:v>
      </x:c>
      <x:c r="K191" s="1" t="str">
        <x:f>IF(F191=0,"无浓度数据",IF(E191="","缺周表阈值","可计算"))</x:f>
        <x:v>可计算</x:v>
      </x:c>
      <x:c r="L191" s="1" t="str">
        <x:f>IF(NOT(ISNUMBER(J191)),"待定",IF(J191&gt;50,"骨架成分",IF(J191&gt;=2,"重要成分","两档成分")))</x:f>
        <x:v>重要成分</x:v>
      </x:c>
      <x:c r="M191" s="1" t="n">
        <x:f>IF(NOT(ISNUMBER(J191)),"",IF(J191&gt;=2,3,2))</x:f>
        <x:v>3</x:v>
      </x:c>
      <x:c r="N191" s="1" t="str">
        <x:f>IF(NOT(ISNUMBER(J191)),"缺少可算OAV",IF(J191&gt;=2,"最大值、中位值、低值待校准","最大值、中位值"))</x:f>
        <x:v>最大值、中位值、低值待校准</x:v>
      </x:c>
      <x:c r="O191" s="1" t="str">
        <x:f>IF(NOT(ISNUMBER(J191)),"待定",IF(J191&lt;2,"不设第三档",IF(J191&lt;=5,"中位OAV≤5；低档须低于中位浓度","低档需预试确认与中档可区分")))</x:f>
        <x:v>低档需预试确认与中档可区分</x:v>
      </x:c>
    </x:row>
    <x:row r="192" ht="23" customHeight="1">
      <x:c r="A192" s="1" t="n">
        <x:f>'浓度与阈值来源'!A192</x:f>
        <x:v>187</x:v>
      </x:c>
      <x:c r="B192" s="1" t="str">
        <x:f>IF('浓度与阈值来源'!B192="","",'浓度与阈值来源'!B192)</x:f>
        <x:v>辛酸异戊酯</x:v>
      </x:c>
      <x:c r="C192" s="1" t="str">
        <x:f>IF('浓度与阈值来源'!C192="","",'浓度与阈值来源'!C192)</x:f>
        <x:v>2035-99-6</x:v>
      </x:c>
      <x:c r="D192" s="1" t="str">
        <x:v>Isoamyl octanoate</x:v>
      </x:c>
      <x:c r="E192" s="5" t="str">
        <x:f>IF('浓度与阈值来源'!D192&gt;0,'浓度与阈值来源'!D192,"")</x:f>
      </x:c>
      <x:c r="F192" s="6" t="n">
        <x:f>COUNT('浓度与阈值来源'!E192:DM192)</x:f>
        <x:v>31</x:v>
      </x:c>
      <x:c r="G192" s="5" t="n">
        <x:f>IF(F192=0,"",MAX('浓度与阈值来源'!E192:DM192))</x:f>
        <x:v>5173</x:v>
      </x:c>
      <x:c r="H192" s="5" t="n">
        <x:f>IF(F192=0,"",MEDIAN('浓度与阈值来源'!E192:DM192))</x:f>
        <x:v>272.3</x:v>
      </x:c>
      <x:c r="I192" s="7" t="str">
        <x:f>IF(AND(ISNUMBER(E192),E192&gt;0,F192&gt;0),G192/E192,"")</x:f>
      </x:c>
      <x:c r="J192" s="7" t="str">
        <x:f>IF(AND(ISNUMBER(E192),E192&gt;0,F192&gt;0),H192/E192,"")</x:f>
      </x:c>
      <x:c r="K192" s="1" t="str">
        <x:f>IF(F192=0,"无浓度数据",IF(E192="","缺周表阈值","可计算"))</x:f>
        <x:v>缺周表阈值</x:v>
      </x:c>
      <x:c r="L192" s="1" t="str">
        <x:f>IF(NOT(ISNUMBER(J192)),"待定",IF(J192&gt;50,"骨架成分",IF(J192&gt;=2,"重要成分","两档成分")))</x:f>
        <x:v>待定</x:v>
      </x:c>
      <x:c r="M192" s="1" t="str">
        <x:f>IF(NOT(ISNUMBER(J192)),"",IF(J192&gt;=2,3,2))</x:f>
      </x:c>
      <x:c r="N192" s="1" t="str">
        <x:f>IF(NOT(ISNUMBER(J192)),"缺少可算OAV",IF(J192&gt;=2,"最大值、中位值、低值待校准","最大值、中位值"))</x:f>
        <x:v>缺少可算OAV</x:v>
      </x:c>
      <x:c r="O192" s="1" t="str">
        <x:f>IF(NOT(ISNUMBER(J192)),"待定",IF(J192&lt;2,"不设第三档",IF(J192&lt;=5,"中位OAV≤5；低档须低于中位浓度","低档需预试确认与中档可区分")))</x:f>
        <x:v>待定</x:v>
      </x:c>
    </x:row>
    <x:row r="193" ht="23" customHeight="1">
      <x:c r="A193" s="1" t="n">
        <x:f>'浓度与阈值来源'!A193</x:f>
        <x:v>188</x:v>
      </x:c>
      <x:c r="B193" s="1" t="str">
        <x:f>IF('浓度与阈值来源'!B193="","",'浓度与阈值来源'!B193)</x:f>
        <x:v>苯甲酸正戊酯</x:v>
      </x:c>
      <x:c r="C193" s="1" t="str">
        <x:f>IF('浓度与阈值来源'!C193="","",'浓度与阈值来源'!C193)</x:f>
        <x:v>2049-96-9</x:v>
      </x:c>
      <x:c r="D193" s="1"/>
      <x:c r="E193" s="5" t="str">
        <x:f>IF('浓度与阈值来源'!D193&gt;0,'浓度与阈值来源'!D193,"")</x:f>
      </x:c>
      <x:c r="F193" s="6" t="n">
        <x:f>COUNT('浓度与阈值来源'!E193:DM193)</x:f>
        <x:v>1</x:v>
      </x:c>
      <x:c r="G193" s="5" t="n">
        <x:f>IF(F193=0,"",MAX('浓度与阈值来源'!E193:DM193))</x:f>
        <x:v>10</x:v>
      </x:c>
      <x:c r="H193" s="5" t="n">
        <x:f>IF(F193=0,"",MEDIAN('浓度与阈值来源'!E193:DM193))</x:f>
        <x:v>10</x:v>
      </x:c>
      <x:c r="I193" s="7" t="str">
        <x:f>IF(AND(ISNUMBER(E193),E193&gt;0,F193&gt;0),G193/E193,"")</x:f>
      </x:c>
      <x:c r="J193" s="7" t="str">
        <x:f>IF(AND(ISNUMBER(E193),E193&gt;0,F193&gt;0),H193/E193,"")</x:f>
      </x:c>
      <x:c r="K193" s="1" t="str">
        <x:f>IF(F193=0,"无浓度数据",IF(E193="","缺周表阈值","可计算"))</x:f>
        <x:v>缺周表阈值</x:v>
      </x:c>
      <x:c r="L193" s="1" t="str">
        <x:f>IF(NOT(ISNUMBER(J193)),"待定",IF(J193&gt;50,"骨架成分",IF(J193&gt;=2,"重要成分","两档成分")))</x:f>
        <x:v>待定</x:v>
      </x:c>
      <x:c r="M193" s="1" t="str">
        <x:f>IF(NOT(ISNUMBER(J193)),"",IF(J193&gt;=2,3,2))</x:f>
      </x:c>
      <x:c r="N193" s="1" t="str">
        <x:f>IF(NOT(ISNUMBER(J193)),"缺少可算OAV",IF(J193&gt;=2,"最大值、中位值、低值待校准","最大值、中位值"))</x:f>
        <x:v>缺少可算OAV</x:v>
      </x:c>
      <x:c r="O193" s="1" t="str">
        <x:f>IF(NOT(ISNUMBER(J193)),"待定",IF(J193&lt;2,"不设第三档",IF(J193&lt;=5,"中位OAV≤5；低档须低于中位浓度","低档需预试确认与中档可区分")))</x:f>
        <x:v>待定</x:v>
      </x:c>
    </x:row>
    <x:row r="194" ht="23" customHeight="1">
      <x:c r="A194" s="1" t="n">
        <x:f>'浓度与阈值来源'!A194</x:f>
        <x:v>189</x:v>
      </x:c>
      <x:c r="B194" s="1" t="str">
        <x:f>IF('浓度与阈值来源'!B194="","",'浓度与阈值来源'!B194)</x:f>
        <x:v>异丁酸异戊酯</x:v>
      </x:c>
      <x:c r="C194" s="1" t="str">
        <x:f>IF('浓度与阈值来源'!C194="","",'浓度与阈值来源'!C194)</x:f>
        <x:v>2050-01-3</x:v>
      </x:c>
      <x:c r="D194" s="1"/>
      <x:c r="E194" s="5" t="str">
        <x:f>IF('浓度与阈值来源'!D194&gt;0,'浓度与阈值来源'!D194,"")</x:f>
      </x:c>
      <x:c r="F194" s="6" t="n">
        <x:f>COUNT('浓度与阈值来源'!E194:DM194)</x:f>
        <x:v>1</x:v>
      </x:c>
      <x:c r="G194" s="5" t="n">
        <x:f>IF(F194=0,"",MAX('浓度与阈值来源'!E194:DM194))</x:f>
        <x:v>72.08</x:v>
      </x:c>
      <x:c r="H194" s="5" t="n">
        <x:f>IF(F194=0,"",MEDIAN('浓度与阈值来源'!E194:DM194))</x:f>
        <x:v>72.08</x:v>
      </x:c>
      <x:c r="I194" s="7" t="str">
        <x:f>IF(AND(ISNUMBER(E194),E194&gt;0,F194&gt;0),G194/E194,"")</x:f>
      </x:c>
      <x:c r="J194" s="7" t="str">
        <x:f>IF(AND(ISNUMBER(E194),E194&gt;0,F194&gt;0),H194/E194,"")</x:f>
      </x:c>
      <x:c r="K194" s="1" t="str">
        <x:f>IF(F194=0,"无浓度数据",IF(E194="","缺周表阈值","可计算"))</x:f>
        <x:v>缺周表阈值</x:v>
      </x:c>
      <x:c r="L194" s="1" t="str">
        <x:f>IF(NOT(ISNUMBER(J194)),"待定",IF(J194&gt;50,"骨架成分",IF(J194&gt;=2,"重要成分","两档成分")))</x:f>
        <x:v>待定</x:v>
      </x:c>
      <x:c r="M194" s="1" t="str">
        <x:f>IF(NOT(ISNUMBER(J194)),"",IF(J194&gt;=2,3,2))</x:f>
      </x:c>
      <x:c r="N194" s="1" t="str">
        <x:f>IF(NOT(ISNUMBER(J194)),"缺少可算OAV",IF(J194&gt;=2,"最大值、中位值、低值待校准","最大值、中位值"))</x:f>
        <x:v>缺少可算OAV</x:v>
      </x:c>
      <x:c r="O194" s="1" t="str">
        <x:f>IF(NOT(ISNUMBER(J194)),"待定",IF(J194&lt;2,"不设第三档",IF(J194&lt;=5,"中位OAV≤5；低档须低于中位浓度","低档需预试确认与中档可区分")))</x:f>
        <x:v>待定</x:v>
      </x:c>
    </x:row>
    <x:row r="195" ht="23" customHeight="1">
      <x:c r="A195" s="1" t="n">
        <x:f>'浓度与阈值来源'!A195</x:f>
        <x:v>190</x:v>
      </x:c>
      <x:c r="B195" s="1" t="str">
        <x:f>IF('浓度与阈值来源'!B195="","",'浓度与阈值来源'!B195)</x:f>
        <x:v>戊酸-3-甲基丁酯</x:v>
      </x:c>
      <x:c r="C195" s="1" t="str">
        <x:f>IF('浓度与阈值来源'!C195="","",'浓度与阈值来源'!C195)</x:f>
        <x:v>2050-09-1</x:v>
      </x:c>
      <x:c r="D195" s="1" t="str">
        <x:v>3-methylbutyl pentanoate</x:v>
      </x:c>
      <x:c r="E195" s="5" t="str">
        <x:f>IF('浓度与阈值来源'!D195&gt;0,'浓度与阈值来源'!D195,"")</x:f>
      </x:c>
      <x:c r="F195" s="6" t="n">
        <x:f>COUNT('浓度与阈值来源'!E195:DM195)</x:f>
        <x:v>21</x:v>
      </x:c>
      <x:c r="G195" s="5" t="n">
        <x:f>IF(F195=0,"",MAX('浓度与阈值来源'!E195:DM195))</x:f>
        <x:v>2474</x:v>
      </x:c>
      <x:c r="H195" s="5" t="n">
        <x:f>IF(F195=0,"",MEDIAN('浓度与阈值来源'!E195:DM195))</x:f>
        <x:v>1110.54</x:v>
      </x:c>
      <x:c r="I195" s="7" t="str">
        <x:f>IF(AND(ISNUMBER(E195),E195&gt;0,F195&gt;0),G195/E195,"")</x:f>
      </x:c>
      <x:c r="J195" s="7" t="str">
        <x:f>IF(AND(ISNUMBER(E195),E195&gt;0,F195&gt;0),H195/E195,"")</x:f>
      </x:c>
      <x:c r="K195" s="1" t="str">
        <x:f>IF(F195=0,"无浓度数据",IF(E195="","缺周表阈值","可计算"))</x:f>
        <x:v>缺周表阈值</x:v>
      </x:c>
      <x:c r="L195" s="1" t="str">
        <x:f>IF(NOT(ISNUMBER(J195)),"待定",IF(J195&gt;50,"骨架成分",IF(J195&gt;=2,"重要成分","两档成分")))</x:f>
        <x:v>待定</x:v>
      </x:c>
      <x:c r="M195" s="1" t="str">
        <x:f>IF(NOT(ISNUMBER(J195)),"",IF(J195&gt;=2,3,2))</x:f>
      </x:c>
      <x:c r="N195" s="1" t="str">
        <x:f>IF(NOT(ISNUMBER(J195)),"缺少可算OAV",IF(J195&gt;=2,"最大值、中位值、低值待校准","最大值、中位值"))</x:f>
        <x:v>缺少可算OAV</x:v>
      </x:c>
      <x:c r="O195" s="1" t="str">
        <x:f>IF(NOT(ISNUMBER(J195)),"待定",IF(J195&lt;2,"不设第三档",IF(J195&lt;=5,"中位OAV≤5；低档须低于中位浓度","低档需预试确认与中档可区分")))</x:f>
        <x:v>待定</x:v>
      </x:c>
    </x:row>
    <x:row r="196" ht="23" customHeight="1">
      <x:c r="A196" s="1" t="n">
        <x:f>'浓度与阈值来源'!A196</x:f>
        <x:v>191</x:v>
      </x:c>
      <x:c r="B196" s="1" t="str">
        <x:f>IF('浓度与阈值来源'!B196="","",'浓度与阈值来源'!B196)</x:f>
      </x:c>
      <x:c r="C196" s="1" t="str">
        <x:f>IF('浓度与阈值来源'!C196="","",'浓度与阈值来源'!C196)</x:f>
        <x:v>2051-49-2</x:v>
      </x:c>
      <x:c r="D196" s="1" t="str">
        <x:v>Hexanoic anhydride</x:v>
      </x:c>
      <x:c r="E196" s="5" t="str">
        <x:f>IF('浓度与阈值来源'!D196&gt;0,'浓度与阈值来源'!D196,"")</x:f>
      </x:c>
      <x:c r="F196" s="6" t="n">
        <x:f>COUNT('浓度与阈值来源'!E196:DM196)</x:f>
        <x:v>6</x:v>
      </x:c>
      <x:c r="G196" s="5" t="n">
        <x:f>IF(F196=0,"",MAX('浓度与阈值来源'!E196:DM196))</x:f>
        <x:v>8178</x:v>
      </x:c>
      <x:c r="H196" s="5" t="n">
        <x:f>IF(F196=0,"",MEDIAN('浓度与阈值来源'!E196:DM196))</x:f>
        <x:v>6979.5</x:v>
      </x:c>
      <x:c r="I196" s="7" t="str">
        <x:f>IF(AND(ISNUMBER(E196),E196&gt;0,F196&gt;0),G196/E196,"")</x:f>
      </x:c>
      <x:c r="J196" s="7" t="str">
        <x:f>IF(AND(ISNUMBER(E196),E196&gt;0,F196&gt;0),H196/E196,"")</x:f>
      </x:c>
      <x:c r="K196" s="1" t="str">
        <x:f>IF(F196=0,"无浓度数据",IF(E196="","缺周表阈值","可计算"))</x:f>
        <x:v>缺周表阈值</x:v>
      </x:c>
      <x:c r="L196" s="1" t="str">
        <x:f>IF(NOT(ISNUMBER(J196)),"待定",IF(J196&gt;50,"骨架成分",IF(J196&gt;=2,"重要成分","两档成分")))</x:f>
        <x:v>待定</x:v>
      </x:c>
      <x:c r="M196" s="1" t="str">
        <x:f>IF(NOT(ISNUMBER(J196)),"",IF(J196&gt;=2,3,2))</x:f>
      </x:c>
      <x:c r="N196" s="1" t="str">
        <x:f>IF(NOT(ISNUMBER(J196)),"缺少可算OAV",IF(J196&gt;=2,"最大值、中位值、低值待校准","最大值、中位值"))</x:f>
        <x:v>缺少可算OAV</x:v>
      </x:c>
      <x:c r="O196" s="1" t="str">
        <x:f>IF(NOT(ISNUMBER(J196)),"待定",IF(J196&lt;2,"不设第三档",IF(J196&lt;=5,"中位OAV≤5；低档须低于中位浓度","低档需预试确认与中档可区分")))</x:f>
        <x:v>待定</x:v>
      </x:c>
    </x:row>
    <x:row r="197" ht="23" customHeight="1">
      <x:c r="A197" s="1" t="n">
        <x:f>'浓度与阈值来源'!A197</x:f>
        <x:v>192</x:v>
      </x:c>
      <x:c r="B197" s="1" t="str">
        <x:f>IF('浓度与阈值来源'!B197="","",'浓度与阈值来源'!B197)</x:f>
      </x:c>
      <x:c r="C197" s="1" t="str">
        <x:f>IF('浓度与阈值来源'!C197="","",'浓度与阈值来源'!C197)</x:f>
        <x:v>2091-29-4</x:v>
      </x:c>
      <x:c r="D197" s="1" t="str">
        <x:v>9-Hexadecenoic acid</x:v>
      </x:c>
      <x:c r="E197" s="5" t="str">
        <x:f>IF('浓度与阈值来源'!D197&gt;0,'浓度与阈值来源'!D197,"")</x:f>
      </x:c>
      <x:c r="F197" s="6" t="n">
        <x:f>COUNT('浓度与阈值来源'!E197:DM197)</x:f>
        <x:v>5</x:v>
      </x:c>
      <x:c r="G197" s="5" t="n">
        <x:f>IF(F197=0,"",MAX('浓度与阈值来源'!E197:DM197))</x:f>
        <x:v>263</x:v>
      </x:c>
      <x:c r="H197" s="5" t="n">
        <x:f>IF(F197=0,"",MEDIAN('浓度与阈值来源'!E197:DM197))</x:f>
        <x:v>110</x:v>
      </x:c>
      <x:c r="I197" s="7" t="str">
        <x:f>IF(AND(ISNUMBER(E197),E197&gt;0,F197&gt;0),G197/E197,"")</x:f>
      </x:c>
      <x:c r="J197" s="7" t="str">
        <x:f>IF(AND(ISNUMBER(E197),E197&gt;0,F197&gt;0),H197/E197,"")</x:f>
      </x:c>
      <x:c r="K197" s="1" t="str">
        <x:f>IF(F197=0,"无浓度数据",IF(E197="","缺周表阈值","可计算"))</x:f>
        <x:v>缺周表阈值</x:v>
      </x:c>
      <x:c r="L197" s="1" t="str">
        <x:f>IF(NOT(ISNUMBER(J197)),"待定",IF(J197&gt;50,"骨架成分",IF(J197&gt;=2,"重要成分","两档成分")))</x:f>
        <x:v>待定</x:v>
      </x:c>
      <x:c r="M197" s="1" t="str">
        <x:f>IF(NOT(ISNUMBER(J197)),"",IF(J197&gt;=2,3,2))</x:f>
      </x:c>
      <x:c r="N197" s="1" t="str">
        <x:f>IF(NOT(ISNUMBER(J197)),"缺少可算OAV",IF(J197&gt;=2,"最大值、中位值、低值待校准","最大值、中位值"))</x:f>
        <x:v>缺少可算OAV</x:v>
      </x:c>
      <x:c r="O197" s="1" t="str">
        <x:f>IF(NOT(ISNUMBER(J197)),"待定",IF(J197&lt;2,"不设第三档",IF(J197&lt;=5,"中位OAV≤5；低档须低于中位浓度","低档需预试确认与中档可区分")))</x:f>
        <x:v>待定</x:v>
      </x:c>
    </x:row>
    <x:row r="198" ht="23" customHeight="1">
      <x:c r="A198" s="1" t="n">
        <x:f>'浓度与阈值来源'!A198</x:f>
        <x:v>193</x:v>
      </x:c>
      <x:c r="B198" s="1" t="str">
        <x:f>IF('浓度与阈值来源'!B198="","",'浓度与阈值来源'!B198)</x:f>
        <x:v>己酸异戊脂（3-甲基丁基己酸酯）</x:v>
      </x:c>
      <x:c r="C198" s="1" t="str">
        <x:f>IF('浓度与阈值来源'!C198="","",'浓度与阈值来源'!C198)</x:f>
        <x:v>2198-61-0</x:v>
      </x:c>
      <x:c r="D198" s="1" t="str">
        <x:v>3-methylbutyl hexanoate/Isoamyl hexanoate</x:v>
      </x:c>
      <x:c r="E198" s="5" t="str">
        <x:f>IF('浓度与阈值来源'!D198&gt;0,'浓度与阈值来源'!D198,"")</x:f>
      </x:c>
      <x:c r="F198" s="6" t="n">
        <x:f>COUNT('浓度与阈值来源'!E198:DM198)</x:f>
        <x:v>80</x:v>
      </x:c>
      <x:c r="G198" s="5" t="n">
        <x:f>IF(F198=0,"",MAX('浓度与阈值来源'!E198:DM198))</x:f>
        <x:v>64045</x:v>
      </x:c>
      <x:c r="H198" s="5" t="n">
        <x:f>IF(F198=0,"",MEDIAN('浓度与阈值来源'!E198:DM198))</x:f>
        <x:v>1022.115</x:v>
      </x:c>
      <x:c r="I198" s="7" t="str">
        <x:f>IF(AND(ISNUMBER(E198),E198&gt;0,F198&gt;0),G198/E198,"")</x:f>
      </x:c>
      <x:c r="J198" s="7" t="str">
        <x:f>IF(AND(ISNUMBER(E198),E198&gt;0,F198&gt;0),H198/E198,"")</x:f>
      </x:c>
      <x:c r="K198" s="1" t="str">
        <x:f>IF(F198=0,"无浓度数据",IF(E198="","缺周表阈值","可计算"))</x:f>
        <x:v>缺周表阈值</x:v>
      </x:c>
      <x:c r="L198" s="1" t="str">
        <x:f>IF(NOT(ISNUMBER(J198)),"待定",IF(J198&gt;50,"骨架成分",IF(J198&gt;=2,"重要成分","两档成分")))</x:f>
        <x:v>待定</x:v>
      </x:c>
      <x:c r="M198" s="1" t="str">
        <x:f>IF(NOT(ISNUMBER(J198)),"",IF(J198&gt;=2,3,2))</x:f>
      </x:c>
      <x:c r="N198" s="1" t="str">
        <x:f>IF(NOT(ISNUMBER(J198)),"缺少可算OAV",IF(J198&gt;=2,"最大值、中位值、低值待校准","最大值、中位值"))</x:f>
        <x:v>缺少可算OAV</x:v>
      </x:c>
      <x:c r="O198" s="1" t="str">
        <x:f>IF(NOT(ISNUMBER(J198)),"待定",IF(J198&lt;2,"不设第三档",IF(J198&lt;=5,"中位OAV≤5；低档须低于中位浓度","低档需预试确认与中档可区分")))</x:f>
        <x:v>待定</x:v>
      </x:c>
    </x:row>
    <x:row r="199" ht="23" customHeight="1">
      <x:c r="A199" s="1" t="n">
        <x:f>'浓度与阈值来源'!A199</x:f>
        <x:v>194</x:v>
      </x:c>
      <x:c r="B199" s="1" t="str">
        <x:f>IF('浓度与阈值来源'!B199="","",'浓度与阈值来源'!B199)</x:f>
        <x:v>辛酸辛酯</x:v>
      </x:c>
      <x:c r="C199" s="1" t="str">
        <x:f>IF('浓度与阈值来源'!C199="","",'浓度与阈值来源'!C199)</x:f>
        <x:v>2306-88-9</x:v>
      </x:c>
      <x:c r="D199" s="1" t="str">
        <x:v>Octyl octanoate</x:v>
      </x:c>
      <x:c r="E199" s="5" t="str">
        <x:f>IF('浓度与阈值来源'!D199&gt;0,'浓度与阈值来源'!D199,"")</x:f>
      </x:c>
      <x:c r="F199" s="6" t="n">
        <x:f>COUNT('浓度与阈值来源'!E199:DM199)</x:f>
        <x:v>11</x:v>
      </x:c>
      <x:c r="G199" s="5" t="n">
        <x:f>IF(F199=0,"",MAX('浓度与阈值来源'!E199:DM199))</x:f>
        <x:v>2760</x:v>
      </x:c>
      <x:c r="H199" s="5" t="n">
        <x:f>IF(F199=0,"",MEDIAN('浓度与阈值来源'!E199:DM199))</x:f>
        <x:v>502</x:v>
      </x:c>
      <x:c r="I199" s="7" t="str">
        <x:f>IF(AND(ISNUMBER(E199),E199&gt;0,F199&gt;0),G199/E199,"")</x:f>
      </x:c>
      <x:c r="J199" s="7" t="str">
        <x:f>IF(AND(ISNUMBER(E199),E199&gt;0,F199&gt;0),H199/E199,"")</x:f>
      </x:c>
      <x:c r="K199" s="1" t="str">
        <x:f>IF(F199=0,"无浓度数据",IF(E199="","缺周表阈值","可计算"))</x:f>
        <x:v>缺周表阈值</x:v>
      </x:c>
      <x:c r="L199" s="1" t="str">
        <x:f>IF(NOT(ISNUMBER(J199)),"待定",IF(J199&gt;50,"骨架成分",IF(J199&gt;=2,"重要成分","两档成分")))</x:f>
        <x:v>待定</x:v>
      </x:c>
      <x:c r="M199" s="1" t="str">
        <x:f>IF(NOT(ISNUMBER(J199)),"",IF(J199&gt;=2,3,2))</x:f>
      </x:c>
      <x:c r="N199" s="1" t="str">
        <x:f>IF(NOT(ISNUMBER(J199)),"缺少可算OAV",IF(J199&gt;=2,"最大值、中位值、低值待校准","最大值、中位值"))</x:f>
        <x:v>缺少可算OAV</x:v>
      </x:c>
      <x:c r="O199" s="1" t="str">
        <x:f>IF(NOT(ISNUMBER(J199)),"待定",IF(J199&lt;2,"不设第三档",IF(J199&lt;=5,"中位OAV≤5；低档须低于中位浓度","低档需预试确认与中档可区分")))</x:f>
        <x:v>待定</x:v>
      </x:c>
    </x:row>
    <x:row r="200" ht="23" customHeight="1">
      <x:c r="A200" s="1" t="n">
        <x:f>'浓度与阈值来源'!A200</x:f>
        <x:v>195</x:v>
      </x:c>
      <x:c r="B200" s="1" t="str">
        <x:f>IF('浓度与阈值来源'!B200="","",'浓度与阈值来源'!B200)</x:f>
      </x:c>
      <x:c r="C200" s="1" t="str">
        <x:f>IF('浓度与阈值来源'!C200="","",'浓度与阈值来源'!C200)</x:f>
        <x:v>2311-46-8</x:v>
      </x:c>
      <x:c r="D200" s="1"/>
      <x:c r="E200" s="5" t="str">
        <x:f>IF('浓度与阈值来源'!D200&gt;0,'浓度与阈值来源'!D200,"")</x:f>
      </x:c>
      <x:c r="F200" s="6" t="n">
        <x:f>COUNT('浓度与阈值来源'!E200:DM200)</x:f>
        <x:v>1</x:v>
      </x:c>
      <x:c r="G200" s="5" t="n">
        <x:f>IF(F200=0,"",MAX('浓度与阈值来源'!E200:DM200))</x:f>
        <x:v>9.48</x:v>
      </x:c>
      <x:c r="H200" s="5" t="n">
        <x:f>IF(F200=0,"",MEDIAN('浓度与阈值来源'!E200:DM200))</x:f>
        <x:v>9.48</x:v>
      </x:c>
      <x:c r="I200" s="7" t="str">
        <x:f>IF(AND(ISNUMBER(E200),E200&gt;0,F200&gt;0),G200/E200,"")</x:f>
      </x:c>
      <x:c r="J200" s="7" t="str">
        <x:f>IF(AND(ISNUMBER(E200),E200&gt;0,F200&gt;0),H200/E200,"")</x:f>
      </x:c>
      <x:c r="K200" s="1" t="str">
        <x:f>IF(F200=0,"无浓度数据",IF(E200="","缺周表阈值","可计算"))</x:f>
        <x:v>缺周表阈值</x:v>
      </x:c>
      <x:c r="L200" s="1" t="str">
        <x:f>IF(NOT(ISNUMBER(J200)),"待定",IF(J200&gt;50,"骨架成分",IF(J200&gt;=2,"重要成分","两档成分")))</x:f>
        <x:v>待定</x:v>
      </x:c>
      <x:c r="M200" s="1" t="str">
        <x:f>IF(NOT(ISNUMBER(J200)),"",IF(J200&gt;=2,3,2))</x:f>
      </x:c>
      <x:c r="N200" s="1" t="str">
        <x:f>IF(NOT(ISNUMBER(J200)),"缺少可算OAV",IF(J200&gt;=2,"最大值、中位值、低值待校准","最大值、中位值"))</x:f>
        <x:v>缺少可算OAV</x:v>
      </x:c>
      <x:c r="O200" s="1" t="str">
        <x:f>IF(NOT(ISNUMBER(J200)),"待定",IF(J200&lt;2,"不设第三档",IF(J200&lt;=5,"中位OAV≤5；低档须低于中位浓度","低档需预试确认与中档可区分")))</x:f>
        <x:v>待定</x:v>
      </x:c>
    </x:row>
    <x:row r="201" ht="23" customHeight="1">
      <x:c r="A201" s="1" t="n">
        <x:f>'浓度与阈值来源'!A201</x:f>
        <x:v>196</x:v>
      </x:c>
      <x:c r="B201" s="1" t="str">
        <x:f>IF('浓度与阈值来源'!B201="","",'浓度与阈值来源'!B201)</x:f>
        <x:v>3-甲基-2-己醇</x:v>
      </x:c>
      <x:c r="C201" s="1" t="str">
        <x:f>IF('浓度与阈值来源'!C201="","",'浓度与阈值来源'!C201)</x:f>
        <x:v>2313-65-7</x:v>
      </x:c>
      <x:c r="D201" s="1"/>
      <x:c r="E201" s="5" t="str">
        <x:f>IF('浓度与阈值来源'!D201&gt;0,'浓度与阈值来源'!D201,"")</x:f>
      </x:c>
      <x:c r="F201" s="6" t="n">
        <x:f>COUNT('浓度与阈值来源'!E201:DM201)</x:f>
        <x:v>4</x:v>
      </x:c>
      <x:c r="G201" s="5" t="n">
        <x:f>IF(F201=0,"",MAX('浓度与阈值来源'!E201:DM201))</x:f>
        <x:v>3.8</x:v>
      </x:c>
      <x:c r="H201" s="5" t="n">
        <x:f>IF(F201=0,"",MEDIAN('浓度与阈值来源'!E201:DM201))</x:f>
        <x:v>2.885</x:v>
      </x:c>
      <x:c r="I201" s="7" t="str">
        <x:f>IF(AND(ISNUMBER(E201),E201&gt;0,F201&gt;0),G201/E201,"")</x:f>
      </x:c>
      <x:c r="J201" s="7" t="str">
        <x:f>IF(AND(ISNUMBER(E201),E201&gt;0,F201&gt;0),H201/E201,"")</x:f>
      </x:c>
      <x:c r="K201" s="1" t="str">
        <x:f>IF(F201=0,"无浓度数据",IF(E201="","缺周表阈值","可计算"))</x:f>
        <x:v>缺周表阈值</x:v>
      </x:c>
      <x:c r="L201" s="1" t="str">
        <x:f>IF(NOT(ISNUMBER(J201)),"待定",IF(J201&gt;50,"骨架成分",IF(J201&gt;=2,"重要成分","两档成分")))</x:f>
        <x:v>待定</x:v>
      </x:c>
      <x:c r="M201" s="1" t="str">
        <x:f>IF(NOT(ISNUMBER(J201)),"",IF(J201&gt;=2,3,2))</x:f>
      </x:c>
      <x:c r="N201" s="1" t="str">
        <x:f>IF(NOT(ISNUMBER(J201)),"缺少可算OAV",IF(J201&gt;=2,"最大值、中位值、低值待校准","最大值、中位值"))</x:f>
        <x:v>缺少可算OAV</x:v>
      </x:c>
      <x:c r="O201" s="1" t="str">
        <x:f>IF(NOT(ISNUMBER(J201)),"待定",IF(J201&lt;2,"不设第三档",IF(J201&lt;=5,"中位OAV≤5；低档须低于中位浓度","低档需预试确认与中档可区分")))</x:f>
        <x:v>待定</x:v>
      </x:c>
    </x:row>
    <x:row r="202" ht="23" customHeight="1">
      <x:c r="A202" s="1" t="n">
        <x:f>'浓度与阈值来源'!A202</x:f>
        <x:v>197</x:v>
      </x:c>
      <x:c r="B202" s="1" t="str">
        <x:f>IF('浓度与阈值来源'!B202="","",'浓度与阈值来源'!B202)</x:f>
      </x:c>
      <x:c r="C202" s="1" t="str">
        <x:f>IF('浓度与阈值来源'!C202="","",'浓度与阈值来源'!C202)</x:f>
        <x:v>2345-28-0</x:v>
      </x:c>
      <x:c r="D202" s="1" t="str">
        <x:v>2-Pentadecanone</x:v>
      </x:c>
      <x:c r="E202" s="5" t="str">
        <x:f>IF('浓度与阈值来源'!D202&gt;0,'浓度与阈值来源'!D202,"")</x:f>
      </x:c>
      <x:c r="F202" s="6" t="n">
        <x:f>COUNT('浓度与阈值来源'!E202:DM202)</x:f>
        <x:v>7</x:v>
      </x:c>
      <x:c r="G202" s="5" t="n">
        <x:f>IF(F202=0,"",MAX('浓度与阈值来源'!E202:DM202))</x:f>
        <x:v>720</x:v>
      </x:c>
      <x:c r="H202" s="5" t="n">
        <x:f>IF(F202=0,"",MEDIAN('浓度与阈值来源'!E202:DM202))</x:f>
        <x:v>511</x:v>
      </x:c>
      <x:c r="I202" s="7" t="str">
        <x:f>IF(AND(ISNUMBER(E202),E202&gt;0,F202&gt;0),G202/E202,"")</x:f>
      </x:c>
      <x:c r="J202" s="7" t="str">
        <x:f>IF(AND(ISNUMBER(E202),E202&gt;0,F202&gt;0),H202/E202,"")</x:f>
      </x:c>
      <x:c r="K202" s="1" t="str">
        <x:f>IF(F202=0,"无浓度数据",IF(E202="","缺周表阈值","可计算"))</x:f>
        <x:v>缺周表阈值</x:v>
      </x:c>
      <x:c r="L202" s="1" t="str">
        <x:f>IF(NOT(ISNUMBER(J202)),"待定",IF(J202&gt;50,"骨架成分",IF(J202&gt;=2,"重要成分","两档成分")))</x:f>
        <x:v>待定</x:v>
      </x:c>
      <x:c r="M202" s="1" t="str">
        <x:f>IF(NOT(ISNUMBER(J202)),"",IF(J202&gt;=2,3,2))</x:f>
      </x:c>
      <x:c r="N202" s="1" t="str">
        <x:f>IF(NOT(ISNUMBER(J202)),"缺少可算OAV",IF(J202&gt;=2,"最大值、中位值、低值待校准","最大值、中位值"))</x:f>
        <x:v>缺少可算OAV</x:v>
      </x:c>
      <x:c r="O202" s="1" t="str">
        <x:f>IF(NOT(ISNUMBER(J202)),"待定",IF(J202&lt;2,"不设第三档",IF(J202&lt;=5,"中位OAV≤5；低档须低于中位浓度","低档需预试确认与中档可区分")))</x:f>
        <x:v>待定</x:v>
      </x:c>
    </x:row>
    <x:row r="203" ht="23" customHeight="1">
      <x:c r="A203" s="1" t="n">
        <x:f>'浓度与阈值来源'!A203</x:f>
        <x:v>198</x:v>
      </x:c>
      <x:c r="B203" s="1" t="str">
        <x:f>IF('浓度与阈值来源'!B203="","",'浓度与阈值来源'!B203)</x:f>
        <x:v>3-己烯酸乙酯</x:v>
      </x:c>
      <x:c r="C203" s="1" t="str">
        <x:f>IF('浓度与阈值来源'!C203="","",'浓度与阈值来源'!C203)</x:f>
        <x:v>2396-83-0</x:v>
      </x:c>
      <x:c r="D203" s="1" t="str">
        <x:v>Ethyl 3-hexenoate</x:v>
      </x:c>
      <x:c r="E203" s="5" t="str">
        <x:f>IF('浓度与阈值来源'!D203&gt;0,'浓度与阈值来源'!D203,"")</x:f>
      </x:c>
      <x:c r="F203" s="6" t="n">
        <x:f>COUNT('浓度与阈值来源'!E203:DM203)</x:f>
        <x:v>8</x:v>
      </x:c>
      <x:c r="G203" s="5" t="n">
        <x:f>IF(F203=0,"",MAX('浓度与阈值来源'!E203:DM203))</x:f>
        <x:v>1128</x:v>
      </x:c>
      <x:c r="H203" s="5" t="n">
        <x:f>IF(F203=0,"",MEDIAN('浓度与阈值来源'!E203:DM203))</x:f>
        <x:v>733</x:v>
      </x:c>
      <x:c r="I203" s="7" t="str">
        <x:f>IF(AND(ISNUMBER(E203),E203&gt;0,F203&gt;0),G203/E203,"")</x:f>
      </x:c>
      <x:c r="J203" s="7" t="str">
        <x:f>IF(AND(ISNUMBER(E203),E203&gt;0,F203&gt;0),H203/E203,"")</x:f>
      </x:c>
      <x:c r="K203" s="1" t="str">
        <x:f>IF(F203=0,"无浓度数据",IF(E203="","缺周表阈值","可计算"))</x:f>
        <x:v>缺周表阈值</x:v>
      </x:c>
      <x:c r="L203" s="1" t="str">
        <x:f>IF(NOT(ISNUMBER(J203)),"待定",IF(J203&gt;50,"骨架成分",IF(J203&gt;=2,"重要成分","两档成分")))</x:f>
        <x:v>待定</x:v>
      </x:c>
      <x:c r="M203" s="1" t="str">
        <x:f>IF(NOT(ISNUMBER(J203)),"",IF(J203&gt;=2,3,2))</x:f>
      </x:c>
      <x:c r="N203" s="1" t="str">
        <x:f>IF(NOT(ISNUMBER(J203)),"缺少可算OAV",IF(J203&gt;=2,"最大值、中位值、低值待校准","最大值、中位值"))</x:f>
        <x:v>缺少可算OAV</x:v>
      </x:c>
      <x:c r="O203" s="1" t="str">
        <x:f>IF(NOT(ISNUMBER(J203)),"待定",IF(J203&lt;2,"不设第三档",IF(J203&lt;=5,"中位OAV≤5；低档须低于中位浓度","低档需预试确认与中档可区分")))</x:f>
        <x:v>待定</x:v>
      </x:c>
    </x:row>
    <x:row r="204" ht="23" customHeight="1">
      <x:c r="A204" s="1" t="n">
        <x:f>'浓度与阈值来源'!A204</x:f>
        <x:v>199</x:v>
      </x:c>
      <x:c r="B204" s="1" t="str">
        <x:f>IF('浓度与阈值来源'!B204="","",'浓度与阈值来源'!B204)</x:f>
      </x:c>
      <x:c r="C204" s="1" t="str">
        <x:f>IF('浓度与阈值来源'!C204="","",'浓度与阈值来源'!C204)</x:f>
        <x:v>2412-80-8</x:v>
      </x:c>
      <x:c r="D204" s="1" t="str">
        <x:v>FEMA 2721</x:v>
      </x:c>
      <x:c r="E204" s="5" t="str">
        <x:f>IF('浓度与阈值来源'!D204&gt;0,'浓度与阈值来源'!D204,"")</x:f>
      </x:c>
      <x:c r="F204" s="6" t="n">
        <x:f>COUNT('浓度与阈值来源'!E204:DM204)</x:f>
        <x:v>4</x:v>
      </x:c>
      <x:c r="G204" s="5" t="n">
        <x:f>IF(F204=0,"",MAX('浓度与阈值来源'!E204:DM204))</x:f>
        <x:v>6.14</x:v>
      </x:c>
      <x:c r="H204" s="5" t="n">
        <x:f>IF(F204=0,"",MEDIAN('浓度与阈值来源'!E204:DM204))</x:f>
        <x:v>2.0949999999999998</x:v>
      </x:c>
      <x:c r="I204" s="7" t="str">
        <x:f>IF(AND(ISNUMBER(E204),E204&gt;0,F204&gt;0),G204/E204,"")</x:f>
      </x:c>
      <x:c r="J204" s="7" t="str">
        <x:f>IF(AND(ISNUMBER(E204),E204&gt;0,F204&gt;0),H204/E204,"")</x:f>
      </x:c>
      <x:c r="K204" s="1" t="str">
        <x:f>IF(F204=0,"无浓度数据",IF(E204="","缺周表阈值","可计算"))</x:f>
        <x:v>缺周表阈值</x:v>
      </x:c>
      <x:c r="L204" s="1" t="str">
        <x:f>IF(NOT(ISNUMBER(J204)),"待定",IF(J204&gt;50,"骨架成分",IF(J204&gt;=2,"重要成分","两档成分")))</x:f>
        <x:v>待定</x:v>
      </x:c>
      <x:c r="M204" s="1" t="str">
        <x:f>IF(NOT(ISNUMBER(J204)),"",IF(J204&gt;=2,3,2))</x:f>
      </x:c>
      <x:c r="N204" s="1" t="str">
        <x:f>IF(NOT(ISNUMBER(J204)),"缺少可算OAV",IF(J204&gt;=2,"最大值、中位值、低值待校准","最大值、中位值"))</x:f>
        <x:v>缺少可算OAV</x:v>
      </x:c>
      <x:c r="O204" s="1" t="str">
        <x:f>IF(NOT(ISNUMBER(J204)),"待定",IF(J204&lt;2,"不设第三档",IF(J204&lt;=5,"中位OAV≤5；低档须低于中位浓度","低档需预试确认与中档可区分")))</x:f>
        <x:v>待定</x:v>
      </x:c>
    </x:row>
    <x:row r="205" ht="23" customHeight="1">
      <x:c r="A205" s="1" t="n">
        <x:f>'浓度与阈值来源'!A205</x:f>
        <x:v>200</x:v>
      </x:c>
      <x:c r="B205" s="1" t="str">
        <x:f>IF('浓度与阈值来源'!B205="","",'浓度与阈值来源'!B205)</x:f>
      </x:c>
      <x:c r="C205" s="1" t="str">
        <x:f>IF('浓度与阈值来源'!C205="","",'浓度与阈值来源'!C205)</x:f>
        <x:v>2425-77-6</x:v>
      </x:c>
      <x:c r="D205" s="1"/>
      <x:c r="E205" s="5" t="str">
        <x:f>IF('浓度与阈值来源'!D205&gt;0,'浓度与阈值来源'!D205,"")</x:f>
      </x:c>
      <x:c r="F205" s="6" t="n">
        <x:f>COUNT('浓度与阈值来源'!E205:DM205)</x:f>
        <x:v>1</x:v>
      </x:c>
      <x:c r="G205" s="5" t="n">
        <x:f>IF(F205=0,"",MAX('浓度与阈值来源'!E205:DM205))</x:f>
        <x:v>0.13</x:v>
      </x:c>
      <x:c r="H205" s="5" t="n">
        <x:f>IF(F205=0,"",MEDIAN('浓度与阈值来源'!E205:DM205))</x:f>
        <x:v>0.13</x:v>
      </x:c>
      <x:c r="I205" s="7" t="str">
        <x:f>IF(AND(ISNUMBER(E205),E205&gt;0,F205&gt;0),G205/E205,"")</x:f>
      </x:c>
      <x:c r="J205" s="7" t="str">
        <x:f>IF(AND(ISNUMBER(E205),E205&gt;0,F205&gt;0),H205/E205,"")</x:f>
      </x:c>
      <x:c r="K205" s="1" t="str">
        <x:f>IF(F205=0,"无浓度数据",IF(E205="","缺周表阈值","可计算"))</x:f>
        <x:v>缺周表阈值</x:v>
      </x:c>
      <x:c r="L205" s="1" t="str">
        <x:f>IF(NOT(ISNUMBER(J205)),"待定",IF(J205&gt;50,"骨架成分",IF(J205&gt;=2,"重要成分","两档成分")))</x:f>
        <x:v>待定</x:v>
      </x:c>
      <x:c r="M205" s="1" t="str">
        <x:f>IF(NOT(ISNUMBER(J205)),"",IF(J205&gt;=2,3,2))</x:f>
      </x:c>
      <x:c r="N205" s="1" t="str">
        <x:f>IF(NOT(ISNUMBER(J205)),"缺少可算OAV",IF(J205&gt;=2,"最大值、中位值、低值待校准","最大值、中位值"))</x:f>
        <x:v>缺少可算OAV</x:v>
      </x:c>
      <x:c r="O205" s="1" t="str">
        <x:f>IF(NOT(ISNUMBER(J205)),"待定",IF(J205&lt;2,"不设第三档",IF(J205&lt;=5,"中位OAV≤5；低档须低于中位浓度","低档需预试确认与中档可区分")))</x:f>
        <x:v>待定</x:v>
      </x:c>
    </x:row>
    <x:row r="206" ht="23" customHeight="1">
      <x:c r="A206" s="1" t="n">
        <x:f>'浓度与阈值来源'!A206</x:f>
        <x:v>201</x:v>
      </x:c>
      <x:c r="B206" s="1" t="str">
        <x:f>IF('浓度与阈值来源'!B206="","",'浓度与阈值来源'!B206)</x:f>
        <x:v>反-2-壬醛</x:v>
      </x:c>
      <x:c r="C206" s="1" t="str">
        <x:f>IF('浓度与阈值来源'!C206="","",'浓度与阈值来源'!C206)</x:f>
        <x:v>2463-53-8</x:v>
      </x:c>
      <x:c r="D206" s="1"/>
      <x:c r="E206" s="5" t="str">
        <x:f>IF('浓度与阈值来源'!D206&gt;0,'浓度与阈值来源'!D206,"")</x:f>
      </x:c>
      <x:c r="F206" s="6" t="n">
        <x:f>COUNT('浓度与阈值来源'!E206:DM206)</x:f>
        <x:v>1</x:v>
      </x:c>
      <x:c r="G206" s="5" t="n">
        <x:f>IF(F206=0,"",MAX('浓度与阈值来源'!E206:DM206))</x:f>
        <x:v>356</x:v>
      </x:c>
      <x:c r="H206" s="5" t="n">
        <x:f>IF(F206=0,"",MEDIAN('浓度与阈值来源'!E206:DM206))</x:f>
        <x:v>356</x:v>
      </x:c>
      <x:c r="I206" s="7" t="str">
        <x:f>IF(AND(ISNUMBER(E206),E206&gt;0,F206&gt;0),G206/E206,"")</x:f>
      </x:c>
      <x:c r="J206" s="7" t="str">
        <x:f>IF(AND(ISNUMBER(E206),E206&gt;0,F206&gt;0),H206/E206,"")</x:f>
      </x:c>
      <x:c r="K206" s="1" t="str">
        <x:f>IF(F206=0,"无浓度数据",IF(E206="","缺周表阈值","可计算"))</x:f>
        <x:v>缺周表阈值</x:v>
      </x:c>
      <x:c r="L206" s="1" t="str">
        <x:f>IF(NOT(ISNUMBER(J206)),"待定",IF(J206&gt;50,"骨架成分",IF(J206&gt;=2,"重要成分","两档成分")))</x:f>
        <x:v>待定</x:v>
      </x:c>
      <x:c r="M206" s="1" t="str">
        <x:f>IF(NOT(ISNUMBER(J206)),"",IF(J206&gt;=2,3,2))</x:f>
      </x:c>
      <x:c r="N206" s="1" t="str">
        <x:f>IF(NOT(ISNUMBER(J206)),"缺少可算OAV",IF(J206&gt;=2,"最大值、中位值、低值待校准","最大值、中位值"))</x:f>
        <x:v>缺少可算OAV</x:v>
      </x:c>
      <x:c r="O206" s="1" t="str">
        <x:f>IF(NOT(ISNUMBER(J206)),"待定",IF(J206&lt;2,"不设第三档",IF(J206&lt;=5,"中位OAV≤5；低档须低于中位浓度","低档需预试确认与中档可区分")))</x:f>
        <x:v>待定</x:v>
      </x:c>
    </x:row>
    <x:row r="207" ht="23" customHeight="1">
      <x:c r="A207" s="1" t="n">
        <x:f>'浓度与阈值来源'!A207</x:f>
        <x:v>202</x:v>
      </x:c>
      <x:c r="B207" s="1" t="str">
        <x:f>IF('浓度与阈值来源'!B207="","",'浓度与阈值来源'!B207)</x:f>
        <x:v>2-十一烯醛</x:v>
      </x:c>
      <x:c r="C207" s="1" t="str">
        <x:f>IF('浓度与阈值来源'!C207="","",'浓度与阈值来源'!C207)</x:f>
        <x:v>2463-77-6</x:v>
      </x:c>
      <x:c r="D207" s="1"/>
      <x:c r="E207" s="5" t="str">
        <x:f>IF('浓度与阈值来源'!D207&gt;0,'浓度与阈值来源'!D207,"")</x:f>
      </x:c>
      <x:c r="F207" s="6" t="n">
        <x:f>COUNT('浓度与阈值来源'!E207:DM207)</x:f>
        <x:v>2</x:v>
      </x:c>
      <x:c r="G207" s="5" t="n">
        <x:f>IF(F207=0,"",MAX('浓度与阈值来源'!E207:DM207))</x:f>
        <x:v>24</x:v>
      </x:c>
      <x:c r="H207" s="5" t="n">
        <x:f>IF(F207=0,"",MEDIAN('浓度与阈值来源'!E207:DM207))</x:f>
        <x:v>20.5</x:v>
      </x:c>
      <x:c r="I207" s="7" t="str">
        <x:f>IF(AND(ISNUMBER(E207),E207&gt;0,F207&gt;0),G207/E207,"")</x:f>
      </x:c>
      <x:c r="J207" s="7" t="str">
        <x:f>IF(AND(ISNUMBER(E207),E207&gt;0,F207&gt;0),H207/E207,"")</x:f>
      </x:c>
      <x:c r="K207" s="1" t="str">
        <x:f>IF(F207=0,"无浓度数据",IF(E207="","缺周表阈值","可计算"))</x:f>
        <x:v>缺周表阈值</x:v>
      </x:c>
      <x:c r="L207" s="1" t="str">
        <x:f>IF(NOT(ISNUMBER(J207)),"待定",IF(J207&gt;50,"骨架成分",IF(J207&gt;=2,"重要成分","两档成分")))</x:f>
        <x:v>待定</x:v>
      </x:c>
      <x:c r="M207" s="1" t="str">
        <x:f>IF(NOT(ISNUMBER(J207)),"",IF(J207&gt;=2,3,2))</x:f>
      </x:c>
      <x:c r="N207" s="1" t="str">
        <x:f>IF(NOT(ISNUMBER(J207)),"缺少可算OAV",IF(J207&gt;=2,"最大值、中位值、低值待校准","最大值、中位值"))</x:f>
        <x:v>缺少可算OAV</x:v>
      </x:c>
      <x:c r="O207" s="1" t="str">
        <x:f>IF(NOT(ISNUMBER(J207)),"待定",IF(J207&lt;2,"不设第三档",IF(J207&lt;=5,"中位OAV≤5；低档须低于中位浓度","低档需预试确认与中档可区分")))</x:f>
        <x:v>待定</x:v>
      </x:c>
    </x:row>
    <x:row r="208" ht="23" customHeight="1">
      <x:c r="A208" s="1" t="n">
        <x:f>'浓度与阈值来源'!A208</x:f>
        <x:v>203</x:v>
      </x:c>
      <x:c r="B208" s="1" t="str">
        <x:f>IF('浓度与阈值来源'!B208="","",'浓度与阈值来源'!B208)</x:f>
        <x:v>丁酸己酯</x:v>
      </x:c>
      <x:c r="C208" s="1" t="str">
        <x:f>IF('浓度与阈值来源'!C208="","",'浓度与阈值来源'!C208)</x:f>
        <x:v>2639-63-6</x:v>
      </x:c>
      <x:c r="D208" s="1" t="str">
        <x:v>Hexyl butanoate</x:v>
      </x:c>
      <x:c r="E208" s="5" t="str">
        <x:f>IF('浓度与阈值来源'!D208&gt;0,'浓度与阈值来源'!D208,"")</x:f>
      </x:c>
      <x:c r="F208" s="6" t="n">
        <x:f>COUNT('浓度与阈值来源'!E208:DM208)</x:f>
        <x:v>15</x:v>
      </x:c>
      <x:c r="G208" s="5" t="n">
        <x:f>IF(F208=0,"",MAX('浓度与阈值来源'!E208:DM208))</x:f>
        <x:v>373000</x:v>
      </x:c>
      <x:c r="H208" s="5" t="n">
        <x:f>IF(F208=0,"",MEDIAN('浓度与阈值来源'!E208:DM208))</x:f>
        <x:v>124000</x:v>
      </x:c>
      <x:c r="I208" s="7" t="str">
        <x:f>IF(AND(ISNUMBER(E208),E208&gt;0,F208&gt;0),G208/E208,"")</x:f>
      </x:c>
      <x:c r="J208" s="7" t="str">
        <x:f>IF(AND(ISNUMBER(E208),E208&gt;0,F208&gt;0),H208/E208,"")</x:f>
      </x:c>
      <x:c r="K208" s="1" t="str">
        <x:f>IF(F208=0,"无浓度数据",IF(E208="","缺周表阈值","可计算"))</x:f>
        <x:v>缺周表阈值</x:v>
      </x:c>
      <x:c r="L208" s="1" t="str">
        <x:f>IF(NOT(ISNUMBER(J208)),"待定",IF(J208&gt;50,"骨架成分",IF(J208&gt;=2,"重要成分","两档成分")))</x:f>
        <x:v>待定</x:v>
      </x:c>
      <x:c r="M208" s="1" t="str">
        <x:f>IF(NOT(ISNUMBER(J208)),"",IF(J208&gt;=2,3,2))</x:f>
      </x:c>
      <x:c r="N208" s="1" t="str">
        <x:f>IF(NOT(ISNUMBER(J208)),"缺少可算OAV",IF(J208&gt;=2,"最大值、中位值、低值待校准","最大值、中位值"))</x:f>
        <x:v>缺少可算OAV</x:v>
      </x:c>
      <x:c r="O208" s="1" t="str">
        <x:f>IF(NOT(ISNUMBER(J208)),"待定",IF(J208&lt;2,"不设第三档",IF(J208&lt;=5,"中位OAV≤5；低档须低于中位浓度","低档需预试确认与中档可区分")))</x:f>
        <x:v>待定</x:v>
      </x:c>
    </x:row>
    <x:row r="209" ht="23" customHeight="1">
      <x:c r="A209" s="1" t="n">
        <x:f>'浓度与阈值来源'!A209</x:f>
        <x:v>204</x:v>
      </x:c>
      <x:c r="B209" s="1" t="str">
        <x:f>IF('浓度与阈值来源'!B209="","",'浓度与阈值来源'!B209)</x:f>
      </x:c>
      <x:c r="C209" s="1" t="str">
        <x:f>IF('浓度与阈值来源'!C209="","",'浓度与阈值来源'!C209)</x:f>
        <x:v>2761-84-4</x:v>
      </x:c>
      <x:c r="D209" s="1" t="str">
        <x:v>5-Dodecenoic acid</x:v>
      </x:c>
      <x:c r="E209" s="5" t="str">
        <x:f>IF('浓度与阈值来源'!D209&gt;0,'浓度与阈值来源'!D209,"")</x:f>
      </x:c>
      <x:c r="F209" s="6" t="n">
        <x:f>COUNT('浓度与阈值来源'!E209:DM209)</x:f>
        <x:v>5</x:v>
      </x:c>
      <x:c r="G209" s="5" t="n">
        <x:f>IF(F209=0,"",MAX('浓度与阈值来源'!E209:DM209))</x:f>
        <x:v>1504</x:v>
      </x:c>
      <x:c r="H209" s="5" t="n">
        <x:f>IF(F209=0,"",MEDIAN('浓度与阈值来源'!E209:DM209))</x:f>
        <x:v>1504</x:v>
      </x:c>
      <x:c r="I209" s="7" t="str">
        <x:f>IF(AND(ISNUMBER(E209),E209&gt;0,F209&gt;0),G209/E209,"")</x:f>
      </x:c>
      <x:c r="J209" s="7" t="str">
        <x:f>IF(AND(ISNUMBER(E209),E209&gt;0,F209&gt;0),H209/E209,"")</x:f>
      </x:c>
      <x:c r="K209" s="1" t="str">
        <x:f>IF(F209=0,"无浓度数据",IF(E209="","缺周表阈值","可计算"))</x:f>
        <x:v>缺周表阈值</x:v>
      </x:c>
      <x:c r="L209" s="1" t="str">
        <x:f>IF(NOT(ISNUMBER(J209)),"待定",IF(J209&gt;50,"骨架成分",IF(J209&gt;=2,"重要成分","两档成分")))</x:f>
        <x:v>待定</x:v>
      </x:c>
      <x:c r="M209" s="1" t="str">
        <x:f>IF(NOT(ISNUMBER(J209)),"",IF(J209&gt;=2,3,2))</x:f>
      </x:c>
      <x:c r="N209" s="1" t="str">
        <x:f>IF(NOT(ISNUMBER(J209)),"缺少可算OAV",IF(J209&gt;=2,"最大值、中位值、低值待校准","最大值、中位值"))</x:f>
        <x:v>缺少可算OAV</x:v>
      </x:c>
      <x:c r="O209" s="1" t="str">
        <x:f>IF(NOT(ISNUMBER(J209)),"待定",IF(J209&lt;2,"不设第三档",IF(J209&lt;=5,"中位OAV≤5；低档须低于中位浓度","低档需预试确认与中档可区分")))</x:f>
        <x:v>待定</x:v>
      </x:c>
    </x:row>
    <x:row r="210" ht="23" customHeight="1">
      <x:c r="A210" s="1" t="n">
        <x:f>'浓度与阈值来源'!A210</x:f>
        <x:v>205</x:v>
      </x:c>
      <x:c r="B210" s="1" t="str">
        <x:f>IF('浓度与阈值来源'!B210="","",'浓度与阈值来源'!B210)</x:f>
        <x:v>4-乙基-2-甲氧基苯酚</x:v>
      </x:c>
      <x:c r="C210" s="1" t="str">
        <x:f>IF('浓度与阈值来源'!C210="","",'浓度与阈值来源'!C210)</x:f>
        <x:v>2785-89-9</x:v>
      </x:c>
      <x:c r="D210" s="1" t="str">
        <x:v>4-Ethyl-2-methoxyphenol</x:v>
      </x:c>
      <x:c r="E210" s="5" t="str">
        <x:f>IF('浓度与阈值来源'!D210&gt;0,'浓度与阈值来源'!D210,"")</x:f>
      </x:c>
      <x:c r="F210" s="6" t="n">
        <x:f>COUNT('浓度与阈值来源'!E210:DM210)</x:f>
        <x:v>52</x:v>
      </x:c>
      <x:c r="G210" s="5" t="n">
        <x:f>IF(F210=0,"",MAX('浓度与阈值来源'!E210:DM210))</x:f>
        <x:v>1524</x:v>
      </x:c>
      <x:c r="H210" s="5" t="n">
        <x:f>IF(F210=0,"",MEDIAN('浓度与阈值来源'!E210:DM210))</x:f>
        <x:v>67.44999999999999</x:v>
      </x:c>
      <x:c r="I210" s="7" t="str">
        <x:f>IF(AND(ISNUMBER(E210),E210&gt;0,F210&gt;0),G210/E210,"")</x:f>
      </x:c>
      <x:c r="J210" s="7" t="str">
        <x:f>IF(AND(ISNUMBER(E210),E210&gt;0,F210&gt;0),H210/E210,"")</x:f>
      </x:c>
      <x:c r="K210" s="1" t="str">
        <x:f>IF(F210=0,"无浓度数据",IF(E210="","缺周表阈值","可计算"))</x:f>
        <x:v>缺周表阈值</x:v>
      </x:c>
      <x:c r="L210" s="1" t="str">
        <x:f>IF(NOT(ISNUMBER(J210)),"待定",IF(J210&gt;50,"骨架成分",IF(J210&gt;=2,"重要成分","两档成分")))</x:f>
        <x:v>待定</x:v>
      </x:c>
      <x:c r="M210" s="1" t="str">
        <x:f>IF(NOT(ISNUMBER(J210)),"",IF(J210&gt;=2,3,2))</x:f>
      </x:c>
      <x:c r="N210" s="1" t="str">
        <x:f>IF(NOT(ISNUMBER(J210)),"缺少可算OAV",IF(J210&gt;=2,"最大值、中位值、低值待校准","最大值、中位值"))</x:f>
        <x:v>缺少可算OAV</x:v>
      </x:c>
      <x:c r="O210" s="1" t="str">
        <x:f>IF(NOT(ISNUMBER(J210)),"待定",IF(J210&lt;2,"不设第三档",IF(J210&lt;=5,"中位OAV≤5；低档须低于中位浓度","低档需预试确认与中档可区分")))</x:f>
        <x:v>待定</x:v>
      </x:c>
    </x:row>
    <x:row r="211" ht="23" customHeight="1">
      <x:c r="A211" s="1" t="n">
        <x:f>'浓度与阈值来源'!A211</x:f>
        <x:v>206</x:v>
      </x:c>
      <x:c r="B211" s="1" t="str">
        <x:f>IF('浓度与阈值来源'!B211="","",'浓度与阈值来源'!B211)</x:f>
      </x:c>
      <x:c r="C211" s="1" t="str">
        <x:f>IF('浓度与阈值来源'!C211="","",'浓度与阈值来源'!C211)</x:f>
        <x:v>3268-49-3</x:v>
      </x:c>
      <x:c r="D211" s="1" t="str">
        <x:v>3-(methylthio)propanal</x:v>
      </x:c>
      <x:c r="E211" s="5" t="str">
        <x:f>IF('浓度与阈值来源'!D211&gt;0,'浓度与阈值来源'!D211,"")</x:f>
      </x:c>
      <x:c r="F211" s="6" t="n">
        <x:f>COUNT('浓度与阈值来源'!E211:DM211)</x:f>
        <x:v>1</x:v>
      </x:c>
      <x:c r="G211" s="5" t="n">
        <x:f>IF(F211=0,"",MAX('浓度与阈值来源'!E211:DM211))</x:f>
        <x:v>369</x:v>
      </x:c>
      <x:c r="H211" s="5" t="n">
        <x:f>IF(F211=0,"",MEDIAN('浓度与阈值来源'!E211:DM211))</x:f>
        <x:v>369</x:v>
      </x:c>
      <x:c r="I211" s="7" t="str">
        <x:f>IF(AND(ISNUMBER(E211),E211&gt;0,F211&gt;0),G211/E211,"")</x:f>
      </x:c>
      <x:c r="J211" s="7" t="str">
        <x:f>IF(AND(ISNUMBER(E211),E211&gt;0,F211&gt;0),H211/E211,"")</x:f>
      </x:c>
      <x:c r="K211" s="1" t="str">
        <x:f>IF(F211=0,"无浓度数据",IF(E211="","缺周表阈值","可计算"))</x:f>
        <x:v>缺周表阈值</x:v>
      </x:c>
      <x:c r="L211" s="1" t="str">
        <x:f>IF(NOT(ISNUMBER(J211)),"待定",IF(J211&gt;50,"骨架成分",IF(J211&gt;=2,"重要成分","两档成分")))</x:f>
        <x:v>待定</x:v>
      </x:c>
      <x:c r="M211" s="1" t="str">
        <x:f>IF(NOT(ISNUMBER(J211)),"",IF(J211&gt;=2,3,2))</x:f>
      </x:c>
      <x:c r="N211" s="1" t="str">
        <x:f>IF(NOT(ISNUMBER(J211)),"缺少可算OAV",IF(J211&gt;=2,"最大值、中位值、低值待校准","最大值、中位值"))</x:f>
        <x:v>缺少可算OAV</x:v>
      </x:c>
      <x:c r="O211" s="1" t="str">
        <x:f>IF(NOT(ISNUMBER(J211)),"待定",IF(J211&lt;2,"不设第三档",IF(J211&lt;=5,"中位OAV≤5；低档须低于中位浓度","低档需预试确认与中档可区分")))</x:f>
        <x:v>待定</x:v>
      </x:c>
    </x:row>
    <x:row r="212" ht="23" customHeight="1">
      <x:c r="A212" s="1" t="n">
        <x:f>'浓度与阈值来源'!A212</x:f>
        <x:v>207</x:v>
      </x:c>
      <x:c r="B212" s="1" t="str">
        <x:f>IF('浓度与阈值来源'!B212="","",'浓度与阈值来源'!B212)</x:f>
        <x:v>1-辛烯-3-醇</x:v>
      </x:c>
      <x:c r="C212" s="1" t="str">
        <x:f>IF('浓度与阈值来源'!C212="","",'浓度与阈值来源'!C212)</x:f>
        <x:v>3391-86-4</x:v>
      </x:c>
      <x:c r="D212" s="1" t="str">
        <x:v>1-Octen-3-ol</x:v>
      </x:c>
      <x:c r="E212" s="5" t="n">
        <x:f>IF('浓度与阈值来源'!D212&gt;0,'浓度与阈值来源'!D212,"")</x:f>
        <x:v>6.12</x:v>
      </x:c>
      <x:c r="F212" s="6" t="n">
        <x:f>COUNT('浓度与阈值来源'!E212:DM212)</x:f>
        <x:v>19</x:v>
      </x:c>
      <x:c r="G212" s="5" t="n">
        <x:f>IF(F212=0,"",MAX('浓度与阈值来源'!E212:DM212))</x:f>
        <x:v>271.45</x:v>
      </x:c>
      <x:c r="H212" s="5" t="n">
        <x:f>IF(F212=0,"",MEDIAN('浓度与阈值来源'!E212:DM212))</x:f>
        <x:v>99.18</x:v>
      </x:c>
      <x:c r="I212" s="7" t="n">
        <x:f>IF(AND(ISNUMBER(E212),E212&gt;0,F212&gt;0),G212/E212,"")</x:f>
        <x:v>44.35457516339869</x:v>
      </x:c>
      <x:c r="J212" s="7" t="n">
        <x:f>IF(AND(ISNUMBER(E212),E212&gt;0,F212&gt;0),H212/E212,"")</x:f>
        <x:v>16.205882352941178</x:v>
      </x:c>
      <x:c r="K212" s="1" t="str">
        <x:f>IF(F212=0,"无浓度数据",IF(E212="","缺周表阈值","可计算"))</x:f>
        <x:v>可计算</x:v>
      </x:c>
      <x:c r="L212" s="1" t="str">
        <x:f>IF(NOT(ISNUMBER(J212)),"待定",IF(J212&gt;50,"骨架成分",IF(J212&gt;=2,"重要成分","两档成分")))</x:f>
        <x:v>重要成分</x:v>
      </x:c>
      <x:c r="M212" s="1" t="n">
        <x:f>IF(NOT(ISNUMBER(J212)),"",IF(J212&gt;=2,3,2))</x:f>
        <x:v>3</x:v>
      </x:c>
      <x:c r="N212" s="1" t="str">
        <x:f>IF(NOT(ISNUMBER(J212)),"缺少可算OAV",IF(J212&gt;=2,"最大值、中位值、低值待校准","最大值、中位值"))</x:f>
        <x:v>最大值、中位值、低值待校准</x:v>
      </x:c>
      <x:c r="O212" s="1" t="str">
        <x:f>IF(NOT(ISNUMBER(J212)),"待定",IF(J212&lt;2,"不设第三档",IF(J212&lt;=5,"中位OAV≤5；低档须低于中位浓度","低档需预试确认与中档可区分")))</x:f>
        <x:v>低档需预试确认与中档可区分</x:v>
      </x:c>
    </x:row>
    <x:row r="213" ht="23" customHeight="1">
      <x:c r="A213" s="1" t="n">
        <x:f>'浓度与阈值来源'!A213</x:f>
        <x:v>208</x:v>
      </x:c>
      <x:c r="B213" s="1" t="str">
        <x:f>IF('浓度与阈值来源'!B213="","",'浓度与阈值来源'!B213)</x:f>
      </x:c>
      <x:c r="C213" s="1" t="str">
        <x:f>IF('浓度与阈值来源'!C213="","",'浓度与阈值来源'!C213)</x:f>
        <x:v>3658-79-5</x:v>
      </x:c>
      <x:c r="D213" s="1"/>
      <x:c r="E213" s="5" t="str">
        <x:f>IF('浓度与阈值来源'!D213&gt;0,'浓度与阈值来源'!D213,"")</x:f>
      </x:c>
      <x:c r="F213" s="6" t="n">
        <x:f>COUNT('浓度与阈值来源'!E213:DM213)</x:f>
        <x:v>2</x:v>
      </x:c>
      <x:c r="G213" s="5" t="n">
        <x:f>IF(F213=0,"",MAX('浓度与阈值来源'!E213:DM213))</x:f>
        <x:v>1.39</x:v>
      </x:c>
      <x:c r="H213" s="5" t="n">
        <x:f>IF(F213=0,"",MEDIAN('浓度与阈值来源'!E213:DM213))</x:f>
        <x:v>0.86</x:v>
      </x:c>
      <x:c r="I213" s="7" t="str">
        <x:f>IF(AND(ISNUMBER(E213),E213&gt;0,F213&gt;0),G213/E213,"")</x:f>
      </x:c>
      <x:c r="J213" s="7" t="str">
        <x:f>IF(AND(ISNUMBER(E213),E213&gt;0,F213&gt;0),H213/E213,"")</x:f>
      </x:c>
      <x:c r="K213" s="1" t="str">
        <x:f>IF(F213=0,"无浓度数据",IF(E213="","缺周表阈值","可计算"))</x:f>
        <x:v>缺周表阈值</x:v>
      </x:c>
      <x:c r="L213" s="1" t="str">
        <x:f>IF(NOT(ISNUMBER(J213)),"待定",IF(J213&gt;50,"骨架成分",IF(J213&gt;=2,"重要成分","两档成分")))</x:f>
        <x:v>待定</x:v>
      </x:c>
      <x:c r="M213" s="1" t="str">
        <x:f>IF(NOT(ISNUMBER(J213)),"",IF(J213&gt;=2,3,2))</x:f>
      </x:c>
      <x:c r="N213" s="1" t="str">
        <x:f>IF(NOT(ISNUMBER(J213)),"缺少可算OAV",IF(J213&gt;=2,"最大值、中位值、低值待校准","最大值、中位值"))</x:f>
        <x:v>缺少可算OAV</x:v>
      </x:c>
      <x:c r="O213" s="1" t="str">
        <x:f>IF(NOT(ISNUMBER(J213)),"待定",IF(J213&lt;2,"不设第三档",IF(J213&lt;=5,"中位OAV≤5；低档须低于中位浓度","低档需预试确认与中档可区分")))</x:f>
        <x:v>待定</x:v>
      </x:c>
    </x:row>
    <x:row r="214" ht="23" customHeight="1">
      <x:c r="A214" s="1" t="n">
        <x:f>'浓度与阈值来源'!A214</x:f>
        <x:v>209</x:v>
      </x:c>
      <x:c r="B214" s="1" t="str">
        <x:f>IF('浓度与阈值来源'!B214="","",'浓度与阈值来源'!B214)</x:f>
        <x:v>二甲基三硫醚</x:v>
      </x:c>
      <x:c r="C214" s="1" t="str">
        <x:f>IF('浓度与阈值来源'!C214="","",'浓度与阈值来源'!C214)</x:f>
        <x:v>3658-80-8</x:v>
      </x:c>
      <x:c r="D214" s="1" t="str">
        <x:v>Dimethyl Trisulfide</x:v>
      </x:c>
      <x:c r="E214" s="5" t="n">
        <x:f>IF('浓度与阈值来源'!D214&gt;0,'浓度与阈值来源'!D214,"")</x:f>
        <x:v>0.36</x:v>
      </x:c>
      <x:c r="F214" s="6" t="n">
        <x:f>COUNT('浓度与阈值来源'!E214:DM214)</x:f>
        <x:v>28</x:v>
      </x:c>
      <x:c r="G214" s="5" t="n">
        <x:f>IF(F214=0,"",MAX('浓度与阈值来源'!E214:DM214))</x:f>
        <x:v>4201.44</x:v>
      </x:c>
      <x:c r="H214" s="5" t="n">
        <x:f>IF(F214=0,"",MEDIAN('浓度与阈值来源'!E214:DM214))</x:f>
        <x:v>623.375</x:v>
      </x:c>
      <x:c r="I214" s="7" t="n">
        <x:f>IF(AND(ISNUMBER(E214),E214&gt;0,F214&gt;0),G214/E214,"")</x:f>
        <x:v>11670.666666666666</x:v>
      </x:c>
      <x:c r="J214" s="7" t="n">
        <x:f>IF(AND(ISNUMBER(E214),E214&gt;0,F214&gt;0),H214/E214,"")</x:f>
        <x:v>1731.5972222222224</x:v>
      </x:c>
      <x:c r="K214" s="1" t="str">
        <x:f>IF(F214=0,"无浓度数据",IF(E214="","缺周表阈值","可计算"))</x:f>
        <x:v>可计算</x:v>
      </x:c>
      <x:c r="L214" s="1" t="str">
        <x:f>IF(NOT(ISNUMBER(J214)),"待定",IF(J214&gt;50,"骨架成分",IF(J214&gt;=2,"重要成分","两档成分")))</x:f>
        <x:v>骨架成分</x:v>
      </x:c>
      <x:c r="M214" s="1" t="n">
        <x:f>IF(NOT(ISNUMBER(J214)),"",IF(J214&gt;=2,3,2))</x:f>
        <x:v>3</x:v>
      </x:c>
      <x:c r="N214" s="1" t="str">
        <x:f>IF(NOT(ISNUMBER(J214)),"缺少可算OAV",IF(J214&gt;=2,"最大值、中位值、低值待校准","最大值、中位值"))</x:f>
        <x:v>最大值、中位值、低值待校准</x:v>
      </x:c>
      <x:c r="O214" s="1" t="str">
        <x:f>IF(NOT(ISNUMBER(J214)),"待定",IF(J214&lt;2,"不设第三档",IF(J214&lt;=5,"中位OAV≤5；低档须低于中位浓度","低档需预试确认与中档可区分")))</x:f>
        <x:v>低档需预试确认与中档可区分</x:v>
      </x:c>
    </x:row>
    <x:row r="215" ht="23" customHeight="1">
      <x:c r="A215" s="1" t="n">
        <x:f>'浓度与阈值来源'!A215</x:f>
        <x:v>210</x:v>
      </x:c>
      <x:c r="B215" s="1" t="str">
        <x:f>IF('浓度与阈值来源'!B215="","",'浓度与阈值来源'!B215)</x:f>
      </x:c>
      <x:c r="C215" s="1" t="str">
        <x:f>IF('浓度与阈值来源'!C215="","",'浓度与阈值来源'!C215)</x:f>
        <x:v>3658-93-3</x:v>
      </x:c>
      <x:c r="D215" s="1" t="str">
        <x:v>1,1-diethoxy-Hexane</x:v>
      </x:c>
      <x:c r="E215" s="5" t="str">
        <x:f>IF('浓度与阈值来源'!D215&gt;0,'浓度与阈值来源'!D215,"")</x:f>
      </x:c>
      <x:c r="F215" s="6" t="n">
        <x:f>COUNT('浓度与阈值来源'!E215:DM215)</x:f>
        <x:v>2</x:v>
      </x:c>
      <x:c r="G215" s="5" t="n">
        <x:f>IF(F215=0,"",MAX('浓度与阈值来源'!E215:DM215))</x:f>
        <x:v>280</x:v>
      </x:c>
      <x:c r="H215" s="5" t="n">
        <x:f>IF(F215=0,"",MEDIAN('浓度与阈值来源'!E215:DM215))</x:f>
        <x:v>175</x:v>
      </x:c>
      <x:c r="I215" s="7" t="str">
        <x:f>IF(AND(ISNUMBER(E215),E215&gt;0,F215&gt;0),G215/E215,"")</x:f>
      </x:c>
      <x:c r="J215" s="7" t="str">
        <x:f>IF(AND(ISNUMBER(E215),E215&gt;0,F215&gt;0),H215/E215,"")</x:f>
      </x:c>
      <x:c r="K215" s="1" t="str">
        <x:f>IF(F215=0,"无浓度数据",IF(E215="","缺周表阈值","可计算"))</x:f>
        <x:v>缺周表阈值</x:v>
      </x:c>
      <x:c r="L215" s="1" t="str">
        <x:f>IF(NOT(ISNUMBER(J215)),"待定",IF(J215&gt;50,"骨架成分",IF(J215&gt;=2,"重要成分","两档成分")))</x:f>
        <x:v>待定</x:v>
      </x:c>
      <x:c r="M215" s="1" t="str">
        <x:f>IF(NOT(ISNUMBER(J215)),"",IF(J215&gt;=2,3,2))</x:f>
      </x:c>
      <x:c r="N215" s="1" t="str">
        <x:f>IF(NOT(ISNUMBER(J215)),"缺少可算OAV",IF(J215&gt;=2,"最大值、中位值、低值待校准","最大值、中位值"))</x:f>
        <x:v>缺少可算OAV</x:v>
      </x:c>
      <x:c r="O215" s="1" t="str">
        <x:f>IF(NOT(ISNUMBER(J215)),"待定",IF(J215&lt;2,"不设第三档",IF(J215&lt;=5,"中位OAV≤5；低档须低于中位浓度","低档需预试确认与中档可区分")))</x:f>
        <x:v>待定</x:v>
      </x:c>
    </x:row>
    <x:row r="216" ht="23" customHeight="1">
      <x:c r="A216" s="1" t="n">
        <x:f>'浓度与阈值来源'!A216</x:f>
        <x:v>211</x:v>
      </x:c>
      <x:c r="B216" s="1" t="str">
        <x:f>IF('浓度与阈值来源'!B216="","",'浓度与阈值来源'!B216)</x:f>
      </x:c>
      <x:c r="C216" s="1" t="str">
        <x:f>IF('浓度与阈值来源'!C216="","",'浓度与阈值来源'!C216)</x:f>
        <x:v>3760-11-0</x:v>
      </x:c>
      <x:c r="D216" s="1"/>
      <x:c r="E216" s="5" t="str">
        <x:f>IF('浓度与阈值来源'!D216&gt;0,'浓度与阈值来源'!D216,"")</x:f>
      </x:c>
      <x:c r="F216" s="6" t="n">
        <x:f>COUNT('浓度与阈值来源'!E216:DM216)</x:f>
        <x:v>3</x:v>
      </x:c>
      <x:c r="G216" s="5" t="n">
        <x:f>IF(F216=0,"",MAX('浓度与阈值来源'!E216:DM216))</x:f>
        <x:v>11.32</x:v>
      </x:c>
      <x:c r="H216" s="5" t="n">
        <x:f>IF(F216=0,"",MEDIAN('浓度与阈值来源'!E216:DM216))</x:f>
        <x:v>1.57</x:v>
      </x:c>
      <x:c r="I216" s="7" t="str">
        <x:f>IF(AND(ISNUMBER(E216),E216&gt;0,F216&gt;0),G216/E216,"")</x:f>
      </x:c>
      <x:c r="J216" s="7" t="str">
        <x:f>IF(AND(ISNUMBER(E216),E216&gt;0,F216&gt;0),H216/E216,"")</x:f>
      </x:c>
      <x:c r="K216" s="1" t="str">
        <x:f>IF(F216=0,"无浓度数据",IF(E216="","缺周表阈值","可计算"))</x:f>
        <x:v>缺周表阈值</x:v>
      </x:c>
      <x:c r="L216" s="1" t="str">
        <x:f>IF(NOT(ISNUMBER(J216)),"待定",IF(J216&gt;50,"骨架成分",IF(J216&gt;=2,"重要成分","两档成分")))</x:f>
        <x:v>待定</x:v>
      </x:c>
      <x:c r="M216" s="1" t="str">
        <x:f>IF(NOT(ISNUMBER(J216)),"",IF(J216&gt;=2,3,2))</x:f>
      </x:c>
      <x:c r="N216" s="1" t="str">
        <x:f>IF(NOT(ISNUMBER(J216)),"缺少可算OAV",IF(J216&gt;=2,"最大值、中位值、低值待校准","最大值、中位值"))</x:f>
        <x:v>缺少可算OAV</x:v>
      </x:c>
      <x:c r="O216" s="1" t="str">
        <x:f>IF(NOT(ISNUMBER(J216)),"待定",IF(J216&lt;2,"不设第三档",IF(J216&lt;=5,"中位OAV≤5；低档须低于中位浓度","低档需预试确认与中档可区分")))</x:f>
        <x:v>待定</x:v>
      </x:c>
    </x:row>
    <x:row r="217" ht="23" customHeight="1">
      <x:c r="A217" s="1" t="n">
        <x:f>'浓度与阈值来源'!A217</x:f>
        <x:v>212</x:v>
      </x:c>
      <x:c r="B217" s="1" t="str">
        <x:f>IF('浓度与阈值来源'!B217="","",'浓度与阈值来源'!B217)</x:f>
        <x:v>香叶基丙酮</x:v>
      </x:c>
      <x:c r="C217" s="1" t="str">
        <x:f>IF('浓度与阈值来源'!C217="","",'浓度与阈值来源'!C217)</x:f>
        <x:v>3796-70-1</x:v>
      </x:c>
      <x:c r="D217" s="1"/>
      <x:c r="E217" s="5" t="str">
        <x:f>IF('浓度与阈值来源'!D217&gt;0,'浓度与阈值来源'!D217,"")</x:f>
      </x:c>
      <x:c r="F217" s="6" t="n">
        <x:f>COUNT('浓度与阈值来源'!E217:DM217)</x:f>
        <x:v>12</x:v>
      </x:c>
      <x:c r="G217" s="5" t="n">
        <x:f>IF(F217=0,"",MAX('浓度与阈值来源'!E217:DM217))</x:f>
        <x:v>32.85</x:v>
      </x:c>
      <x:c r="H217" s="5" t="n">
        <x:f>IF(F217=0,"",MEDIAN('浓度与阈值来源'!E217:DM217))</x:f>
        <x:v>12.395</x:v>
      </x:c>
      <x:c r="I217" s="7" t="str">
        <x:f>IF(AND(ISNUMBER(E217),E217&gt;0,F217&gt;0),G217/E217,"")</x:f>
      </x:c>
      <x:c r="J217" s="7" t="str">
        <x:f>IF(AND(ISNUMBER(E217),E217&gt;0,F217&gt;0),H217/E217,"")</x:f>
      </x:c>
      <x:c r="K217" s="1" t="str">
        <x:f>IF(F217=0,"无浓度数据",IF(E217="","缺周表阈值","可计算"))</x:f>
        <x:v>缺周表阈值</x:v>
      </x:c>
      <x:c r="L217" s="1" t="str">
        <x:f>IF(NOT(ISNUMBER(J217)),"待定",IF(J217&gt;50,"骨架成分",IF(J217&gt;=2,"重要成分","两档成分")))</x:f>
        <x:v>待定</x:v>
      </x:c>
      <x:c r="M217" s="1" t="str">
        <x:f>IF(NOT(ISNUMBER(J217)),"",IF(J217&gt;=2,3,2))</x:f>
      </x:c>
      <x:c r="N217" s="1" t="str">
        <x:f>IF(NOT(ISNUMBER(J217)),"缺少可算OAV",IF(J217&gt;=2,"最大值、中位值、低值待校准","最大值、中位值"))</x:f>
        <x:v>缺少可算OAV</x:v>
      </x:c>
      <x:c r="O217" s="1" t="str">
        <x:f>IF(NOT(ISNUMBER(J217)),"待定",IF(J217&lt;2,"不设第三档",IF(J217&lt;=5,"中位OAV≤5；低档须低于中位浓度","低档需预试确认与中档可区分")))</x:f>
        <x:v>待定</x:v>
      </x:c>
    </x:row>
    <x:row r="218" ht="23" customHeight="1">
      <x:c r="A218" s="1" t="n">
        <x:f>'浓度与阈值来源'!A218</x:f>
        <x:v>213</x:v>
      </x:c>
      <x:c r="B218" s="1" t="str">
        <x:f>IF('浓度与阈值来源'!B218="","",'浓度与阈值来源'!B218)</x:f>
        <x:v>异丁醛二乙缩醛</x:v>
      </x:c>
      <x:c r="C218" s="1" t="str">
        <x:f>IF('浓度与阈值来源'!C218="","",'浓度与阈值来源'!C218)</x:f>
        <x:v>3842-03-3</x:v>
      </x:c>
      <x:c r="D218" s="1" t="str">
        <x:v>1,1-Diethoxy-3-methylbutane</x:v>
      </x:c>
      <x:c r="E218" s="5" t="str">
        <x:f>IF('浓度与阈值来源'!D218&gt;0,'浓度与阈值来源'!D218,"")</x:f>
      </x:c>
      <x:c r="F218" s="6" t="n">
        <x:f>COUNT('浓度与阈值来源'!E218:DM218)</x:f>
        <x:v>5</x:v>
      </x:c>
      <x:c r="G218" s="5" t="n">
        <x:f>IF(F218=0,"",MAX('浓度与阈值来源'!E218:DM218))</x:f>
        <x:v>931</x:v>
      </x:c>
      <x:c r="H218" s="5" t="n">
        <x:f>IF(F218=0,"",MEDIAN('浓度与阈值来源'!E218:DM218))</x:f>
        <x:v>41.62</x:v>
      </x:c>
      <x:c r="I218" s="7" t="str">
        <x:f>IF(AND(ISNUMBER(E218),E218&gt;0,F218&gt;0),G218/E218,"")</x:f>
      </x:c>
      <x:c r="J218" s="7" t="str">
        <x:f>IF(AND(ISNUMBER(E218),E218&gt;0,F218&gt;0),H218/E218,"")</x:f>
      </x:c>
      <x:c r="K218" s="1" t="str">
        <x:f>IF(F218=0,"无浓度数据",IF(E218="","缺周表阈值","可计算"))</x:f>
        <x:v>缺周表阈值</x:v>
      </x:c>
      <x:c r="L218" s="1" t="str">
        <x:f>IF(NOT(ISNUMBER(J218)),"待定",IF(J218&gt;50,"骨架成分",IF(J218&gt;=2,"重要成分","两档成分")))</x:f>
        <x:v>待定</x:v>
      </x:c>
      <x:c r="M218" s="1" t="str">
        <x:f>IF(NOT(ISNUMBER(J218)),"",IF(J218&gt;=2,3,2))</x:f>
      </x:c>
      <x:c r="N218" s="1" t="str">
        <x:f>IF(NOT(ISNUMBER(J218)),"缺少可算OAV",IF(J218&gt;=2,"最大值、中位值、低值待校准","最大值、中位值"))</x:f>
        <x:v>缺少可算OAV</x:v>
      </x:c>
      <x:c r="O218" s="1" t="str">
        <x:f>IF(NOT(ISNUMBER(J218)),"待定",IF(J218&lt;2,"不设第三档",IF(J218&lt;=5,"中位OAV≤5；低档须低于中位浓度","低档需预试确认与中档可区分")))</x:f>
        <x:v>待定</x:v>
      </x:c>
    </x:row>
    <x:row r="219" ht="23" customHeight="1">
      <x:c r="A219" s="1" t="n">
        <x:f>'浓度与阈值来源'!A219</x:f>
        <x:v>214</x:v>
      </x:c>
      <x:c r="B219" s="1" t="str">
        <x:f>IF('浓度与阈值来源'!B219="","",'浓度与阈值来源'!B219)</x:f>
      </x:c>
      <x:c r="C219" s="1" t="str">
        <x:f>IF('浓度与阈值来源'!C219="","",'浓度与阈值来源'!C219)</x:f>
        <x:v>4412-16-2</x:v>
      </x:c>
      <x:c r="D219" s="1" t="str">
        <x:v>2-Dodecenoic acid</x:v>
      </x:c>
      <x:c r="E219" s="5" t="str">
        <x:f>IF('浓度与阈值来源'!D219&gt;0,'浓度与阈值来源'!D219,"")</x:f>
      </x:c>
      <x:c r="F219" s="6" t="n">
        <x:f>COUNT('浓度与阈值来源'!E219:DM219)</x:f>
        <x:v>6</x:v>
      </x:c>
      <x:c r="G219" s="5" t="n">
        <x:f>IF(F219=0,"",MAX('浓度与阈值来源'!E219:DM219))</x:f>
        <x:v>1555</x:v>
      </x:c>
      <x:c r="H219" s="5" t="n">
        <x:f>IF(F219=0,"",MEDIAN('浓度与阈值来源'!E219:DM219))</x:f>
        <x:v>1292.5</x:v>
      </x:c>
      <x:c r="I219" s="7" t="str">
        <x:f>IF(AND(ISNUMBER(E219),E219&gt;0,F219&gt;0),G219/E219,"")</x:f>
      </x:c>
      <x:c r="J219" s="7" t="str">
        <x:f>IF(AND(ISNUMBER(E219),E219&gt;0,F219&gt;0),H219/E219,"")</x:f>
      </x:c>
      <x:c r="K219" s="1" t="str">
        <x:f>IF(F219=0,"无浓度数据",IF(E219="","缺周表阈值","可计算"))</x:f>
        <x:v>缺周表阈值</x:v>
      </x:c>
      <x:c r="L219" s="1" t="str">
        <x:f>IF(NOT(ISNUMBER(J219)),"待定",IF(J219&gt;50,"骨架成分",IF(J219&gt;=2,"重要成分","两档成分")))</x:f>
        <x:v>待定</x:v>
      </x:c>
      <x:c r="M219" s="1" t="str">
        <x:f>IF(NOT(ISNUMBER(J219)),"",IF(J219&gt;=2,3,2))</x:f>
      </x:c>
      <x:c r="N219" s="1" t="str">
        <x:f>IF(NOT(ISNUMBER(J219)),"缺少可算OAV",IF(J219&gt;=2,"最大值、中位值、低值待校准","最大值、中位值"))</x:f>
        <x:v>缺少可算OAV</x:v>
      </x:c>
      <x:c r="O219" s="1" t="str">
        <x:f>IF(NOT(ISNUMBER(J219)),"待定",IF(J219&lt;2,"不设第三档",IF(J219&lt;=5,"中位OAV≤5；低档须低于中位浓度","低档需预试确认与中档可区分")))</x:f>
        <x:v>待定</x:v>
      </x:c>
    </x:row>
    <x:row r="220" ht="23" customHeight="1">
      <x:c r="A220" s="1" t="n">
        <x:f>'浓度与阈值来源'!A220</x:f>
        <x:v>215</x:v>
      </x:c>
      <x:c r="B220" s="1" t="str">
        <x:f>IF('浓度与阈值来源'!B220="","",'浓度与阈值来源'!B220)</x:f>
      </x:c>
      <x:c r="C220" s="1" t="str">
        <x:f>IF('浓度与阈值来源'!C220="","",'浓度与阈值来源'!C220)</x:f>
        <x:v>4437-22-3</x:v>
      </x:c>
      <x:c r="D220" s="1"/>
      <x:c r="E220" s="5" t="str">
        <x:f>IF('浓度与阈值来源'!D220&gt;0,'浓度与阈值来源'!D220,"")</x:f>
      </x:c>
      <x:c r="F220" s="6" t="n">
        <x:f>COUNT('浓度与阈值来源'!E220:DM220)</x:f>
        <x:v>1</x:v>
      </x:c>
      <x:c r="G220" s="5" t="n">
        <x:f>IF(F220=0,"",MAX('浓度与阈值来源'!E220:DM220))</x:f>
        <x:v>0.36</x:v>
      </x:c>
      <x:c r="H220" s="5" t="n">
        <x:f>IF(F220=0,"",MEDIAN('浓度与阈值来源'!E220:DM220))</x:f>
        <x:v>0.36</x:v>
      </x:c>
      <x:c r="I220" s="7" t="str">
        <x:f>IF(AND(ISNUMBER(E220),E220&gt;0,F220&gt;0),G220/E220,"")</x:f>
      </x:c>
      <x:c r="J220" s="7" t="str">
        <x:f>IF(AND(ISNUMBER(E220),E220&gt;0,F220&gt;0),H220/E220,"")</x:f>
      </x:c>
      <x:c r="K220" s="1" t="str">
        <x:f>IF(F220=0,"无浓度数据",IF(E220="","缺周表阈值","可计算"))</x:f>
        <x:v>缺周表阈值</x:v>
      </x:c>
      <x:c r="L220" s="1" t="str">
        <x:f>IF(NOT(ISNUMBER(J220)),"待定",IF(J220&gt;50,"骨架成分",IF(J220&gt;=2,"重要成分","两档成分")))</x:f>
        <x:v>待定</x:v>
      </x:c>
      <x:c r="M220" s="1" t="str">
        <x:f>IF(NOT(ISNUMBER(J220)),"",IF(J220&gt;=2,3,2))</x:f>
      </x:c>
      <x:c r="N220" s="1" t="str">
        <x:f>IF(NOT(ISNUMBER(J220)),"缺少可算OAV",IF(J220&gt;=2,"最大值、中位值、低值待校准","最大值、中位值"))</x:f>
        <x:v>缺少可算OAV</x:v>
      </x:c>
      <x:c r="O220" s="1" t="str">
        <x:f>IF(NOT(ISNUMBER(J220)),"待定",IF(J220&lt;2,"不设第三档",IF(J220&lt;=5,"中位OAV≤5；低档须低于中位浓度","低档需预试确认与中档可区分")))</x:f>
        <x:v>待定</x:v>
      </x:c>
    </x:row>
    <x:row r="221" ht="23" customHeight="1">
      <x:c r="A221" s="1" t="n">
        <x:f>'浓度与阈值来源'!A221</x:f>
        <x:v>216</x:v>
      </x:c>
      <x:c r="B221" s="1" t="str">
        <x:f>IF('浓度与阈值来源'!B221="","",'浓度与阈值来源'!B221)</x:f>
        <x:v>2-正丁基呋喃</x:v>
      </x:c>
      <x:c r="C221" s="1" t="str">
        <x:f>IF('浓度与阈值来源'!C221="","",'浓度与阈值来源'!C221)</x:f>
        <x:v>4466-24-4</x:v>
      </x:c>
      <x:c r="D221" s="1" t="str">
        <x:v>2-Butylfuran</x:v>
      </x:c>
      <x:c r="E221" s="5" t="str">
        <x:f>IF('浓度与阈值来源'!D221&gt;0,'浓度与阈值来源'!D221,"")</x:f>
      </x:c>
      <x:c r="F221" s="6" t="n">
        <x:f>COUNT('浓度与阈值来源'!E221:DM221)</x:f>
        <x:v>9</x:v>
      </x:c>
      <x:c r="G221" s="5" t="n">
        <x:f>IF(F221=0,"",MAX('浓度与阈值来源'!E221:DM221))</x:f>
        <x:v>3150</x:v>
      </x:c>
      <x:c r="H221" s="5" t="n">
        <x:f>IF(F221=0,"",MEDIAN('浓度与阈值来源'!E221:DM221))</x:f>
        <x:v>40.32</x:v>
      </x:c>
      <x:c r="I221" s="7" t="str">
        <x:f>IF(AND(ISNUMBER(E221),E221&gt;0,F221&gt;0),G221/E221,"")</x:f>
      </x:c>
      <x:c r="J221" s="7" t="str">
        <x:f>IF(AND(ISNUMBER(E221),E221&gt;0,F221&gt;0),H221/E221,"")</x:f>
      </x:c>
      <x:c r="K221" s="1" t="str">
        <x:f>IF(F221=0,"无浓度数据",IF(E221="","缺周表阈值","可计算"))</x:f>
        <x:v>缺周表阈值</x:v>
      </x:c>
      <x:c r="L221" s="1" t="str">
        <x:f>IF(NOT(ISNUMBER(J221)),"待定",IF(J221&gt;50,"骨架成分",IF(J221&gt;=2,"重要成分","两档成分")))</x:f>
        <x:v>待定</x:v>
      </x:c>
      <x:c r="M221" s="1" t="str">
        <x:f>IF(NOT(ISNUMBER(J221)),"",IF(J221&gt;=2,3,2))</x:f>
      </x:c>
      <x:c r="N221" s="1" t="str">
        <x:f>IF(NOT(ISNUMBER(J221)),"缺少可算OAV",IF(J221&gt;=2,"最大值、中位值、低值待校准","最大值、中位值"))</x:f>
        <x:v>缺少可算OAV</x:v>
      </x:c>
      <x:c r="O221" s="1" t="str">
        <x:f>IF(NOT(ISNUMBER(J221)),"待定",IF(J221&lt;2,"不设第三档",IF(J221&lt;=5,"中位OAV≤5；低档须低于中位浓度","低档需预试确认与中档可区分")))</x:f>
        <x:v>待定</x:v>
      </x:c>
    </x:row>
    <x:row r="222" ht="23" customHeight="1">
      <x:c r="A222" s="1" t="n">
        <x:f>'浓度与阈值来源'!A222</x:f>
        <x:v>217</x:v>
      </x:c>
      <x:c r="B222" s="1" t="str">
        <x:f>IF('浓度与阈值来源'!B222="","",'浓度与阈值来源'!B222)</x:f>
      </x:c>
      <x:c r="C222" s="1" t="str">
        <x:f>IF('浓度与阈值来源'!C222="","",'浓度与阈值来源'!C222)</x:f>
        <x:v>5405-41-4</x:v>
      </x:c>
      <x:c r="D222" s="1"/>
      <x:c r="E222" s="5" t="str">
        <x:f>IF('浓度与阈值来源'!D222&gt;0,'浓度与阈值来源'!D222,"")</x:f>
      </x:c>
      <x:c r="F222" s="6" t="n">
        <x:f>COUNT('浓度与阈值来源'!E222:DM222)</x:f>
        <x:v>3</x:v>
      </x:c>
      <x:c r="G222" s="5" t="n">
        <x:f>IF(F222=0,"",MAX('浓度与阈值来源'!E222:DM222))</x:f>
        <x:v>21.1</x:v>
      </x:c>
      <x:c r="H222" s="5" t="n">
        <x:f>IF(F222=0,"",MEDIAN('浓度与阈值来源'!E222:DM222))</x:f>
        <x:v>7.35</x:v>
      </x:c>
      <x:c r="I222" s="7" t="str">
        <x:f>IF(AND(ISNUMBER(E222),E222&gt;0,F222&gt;0),G222/E222,"")</x:f>
      </x:c>
      <x:c r="J222" s="7" t="str">
        <x:f>IF(AND(ISNUMBER(E222),E222&gt;0,F222&gt;0),H222/E222,"")</x:f>
      </x:c>
      <x:c r="K222" s="1" t="str">
        <x:f>IF(F222=0,"无浓度数据",IF(E222="","缺周表阈值","可计算"))</x:f>
        <x:v>缺周表阈值</x:v>
      </x:c>
      <x:c r="L222" s="1" t="str">
        <x:f>IF(NOT(ISNUMBER(J222)),"待定",IF(J222&gt;50,"骨架成分",IF(J222&gt;=2,"重要成分","两档成分")))</x:f>
        <x:v>待定</x:v>
      </x:c>
      <x:c r="M222" s="1" t="str">
        <x:f>IF(NOT(ISNUMBER(J222)),"",IF(J222&gt;=2,3,2))</x:f>
      </x:c>
      <x:c r="N222" s="1" t="str">
        <x:f>IF(NOT(ISNUMBER(J222)),"缺少可算OAV",IF(J222&gt;=2,"最大值、中位值、低值待校准","最大值、中位值"))</x:f>
        <x:v>缺少可算OAV</x:v>
      </x:c>
      <x:c r="O222" s="1" t="str">
        <x:f>IF(NOT(ISNUMBER(J222)),"待定",IF(J222&lt;2,"不设第三档",IF(J222&lt;=5,"中位OAV≤5；低档须低于中位浓度","低档需预试确认与中档可区分")))</x:f>
        <x:v>待定</x:v>
      </x:c>
    </x:row>
    <x:row r="223" ht="23" customHeight="1">
      <x:c r="A223" s="1" t="n">
        <x:f>'浓度与阈值来源'!A223</x:f>
        <x:v>218</x:v>
      </x:c>
      <x:c r="B223" s="1" t="str">
        <x:f>IF('浓度与阈值来源'!B223="","",'浓度与阈值来源'!B223)</x:f>
        <x:v>庚酸丁酯</x:v>
      </x:c>
      <x:c r="C223" s="1" t="str">
        <x:f>IF('浓度与阈值来源'!C223="","",'浓度与阈值来源'!C223)</x:f>
        <x:v>5454-28-4</x:v>
      </x:c>
      <x:c r="D223" s="1" t="str">
        <x:v>Butyl heptanoate</x:v>
      </x:c>
      <x:c r="E223" s="5" t="str">
        <x:f>IF('浓度与阈值来源'!D223&gt;0,'浓度与阈值来源'!D223,"")</x:f>
      </x:c>
      <x:c r="F223" s="6" t="n">
        <x:f>COUNT('浓度与阈值来源'!E223:DM223)</x:f>
        <x:v>8</x:v>
      </x:c>
      <x:c r="G223" s="5" t="n">
        <x:f>IF(F223=0,"",MAX('浓度与阈值来源'!E223:DM223))</x:f>
        <x:v>15740</x:v>
      </x:c>
      <x:c r="H223" s="5" t="n">
        <x:f>IF(F223=0,"",MEDIAN('浓度与阈值来源'!E223:DM223))</x:f>
        <x:v>5343</x:v>
      </x:c>
      <x:c r="I223" s="7" t="str">
        <x:f>IF(AND(ISNUMBER(E223),E223&gt;0,F223&gt;0),G223/E223,"")</x:f>
      </x:c>
      <x:c r="J223" s="7" t="str">
        <x:f>IF(AND(ISNUMBER(E223),E223&gt;0,F223&gt;0),H223/E223,"")</x:f>
      </x:c>
      <x:c r="K223" s="1" t="str">
        <x:f>IF(F223=0,"无浓度数据",IF(E223="","缺周表阈值","可计算"))</x:f>
        <x:v>缺周表阈值</x:v>
      </x:c>
      <x:c r="L223" s="1" t="str">
        <x:f>IF(NOT(ISNUMBER(J223)),"待定",IF(J223&gt;50,"骨架成分",IF(J223&gt;=2,"重要成分","两档成分")))</x:f>
        <x:v>待定</x:v>
      </x:c>
      <x:c r="M223" s="1" t="str">
        <x:f>IF(NOT(ISNUMBER(J223)),"",IF(J223&gt;=2,3,2))</x:f>
      </x:c>
      <x:c r="N223" s="1" t="str">
        <x:f>IF(NOT(ISNUMBER(J223)),"缺少可算OAV",IF(J223&gt;=2,"最大值、中位值、低值待校准","最大值、中位值"))</x:f>
        <x:v>缺少可算OAV</x:v>
      </x:c>
      <x:c r="O223" s="1" t="str">
        <x:f>IF(NOT(ISNUMBER(J223)),"待定",IF(J223&lt;2,"不设第三档",IF(J223&lt;=5,"中位OAV≤5；低档须低于中位浓度","低档需预试确认与中档可区分")))</x:f>
        <x:v>待定</x:v>
      </x:c>
    </x:row>
    <x:row r="224" ht="23" customHeight="1">
      <x:c r="A224" s="1" t="n">
        <x:f>'浓度与阈值来源'!A224</x:f>
        <x:v>219</x:v>
      </x:c>
      <x:c r="B224" s="1" t="str">
        <x:f>IF('浓度与阈值来源'!B224="","",'浓度与阈值来源'!B224)</x:f>
        <x:v>辛酸异丁酯</x:v>
      </x:c>
      <x:c r="C224" s="1" t="str">
        <x:f>IF('浓度与阈值来源'!C224="","",'浓度与阈值来源'!C224)</x:f>
        <x:v>5461-06-3</x:v>
      </x:c>
      <x:c r="D224" s="1" t="str">
        <x:v>Isobutyl octanoate</x:v>
      </x:c>
      <x:c r="E224" s="5" t="str">
        <x:f>IF('浓度与阈值来源'!D224&gt;0,'浓度与阈值来源'!D224,"")</x:f>
      </x:c>
      <x:c r="F224" s="6" t="n">
        <x:f>COUNT('浓度与阈值来源'!E224:DM224)</x:f>
        <x:v>6</x:v>
      </x:c>
      <x:c r="G224" s="5" t="n">
        <x:f>IF(F224=0,"",MAX('浓度与阈值来源'!E224:DM224))</x:f>
        <x:v>1225</x:v>
      </x:c>
      <x:c r="H224" s="5" t="n">
        <x:f>IF(F224=0,"",MEDIAN('浓度与阈值来源'!E224:DM224))</x:f>
        <x:v>1091.5</x:v>
      </x:c>
      <x:c r="I224" s="7" t="str">
        <x:f>IF(AND(ISNUMBER(E224),E224&gt;0,F224&gt;0),G224/E224,"")</x:f>
      </x:c>
      <x:c r="J224" s="7" t="str">
        <x:f>IF(AND(ISNUMBER(E224),E224&gt;0,F224&gt;0),H224/E224,"")</x:f>
      </x:c>
      <x:c r="K224" s="1" t="str">
        <x:f>IF(F224=0,"无浓度数据",IF(E224="","缺周表阈值","可计算"))</x:f>
        <x:v>缺周表阈值</x:v>
      </x:c>
      <x:c r="L224" s="1" t="str">
        <x:f>IF(NOT(ISNUMBER(J224)),"待定",IF(J224&gt;50,"骨架成分",IF(J224&gt;=2,"重要成分","两档成分")))</x:f>
        <x:v>待定</x:v>
      </x:c>
      <x:c r="M224" s="1" t="str">
        <x:f>IF(NOT(ISNUMBER(J224)),"",IF(J224&gt;=2,3,2))</x:f>
      </x:c>
      <x:c r="N224" s="1" t="str">
        <x:f>IF(NOT(ISNUMBER(J224)),"缺少可算OAV",IF(J224&gt;=2,"最大值、中位值、低值待校准","最大值、中位值"))</x:f>
        <x:v>缺少可算OAV</x:v>
      </x:c>
      <x:c r="O224" s="1" t="str">
        <x:f>IF(NOT(ISNUMBER(J224)),"待定",IF(J224&lt;2,"不设第三档",IF(J224&lt;=5,"中位OAV≤5；低档须低于中位浓度","低档需预试确认与中档可区分")))</x:f>
        <x:v>待定</x:v>
      </x:c>
    </x:row>
    <x:row r="225" ht="23" customHeight="1">
      <x:c r="A225" s="1" t="n">
        <x:f>'浓度与阈值来源'!A225</x:f>
        <x:v>220</x:v>
      </x:c>
      <x:c r="B225" s="1" t="str">
        <x:f>IF('浓度与阈值来源'!B225="","",'浓度与阈值来源'!B225)</x:f>
        <x:v>3-甲基戊酸乙酯</x:v>
      </x:c>
      <x:c r="C225" s="1" t="str">
        <x:f>IF('浓度与阈值来源'!C225="","",'浓度与阈值来源'!C225)</x:f>
        <x:v>5870-68-8</x:v>
      </x:c>
      <x:c r="D225" s="1"/>
      <x:c r="E225" s="5" t="str">
        <x:f>IF('浓度与阈值来源'!D225&gt;0,'浓度与阈值来源'!D225,"")</x:f>
      </x:c>
      <x:c r="F225" s="6" t="n">
        <x:f>COUNT('浓度与阈值来源'!E225:DM225)</x:f>
        <x:v>4</x:v>
      </x:c>
      <x:c r="G225" s="5" t="n">
        <x:f>IF(F225=0,"",MAX('浓度与阈值来源'!E225:DM225))</x:f>
        <x:v>8.11</x:v>
      </x:c>
      <x:c r="H225" s="5" t="n">
        <x:f>IF(F225=0,"",MEDIAN('浓度与阈值来源'!E225:DM225))</x:f>
        <x:v>4.91</x:v>
      </x:c>
      <x:c r="I225" s="7" t="str">
        <x:f>IF(AND(ISNUMBER(E225),E225&gt;0,F225&gt;0),G225/E225,"")</x:f>
      </x:c>
      <x:c r="J225" s="7" t="str">
        <x:f>IF(AND(ISNUMBER(E225),E225&gt;0,F225&gt;0),H225/E225,"")</x:f>
      </x:c>
      <x:c r="K225" s="1" t="str">
        <x:f>IF(F225=0,"无浓度数据",IF(E225="","缺周表阈值","可计算"))</x:f>
        <x:v>缺周表阈值</x:v>
      </x:c>
      <x:c r="L225" s="1" t="str">
        <x:f>IF(NOT(ISNUMBER(J225)),"待定",IF(J225&gt;50,"骨架成分",IF(J225&gt;=2,"重要成分","两档成分")))</x:f>
        <x:v>待定</x:v>
      </x:c>
      <x:c r="M225" s="1" t="str">
        <x:f>IF(NOT(ISNUMBER(J225)),"",IF(J225&gt;=2,3,2))</x:f>
      </x:c>
      <x:c r="N225" s="1" t="str">
        <x:f>IF(NOT(ISNUMBER(J225)),"缺少可算OAV",IF(J225&gt;=2,"最大值、中位值、低值待校准","最大值、中位值"))</x:f>
        <x:v>缺少可算OAV</x:v>
      </x:c>
      <x:c r="O225" s="1" t="str">
        <x:f>IF(NOT(ISNUMBER(J225)),"待定",IF(J225&lt;2,"不设第三档",IF(J225&lt;=5,"中位OAV≤5；低档须低于中位浓度","低档需预试确认与中档可区分")))</x:f>
        <x:v>待定</x:v>
      </x:c>
    </x:row>
    <x:row r="226" ht="23" customHeight="1">
      <x:c r="A226" s="1" t="n">
        <x:f>'浓度与阈值来源'!A226</x:f>
        <x:v>221</x:v>
      </x:c>
      <x:c r="B226" s="1" t="str">
        <x:f>IF('浓度与阈值来源'!B226="","",'浓度与阈值来源'!B226)</x:f>
      </x:c>
      <x:c r="C226" s="1" t="str">
        <x:f>IF('浓度与阈值来源'!C226="","",'浓度与阈值来源'!C226)</x:f>
        <x:v>5941-48-0</x:v>
      </x:c>
      <x:c r="D226" s="1" t="str">
        <x:v>Ethyl hexadienoate</x:v>
      </x:c>
      <x:c r="E226" s="5" t="str">
        <x:f>IF('浓度与阈值来源'!D226&gt;0,'浓度与阈值来源'!D226,"")</x:f>
      </x:c>
      <x:c r="F226" s="6" t="n">
        <x:f>COUNT('浓度与阈值来源'!E226:DM226)</x:f>
        <x:v>6</x:v>
      </x:c>
      <x:c r="G226" s="5" t="n">
        <x:f>IF(F226=0,"",MAX('浓度与阈值来源'!E226:DM226))</x:f>
        <x:v>1663</x:v>
      </x:c>
      <x:c r="H226" s="5" t="n">
        <x:f>IF(F226=0,"",MEDIAN('浓度与阈值来源'!E226:DM226))</x:f>
        <x:v>1093.5</x:v>
      </x:c>
      <x:c r="I226" s="7" t="str">
        <x:f>IF(AND(ISNUMBER(E226),E226&gt;0,F226&gt;0),G226/E226,"")</x:f>
      </x:c>
      <x:c r="J226" s="7" t="str">
        <x:f>IF(AND(ISNUMBER(E226),E226&gt;0,F226&gt;0),H226/E226,"")</x:f>
      </x:c>
      <x:c r="K226" s="1" t="str">
        <x:f>IF(F226=0,"无浓度数据",IF(E226="","缺周表阈值","可计算"))</x:f>
        <x:v>缺周表阈值</x:v>
      </x:c>
      <x:c r="L226" s="1" t="str">
        <x:f>IF(NOT(ISNUMBER(J226)),"待定",IF(J226&gt;50,"骨架成分",IF(J226&gt;=2,"重要成分","两档成分")))</x:f>
        <x:v>待定</x:v>
      </x:c>
      <x:c r="M226" s="1" t="str">
        <x:f>IF(NOT(ISNUMBER(J226)),"",IF(J226&gt;=2,3,2))</x:f>
      </x:c>
      <x:c r="N226" s="1" t="str">
        <x:f>IF(NOT(ISNUMBER(J226)),"缺少可算OAV",IF(J226&gt;=2,"最大值、中位值、低值待校准","最大值、中位值"))</x:f>
        <x:v>缺少可算OAV</x:v>
      </x:c>
      <x:c r="O226" s="1" t="str">
        <x:f>IF(NOT(ISNUMBER(J226)),"待定",IF(J226&lt;2,"不设第三档",IF(J226&lt;=5,"中位OAV≤5；低档须低于中位浓度","低档需预试确认与中档可区分")))</x:f>
        <x:v>待定</x:v>
      </x:c>
    </x:row>
    <x:row r="227" ht="23" customHeight="1">
      <x:c r="A227" s="1" t="n">
        <x:f>'浓度与阈值来源'!A227</x:f>
        <x:v>222</x:v>
      </x:c>
      <x:c r="B227" s="1" t="str">
        <x:f>IF('浓度与阈值来源'!B227="","",'浓度与阈值来源'!B227)</x:f>
      </x:c>
      <x:c r="C227" s="1" t="str">
        <x:f>IF('浓度与阈值来源'!C227="","",'浓度与阈值来源'!C227)</x:f>
        <x:v>6008-27-1</x:v>
      </x:c>
      <x:c r="D227" s="1" t="str">
        <x:v>-nonalactone</x:v>
      </x:c>
      <x:c r="E227" s="5" t="n">
        <x:f>IF('浓度与阈值来源'!D227&gt;0,'浓度与阈值来源'!D227,"")</x:f>
        <x:v>90.7</x:v>
      </x:c>
      <x:c r="F227" s="6" t="n">
        <x:f>COUNT('浓度与阈值来源'!E227:DM227)</x:f>
        <x:v>2</x:v>
      </x:c>
      <x:c r="G227" s="5" t="n">
        <x:f>IF(F227=0,"",MAX('浓度与阈值来源'!E227:DM227))</x:f>
        <x:v>129</x:v>
      </x:c>
      <x:c r="H227" s="5" t="n">
        <x:f>IF(F227=0,"",MEDIAN('浓度与阈值来源'!E227:DM227))</x:f>
        <x:v>94</x:v>
      </x:c>
      <x:c r="I227" s="7" t="n">
        <x:f>IF(AND(ISNUMBER(E227),E227&gt;0,F227&gt;0),G227/E227,"")</x:f>
        <x:v>1.4222712238147739</x:v>
      </x:c>
      <x:c r="J227" s="7" t="n">
        <x:f>IF(AND(ISNUMBER(E227),E227&gt;0,F227&gt;0),H227/E227,"")</x:f>
        <x:v>1.0363836824696802</x:v>
      </x:c>
      <x:c r="K227" s="1" t="str">
        <x:f>IF(F227=0,"无浓度数据",IF(E227="","缺周表阈值","可计算"))</x:f>
        <x:v>可计算</x:v>
      </x:c>
      <x:c r="L227" s="1" t="str">
        <x:f>IF(NOT(ISNUMBER(J227)),"待定",IF(J227&gt;50,"骨架成分",IF(J227&gt;=2,"重要成分","两档成分")))</x:f>
        <x:v>两档成分</x:v>
      </x:c>
      <x:c r="M227" s="1" t="n">
        <x:f>IF(NOT(ISNUMBER(J227)),"",IF(J227&gt;=2,3,2))</x:f>
        <x:v>2</x:v>
      </x:c>
      <x:c r="N227" s="1" t="str">
        <x:f>IF(NOT(ISNUMBER(J227)),"缺少可算OAV",IF(J227&gt;=2,"最大值、中位值、低值待校准","最大值、中位值"))</x:f>
        <x:v>最大值、中位值</x:v>
      </x:c>
      <x:c r="O227" s="1" t="str">
        <x:f>IF(NOT(ISNUMBER(J227)),"待定",IF(J227&lt;2,"不设第三档",IF(J227&lt;=5,"中位OAV≤5；低档须低于中位浓度","低档需预试确认与中档可区分")))</x:f>
        <x:v>不设第三档</x:v>
      </x:c>
    </x:row>
    <x:row r="228" ht="23" customHeight="1">
      <x:c r="A228" s="1" t="n">
        <x:f>'浓度与阈值来源'!A228</x:f>
        <x:v>223</x:v>
      </x:c>
      <x:c r="B228" s="1" t="str">
        <x:f>IF('浓度与阈值来源'!B228="","",'浓度与阈值来源'!B228)</x:f>
        <x:v>2-戊醇</x:v>
      </x:c>
      <x:c r="C228" s="1" t="str">
        <x:f>IF('浓度与阈值来源'!C228="","",'浓度与阈值来源'!C228)</x:f>
        <x:v>6032-29-7</x:v>
      </x:c>
      <x:c r="D228" s="1" t="str">
        <x:v>2-Pentanol</x:v>
      </x:c>
      <x:c r="E228" s="5" t="n">
        <x:f>IF('浓度与阈值来源'!D228&gt;0,'浓度与阈值来源'!D228,"")</x:f>
        <x:v>194313</x:v>
      </x:c>
      <x:c r="F228" s="6" t="n">
        <x:f>COUNT('浓度与阈值来源'!E228:DM228)</x:f>
        <x:v>52</x:v>
      </x:c>
      <x:c r="G228" s="5" t="n">
        <x:f>IF(F228=0,"",MAX('浓度与阈值来源'!E228:DM228))</x:f>
        <x:v>209250</x:v>
      </x:c>
      <x:c r="H228" s="5" t="n">
        <x:f>IF(F228=0,"",MEDIAN('浓度与阈值来源'!E228:DM228))</x:f>
        <x:v>5222.605</x:v>
      </x:c>
      <x:c r="I228" s="7" t="n">
        <x:f>IF(AND(ISNUMBER(E228),E228&gt;0,F228&gt;0),G228/E228,"")</x:f>
        <x:v>1.0768708218184064</x:v>
      </x:c>
      <x:c r="J228" s="7" t="n">
        <x:f>IF(AND(ISNUMBER(E228),E228&gt;0,F228&gt;0),H228/E228,"")</x:f>
        <x:v>0.02687728047016926</x:v>
      </x:c>
      <x:c r="K228" s="1" t="str">
        <x:f>IF(F228=0,"无浓度数据",IF(E228="","缺周表阈值","可计算"))</x:f>
        <x:v>可计算</x:v>
      </x:c>
      <x:c r="L228" s="1" t="str">
        <x:f>IF(NOT(ISNUMBER(J228)),"待定",IF(J228&gt;50,"骨架成分",IF(J228&gt;=2,"重要成分","两档成分")))</x:f>
        <x:v>两档成分</x:v>
      </x:c>
      <x:c r="M228" s="1" t="n">
        <x:f>IF(NOT(ISNUMBER(J228)),"",IF(J228&gt;=2,3,2))</x:f>
        <x:v>2</x:v>
      </x:c>
      <x:c r="N228" s="1" t="str">
        <x:f>IF(NOT(ISNUMBER(J228)),"缺少可算OAV",IF(J228&gt;=2,"最大值、中位值、低值待校准","最大值、中位值"))</x:f>
        <x:v>最大值、中位值</x:v>
      </x:c>
      <x:c r="O228" s="1" t="str">
        <x:f>IF(NOT(ISNUMBER(J228)),"待定",IF(J228&lt;2,"不设第三档",IF(J228&lt;=5,"中位OAV≤5；低档须低于中位浓度","低档需预试确认与中档可区分")))</x:f>
        <x:v>不设第三档</x:v>
      </x:c>
    </x:row>
    <x:row r="229" ht="23" customHeight="1">
      <x:c r="A229" s="1" t="n">
        <x:f>'浓度与阈值来源'!A229</x:f>
        <x:v>224</x:v>
      </x:c>
      <x:c r="B229" s="1" t="str">
        <x:f>IF('浓度与阈值来源'!B229="","",'浓度与阈值来源'!B229)</x:f>
      </x:c>
      <x:c r="C229" s="1" t="str">
        <x:f>IF('浓度与阈值来源'!C229="","",'浓度与阈值来源'!C229)</x:f>
        <x:v>6114-18-7</x:v>
      </x:c>
      <x:c r="D229" s="1"/>
      <x:c r="E229" s="5" t="str">
        <x:f>IF('浓度与阈值来源'!D229&gt;0,'浓度与阈值来源'!D229,"")</x:f>
      </x:c>
      <x:c r="F229" s="6" t="n">
        <x:f>COUNT('浓度与阈值来源'!E229:DM229)</x:f>
        <x:v>2</x:v>
      </x:c>
      <x:c r="G229" s="5" t="n">
        <x:f>IF(F229=0,"",MAX('浓度与阈值来源'!E229:DM229))</x:f>
        <x:v>1.76</x:v>
      </x:c>
      <x:c r="H229" s="5" t="n">
        <x:f>IF(F229=0,"",MEDIAN('浓度与阈值来源'!E229:DM229))</x:f>
        <x:v>0.995</x:v>
      </x:c>
      <x:c r="I229" s="7" t="str">
        <x:f>IF(AND(ISNUMBER(E229),E229&gt;0,F229&gt;0),G229/E229,"")</x:f>
      </x:c>
      <x:c r="J229" s="7" t="str">
        <x:f>IF(AND(ISNUMBER(E229),E229&gt;0,F229&gt;0),H229/E229,"")</x:f>
      </x:c>
      <x:c r="K229" s="1" t="str">
        <x:f>IF(F229=0,"无浓度数据",IF(E229="","缺周表阈值","可计算"))</x:f>
        <x:v>缺周表阈值</x:v>
      </x:c>
      <x:c r="L229" s="1" t="str">
        <x:f>IF(NOT(ISNUMBER(J229)),"待定",IF(J229&gt;50,"骨架成分",IF(J229&gt;=2,"重要成分","两档成分")))</x:f>
        <x:v>待定</x:v>
      </x:c>
      <x:c r="M229" s="1" t="str">
        <x:f>IF(NOT(ISNUMBER(J229)),"",IF(J229&gt;=2,3,2))</x:f>
      </x:c>
      <x:c r="N229" s="1" t="str">
        <x:f>IF(NOT(ISNUMBER(J229)),"缺少可算OAV",IF(J229&gt;=2,"最大值、中位值、低值待校准","最大值、中位值"))</x:f>
        <x:v>缺少可算OAV</x:v>
      </x:c>
      <x:c r="O229" s="1" t="str">
        <x:f>IF(NOT(ISNUMBER(J229)),"待定",IF(J229&lt;2,"不设第三档",IF(J229&lt;=5,"中位OAV≤5；低档须低于中位浓度","低档需预试确认与中档可区分")))</x:f>
        <x:v>待定</x:v>
      </x:c>
    </x:row>
    <x:row r="230" ht="23" customHeight="1">
      <x:c r="A230" s="1" t="n">
        <x:f>'浓度与阈值来源'!A230</x:f>
        <x:v>225</x:v>
      </x:c>
      <x:c r="B230" s="1" t="str">
        <x:f>IF('浓度与阈值来源'!B230="","",'浓度与阈值来源'!B230)</x:f>
        <x:v>己酸-2-苯乙酯</x:v>
      </x:c>
      <x:c r="C230" s="1" t="str">
        <x:f>IF('浓度与阈值来源'!C230="","",'浓度与阈值来源'!C230)</x:f>
        <x:v>6290-37-5</x:v>
      </x:c>
      <x:c r="D230" s="1"/>
      <x:c r="E230" s="5" t="n">
        <x:f>IF('浓度与阈值来源'!D230&gt;0,'浓度与阈值来源'!D230,"")</x:f>
        <x:v>94.34</x:v>
      </x:c>
      <x:c r="F230" s="6" t="n">
        <x:f>COUNT('浓度与阈值来源'!E230:DM230)</x:f>
        <x:v>25</x:v>
      </x:c>
      <x:c r="G230" s="5" t="n">
        <x:f>IF(F230=0,"",MAX('浓度与阈值来源'!E230:DM230))</x:f>
        <x:v>1644.7</x:v>
      </x:c>
      <x:c r="H230" s="5" t="n">
        <x:f>IF(F230=0,"",MEDIAN('浓度与阈值来源'!E230:DM230))</x:f>
        <x:v>87.74</x:v>
      </x:c>
      <x:c r="I230" s="7" t="n">
        <x:f>IF(AND(ISNUMBER(E230),E230&gt;0,F230&gt;0),G230/E230,"")</x:f>
        <x:v>17.433750264998938</x:v>
      </x:c>
      <x:c r="J230" s="7" t="n">
        <x:f>IF(AND(ISNUMBER(E230),E230&gt;0,F230&gt;0),H230/E230,"")</x:f>
        <x:v>0.9300402798388806</x:v>
      </x:c>
      <x:c r="K230" s="1" t="str">
        <x:f>IF(F230=0,"无浓度数据",IF(E230="","缺周表阈值","可计算"))</x:f>
        <x:v>可计算</x:v>
      </x:c>
      <x:c r="L230" s="1" t="str">
        <x:f>IF(NOT(ISNUMBER(J230)),"待定",IF(J230&gt;50,"骨架成分",IF(J230&gt;=2,"重要成分","两档成分")))</x:f>
        <x:v>两档成分</x:v>
      </x:c>
      <x:c r="M230" s="1" t="n">
        <x:f>IF(NOT(ISNUMBER(J230)),"",IF(J230&gt;=2,3,2))</x:f>
        <x:v>2</x:v>
      </x:c>
      <x:c r="N230" s="1" t="str">
        <x:f>IF(NOT(ISNUMBER(J230)),"缺少可算OAV",IF(J230&gt;=2,"最大值、中位值、低值待校准","最大值、中位值"))</x:f>
        <x:v>最大值、中位值</x:v>
      </x:c>
      <x:c r="O230" s="1" t="str">
        <x:f>IF(NOT(ISNUMBER(J230)),"待定",IF(J230&lt;2,"不设第三档",IF(J230&lt;=5,"中位OAV≤5；低档须低于中位浓度","低档需预试确认与中档可区分")))</x:f>
        <x:v>不设第三档</x:v>
      </x:c>
    </x:row>
    <x:row r="231" ht="23" customHeight="1">
      <x:c r="A231" s="1" t="n">
        <x:f>'浓度与阈值来源'!A231</x:f>
        <x:v>226</x:v>
      </x:c>
      <x:c r="B231" s="1" t="str">
        <x:f>IF('浓度与阈值来源'!B231="","",'浓度与阈值来源'!B231)</x:f>
      </x:c>
      <x:c r="C231" s="1" t="str">
        <x:f>IF('浓度与阈值来源'!C231="","",'浓度与阈值来源'!C231)</x:f>
        <x:v>6314-97-2</x:v>
      </x:c>
      <x:c r="D231" s="1" t="str">
        <x:v>Benzeneacetaldehyde, diethyl acetal</x:v>
      </x:c>
      <x:c r="E231" s="5" t="str">
        <x:f>IF('浓度与阈值来源'!D231&gt;0,'浓度与阈值来源'!D231,"")</x:f>
      </x:c>
      <x:c r="F231" s="6" t="n">
        <x:f>COUNT('浓度与阈值来源'!E231:DM231)</x:f>
        <x:v>6</x:v>
      </x:c>
      <x:c r="G231" s="5" t="n">
        <x:f>IF(F231=0,"",MAX('浓度与阈值来源'!E231:DM231))</x:f>
        <x:v>1925</x:v>
      </x:c>
      <x:c r="H231" s="5" t="n">
        <x:f>IF(F231=0,"",MEDIAN('浓度与阈值来源'!E231:DM231))</x:f>
        <x:v>1501</x:v>
      </x:c>
      <x:c r="I231" s="7" t="str">
        <x:f>IF(AND(ISNUMBER(E231),E231&gt;0,F231&gt;0),G231/E231,"")</x:f>
      </x:c>
      <x:c r="J231" s="7" t="str">
        <x:f>IF(AND(ISNUMBER(E231),E231&gt;0,F231&gt;0),H231/E231,"")</x:f>
      </x:c>
      <x:c r="K231" s="1" t="str">
        <x:f>IF(F231=0,"无浓度数据",IF(E231="","缺周表阈值","可计算"))</x:f>
        <x:v>缺周表阈值</x:v>
      </x:c>
      <x:c r="L231" s="1" t="str">
        <x:f>IF(NOT(ISNUMBER(J231)),"待定",IF(J231&gt;50,"骨架成分",IF(J231&gt;=2,"重要成分","两档成分")))</x:f>
        <x:v>待定</x:v>
      </x:c>
      <x:c r="M231" s="1" t="str">
        <x:f>IF(NOT(ISNUMBER(J231)),"",IF(J231&gt;=2,3,2))</x:f>
      </x:c>
      <x:c r="N231" s="1" t="str">
        <x:f>IF(NOT(ISNUMBER(J231)),"缺少可算OAV",IF(J231&gt;=2,"最大值、中位值、低值待校准","最大值、中位值"))</x:f>
        <x:v>缺少可算OAV</x:v>
      </x:c>
      <x:c r="O231" s="1" t="str">
        <x:f>IF(NOT(ISNUMBER(J231)),"待定",IF(J231&lt;2,"不设第三档",IF(J231&lt;=5,"中位OAV≤5；低档须低于中位浓度","低档需预试确认与中档可区分")))</x:f>
        <x:v>待定</x:v>
      </x:c>
    </x:row>
    <x:row r="232" ht="23" customHeight="1">
      <x:c r="A232" s="1" t="n">
        <x:f>'浓度与阈值来源'!A232</x:f>
        <x:v>227</x:v>
      </x:c>
      <x:c r="B232" s="1" t="str">
        <x:f>IF('浓度与阈值来源'!B232="","",'浓度与阈值来源'!B232)</x:f>
        <x:v>己酸己酯</x:v>
      </x:c>
      <x:c r="C232" s="1" t="str">
        <x:f>IF('浓度与阈值来源'!C232="","",'浓度与阈值来源'!C232)</x:f>
        <x:v>6378-65-0</x:v>
      </x:c>
      <x:c r="D232" s="1" t="str">
        <x:v>Hexyl hexanoate</x:v>
      </x:c>
      <x:c r="E232" s="5" t="n">
        <x:f>IF('浓度与阈值来源'!D232&gt;0,'浓度与阈值来源'!D232,"")</x:f>
        <x:v>1891</x:v>
      </x:c>
      <x:c r="F232" s="6" t="n">
        <x:f>COUNT('浓度与阈值来源'!E232:DM232)</x:f>
        <x:v>86</x:v>
      </x:c>
      <x:c r="G232" s="5" t="n">
        <x:f>IF(F232=0,"",MAX('浓度与阈值来源'!E232:DM232))</x:f>
        <x:v>193759</x:v>
      </x:c>
      <x:c r="H232" s="5" t="n">
        <x:f>IF(F232=0,"",MEDIAN('浓度与阈值来源'!E232:DM232))</x:f>
        <x:v>6441.62</x:v>
      </x:c>
      <x:c r="I232" s="7" t="n">
        <x:f>IF(AND(ISNUMBER(E232),E232&gt;0,F232&gt;0),G232/E232,"")</x:f>
        <x:v>102.46377578001058</x:v>
      </x:c>
      <x:c r="J232" s="7" t="n">
        <x:f>IF(AND(ISNUMBER(E232),E232&gt;0,F232&gt;0),H232/E232,"")</x:f>
        <x:v>3.4064621893178213</x:v>
      </x:c>
      <x:c r="K232" s="1" t="str">
        <x:f>IF(F232=0,"无浓度数据",IF(E232="","缺周表阈值","可计算"))</x:f>
        <x:v>可计算</x:v>
      </x:c>
      <x:c r="L232" s="1" t="str">
        <x:f>IF(NOT(ISNUMBER(J232)),"待定",IF(J232&gt;50,"骨架成分",IF(J232&gt;=2,"重要成分","两档成分")))</x:f>
        <x:v>重要成分</x:v>
      </x:c>
      <x:c r="M232" s="1" t="n">
        <x:f>IF(NOT(ISNUMBER(J232)),"",IF(J232&gt;=2,3,2))</x:f>
        <x:v>3</x:v>
      </x:c>
      <x:c r="N232" s="1" t="str">
        <x:f>IF(NOT(ISNUMBER(J232)),"缺少可算OAV",IF(J232&gt;=2,"最大值、中位值、低值待校准","最大值、中位值"))</x:f>
        <x:v>最大值、中位值、低值待校准</x:v>
      </x:c>
      <x:c r="O232" s="1" t="str">
        <x:f>IF(NOT(ISNUMBER(J232)),"待定",IF(J232&lt;2,"不设第三档",IF(J232&lt;=5,"中位OAV≤5；低档须低于中位浓度","低档需预试确认与中档可区分")))</x:f>
        <x:v>中位OAV≤5；低档须低于中位浓度</x:v>
      </x:c>
    </x:row>
    <x:row r="233" ht="23" customHeight="1">
      <x:c r="A233" s="1" t="n">
        <x:f>'浓度与阈值来源'!A233</x:f>
        <x:v>228</x:v>
      </x:c>
      <x:c r="B233" s="1" t="str">
        <x:f>IF('浓度与阈值来源'!B233="","",'浓度与阈值来源'!B233)</x:f>
      </x:c>
      <x:c r="C233" s="1" t="str">
        <x:f>IF('浓度与阈值来源'!C233="","",'浓度与阈值来源'!C233)</x:f>
        <x:v>6920-72-5</x:v>
      </x:c>
      <x:c r="D233" s="1"/>
      <x:c r="E233" s="5" t="str">
        <x:f>IF('浓度与阈值来源'!D233&gt;0,'浓度与阈值来源'!D233,"")</x:f>
      </x:c>
      <x:c r="F233" s="6" t="n">
        <x:f>COUNT('浓度与阈值来源'!E233:DM233)</x:f>
        <x:v>1</x:v>
      </x:c>
      <x:c r="G233" s="5" t="n">
        <x:f>IF(F233=0,"",MAX('浓度与阈值来源'!E233:DM233))</x:f>
        <x:v>2.56</x:v>
      </x:c>
      <x:c r="H233" s="5" t="n">
        <x:f>IF(F233=0,"",MEDIAN('浓度与阈值来源'!E233:DM233))</x:f>
        <x:v>2.56</x:v>
      </x:c>
      <x:c r="I233" s="7" t="str">
        <x:f>IF(AND(ISNUMBER(E233),E233&gt;0,F233&gt;0),G233/E233,"")</x:f>
      </x:c>
      <x:c r="J233" s="7" t="str">
        <x:f>IF(AND(ISNUMBER(E233),E233&gt;0,F233&gt;0),H233/E233,"")</x:f>
      </x:c>
      <x:c r="K233" s="1" t="str">
        <x:f>IF(F233=0,"无浓度数据",IF(E233="","缺周表阈值","可计算"))</x:f>
        <x:v>缺周表阈值</x:v>
      </x:c>
      <x:c r="L233" s="1" t="str">
        <x:f>IF(NOT(ISNUMBER(J233)),"待定",IF(J233&gt;50,"骨架成分",IF(J233&gt;=2,"重要成分","两档成分")))</x:f>
        <x:v>待定</x:v>
      </x:c>
      <x:c r="M233" s="1" t="str">
        <x:f>IF(NOT(ISNUMBER(J233)),"",IF(J233&gt;=2,3,2))</x:f>
      </x:c>
      <x:c r="N233" s="1" t="str">
        <x:f>IF(NOT(ISNUMBER(J233)),"缺少可算OAV",IF(J233&gt;=2,"最大值、中位值、低值待校准","最大值、中位值"))</x:f>
        <x:v>缺少可算OAV</x:v>
      </x:c>
      <x:c r="O233" s="1" t="str">
        <x:f>IF(NOT(ISNUMBER(J233)),"待定",IF(J233&lt;2,"不设第三档",IF(J233&lt;=5,"中位OAV≤5；低档须低于中位浓度","低档需预试确认与中档可区分")))</x:f>
        <x:v>待定</x:v>
      </x:c>
    </x:row>
    <x:row r="234" ht="23" customHeight="1">
      <x:c r="A234" s="1" t="n">
        <x:f>'浓度与阈值来源'!A234</x:f>
        <x:v>229</x:v>
      </x:c>
      <x:c r="B234" s="1" t="str">
        <x:f>IF('浓度与阈值来源'!B234="","",'浓度与阈值来源'!B234)</x:f>
      </x:c>
      <x:c r="C234" s="1" t="str">
        <x:f>IF('浓度与阈值来源'!C234="","",'浓度与阈值来源'!C234)</x:f>
        <x:v>6976-72-3</x:v>
      </x:c>
      <x:c r="D234" s="1" t="str">
        <x:v>Heptyl hexanoate</x:v>
      </x:c>
      <x:c r="E234" s="5" t="str">
        <x:f>IF('浓度与阈值来源'!D234&gt;0,'浓度与阈值来源'!D234,"")</x:f>
      </x:c>
      <x:c r="F234" s="6" t="n">
        <x:f>COUNT('浓度与阈值来源'!E234:DM234)</x:f>
        <x:v>2</x:v>
      </x:c>
      <x:c r="G234" s="5" t="n">
        <x:f>IF(F234=0,"",MAX('浓度与阈值来源'!E234:DM234))</x:f>
        <x:v>4.64</x:v>
      </x:c>
      <x:c r="H234" s="5" t="n">
        <x:f>IF(F234=0,"",MEDIAN('浓度与阈值来源'!E234:DM234))</x:f>
        <x:v>3.2849999999999997</x:v>
      </x:c>
      <x:c r="I234" s="7" t="str">
        <x:f>IF(AND(ISNUMBER(E234),E234&gt;0,F234&gt;0),G234/E234,"")</x:f>
      </x:c>
      <x:c r="J234" s="7" t="str">
        <x:f>IF(AND(ISNUMBER(E234),E234&gt;0,F234&gt;0),H234/E234,"")</x:f>
      </x:c>
      <x:c r="K234" s="1" t="str">
        <x:f>IF(F234=0,"无浓度数据",IF(E234="","缺周表阈值","可计算"))</x:f>
        <x:v>缺周表阈值</x:v>
      </x:c>
      <x:c r="L234" s="1" t="str">
        <x:f>IF(NOT(ISNUMBER(J234)),"待定",IF(J234&gt;50,"骨架成分",IF(J234&gt;=2,"重要成分","两档成分")))</x:f>
        <x:v>待定</x:v>
      </x:c>
      <x:c r="M234" s="1" t="str">
        <x:f>IF(NOT(ISNUMBER(J234)),"",IF(J234&gt;=2,3,2))</x:f>
      </x:c>
      <x:c r="N234" s="1" t="str">
        <x:f>IF(NOT(ISNUMBER(J234)),"缺少可算OAV",IF(J234&gt;=2,"最大值、中位值、低值待校准","最大值、中位值"))</x:f>
        <x:v>缺少可算OAV</x:v>
      </x:c>
      <x:c r="O234" s="1" t="str">
        <x:f>IF(NOT(ISNUMBER(J234)),"待定",IF(J234&lt;2,"不设第三档",IF(J234&lt;=5,"中位OAV≤5；低档须低于中位浓度","低档需预试确认与中档可区分")))</x:f>
        <x:v>待定</x:v>
      </x:c>
    </x:row>
    <x:row r="235" ht="23" customHeight="1">
      <x:c r="A235" s="1" t="n">
        <x:f>'浓度与阈值来源'!A235</x:f>
        <x:v>230</x:v>
      </x:c>
      <x:c r="B235" s="1" t="str">
        <x:f>IF('浓度与阈值来源'!B235="","",'浓度与阈值来源'!B235)</x:f>
      </x:c>
      <x:c r="C235" s="1" t="str">
        <x:f>IF('浓度与阈值来源'!C235="","",'浓度与阈值来源'!C235)</x:f>
        <x:v>7367-88-6</x:v>
      </x:c>
      <x:c r="D235" s="1" t="str">
        <x:v>Ethyl 2-decenoate</x:v>
      </x:c>
      <x:c r="E235" s="5" t="str">
        <x:f>IF('浓度与阈值来源'!D235&gt;0,'浓度与阈值来源'!D235,"")</x:f>
      </x:c>
      <x:c r="F235" s="6" t="n">
        <x:f>COUNT('浓度与阈值来源'!E235:DM235)</x:f>
        <x:v>6</x:v>
      </x:c>
      <x:c r="G235" s="5" t="n">
        <x:f>IF(F235=0,"",MAX('浓度与阈值来源'!E235:DM235))</x:f>
        <x:v>496</x:v>
      </x:c>
      <x:c r="H235" s="5" t="n">
        <x:f>IF(F235=0,"",MEDIAN('浓度与阈值来源'!E235:DM235))</x:f>
        <x:v>399</x:v>
      </x:c>
      <x:c r="I235" s="7" t="str">
        <x:f>IF(AND(ISNUMBER(E235),E235&gt;0,F235&gt;0),G235/E235,"")</x:f>
      </x:c>
      <x:c r="J235" s="7" t="str">
        <x:f>IF(AND(ISNUMBER(E235),E235&gt;0,F235&gt;0),H235/E235,"")</x:f>
      </x:c>
      <x:c r="K235" s="1" t="str">
        <x:f>IF(F235=0,"无浓度数据",IF(E235="","缺周表阈值","可计算"))</x:f>
        <x:v>缺周表阈值</x:v>
      </x:c>
      <x:c r="L235" s="1" t="str">
        <x:f>IF(NOT(ISNUMBER(J235)),"待定",IF(J235&gt;50,"骨架成分",IF(J235&gt;=2,"重要成分","两档成分")))</x:f>
        <x:v>待定</x:v>
      </x:c>
      <x:c r="M235" s="1" t="str">
        <x:f>IF(NOT(ISNUMBER(J235)),"",IF(J235&gt;=2,3,2))</x:f>
      </x:c>
      <x:c r="N235" s="1" t="str">
        <x:f>IF(NOT(ISNUMBER(J235)),"缺少可算OAV",IF(J235&gt;=2,"最大值、中位值、低值待校准","最大值、中位值"))</x:f>
        <x:v>缺少可算OAV</x:v>
      </x:c>
      <x:c r="O235" s="1" t="str">
        <x:f>IF(NOT(ISNUMBER(J235)),"待定",IF(J235&lt;2,"不设第三档",IF(J235&lt;=5,"中位OAV≤5；低档须低于中位浓度","低档需预试确认与中档可区分")))</x:f>
        <x:v>待定</x:v>
      </x:c>
    </x:row>
    <x:row r="236" ht="23" customHeight="1">
      <x:c r="A236" s="1" t="n">
        <x:f>'浓度与阈值来源'!A236</x:f>
        <x:v>231</x:v>
      </x:c>
      <x:c r="B236" s="1" t="str">
        <x:f>IF('浓度与阈值来源'!B236="","",'浓度与阈值来源'!B236)</x:f>
      </x:c>
      <x:c r="C236" s="1" t="str">
        <x:f>IF('浓度与阈值来源'!C236="","",'浓度与阈值来源'!C236)</x:f>
        <x:v>7378-89-4</x:v>
      </x:c>
      <x:c r="D236" s="1" t="str">
        <x:v>13-Octadecenoic acid</x:v>
      </x:c>
      <x:c r="E236" s="5" t="str">
        <x:f>IF('浓度与阈值来源'!D236&gt;0,'浓度与阈值来源'!D236,"")</x:f>
      </x:c>
      <x:c r="F236" s="6" t="n">
        <x:f>COUNT('浓度与阈值来源'!E236:DM236)</x:f>
        <x:v>5</x:v>
      </x:c>
      <x:c r="G236" s="5" t="n">
        <x:f>IF(F236=0,"",MAX('浓度与阈值来源'!E236:DM236))</x:f>
        <x:v>363</x:v>
      </x:c>
      <x:c r="H236" s="5" t="n">
        <x:f>IF(F236=0,"",MEDIAN('浓度与阈值来源'!E236:DM236))</x:f>
        <x:v>174</x:v>
      </x:c>
      <x:c r="I236" s="7" t="str">
        <x:f>IF(AND(ISNUMBER(E236),E236&gt;0,F236&gt;0),G236/E236,"")</x:f>
      </x:c>
      <x:c r="J236" s="7" t="str">
        <x:f>IF(AND(ISNUMBER(E236),E236&gt;0,F236&gt;0),H236/E236,"")</x:f>
      </x:c>
      <x:c r="K236" s="1" t="str">
        <x:f>IF(F236=0,"无浓度数据",IF(E236="","缺周表阈值","可计算"))</x:f>
        <x:v>缺周表阈值</x:v>
      </x:c>
      <x:c r="L236" s="1" t="str">
        <x:f>IF(NOT(ISNUMBER(J236)),"待定",IF(J236&gt;50,"骨架成分",IF(J236&gt;=2,"重要成分","两档成分")))</x:f>
        <x:v>待定</x:v>
      </x:c>
      <x:c r="M236" s="1" t="str">
        <x:f>IF(NOT(ISNUMBER(J236)),"",IF(J236&gt;=2,3,2))</x:f>
      </x:c>
      <x:c r="N236" s="1" t="str">
        <x:f>IF(NOT(ISNUMBER(J236)),"缺少可算OAV",IF(J236&gt;=2,"最大值、中位值、低值待校准","最大值、中位值"))</x:f>
        <x:v>缺少可算OAV</x:v>
      </x:c>
      <x:c r="O236" s="1" t="str">
        <x:f>IF(NOT(ISNUMBER(J236)),"待定",IF(J236&lt;2,"不设第三档",IF(J236&lt;=5,"中位OAV≤5；低档须低于中位浓度","低档需预试确认与中档可区分")))</x:f>
        <x:v>待定</x:v>
      </x:c>
    </x:row>
    <x:row r="237" ht="23" customHeight="1">
      <x:c r="A237" s="1" t="n">
        <x:f>'浓度与阈值来源'!A237</x:f>
        <x:v>232</x:v>
      </x:c>
      <x:c r="B237" s="1" t="str">
        <x:f>IF('浓度与阈值来源'!B237="","",'浓度与阈值来源'!B237)</x:f>
        <x:v>2-甲基丁酸乙酯</x:v>
      </x:c>
      <x:c r="C237" s="1" t="str">
        <x:f>IF('浓度与阈值来源'!C237="","",'浓度与阈值来源'!C237)</x:f>
        <x:v>7452-79-1</x:v>
      </x:c>
      <x:c r="D237" s="1" t="str">
        <x:v>Ethyl 2-methylbutanoate</x:v>
      </x:c>
      <x:c r="E237" s="5" t="n">
        <x:f>IF('浓度与阈值来源'!D237&gt;0,'浓度与阈值来源'!D237,"")</x:f>
        <x:v>18</x:v>
      </x:c>
      <x:c r="F237" s="6" t="n">
        <x:f>COUNT('浓度与阈值来源'!E237:DM237)</x:f>
        <x:v>35</x:v>
      </x:c>
      <x:c r="G237" s="5" t="n">
        <x:f>IF(F237=0,"",MAX('浓度与阈值来源'!E237:DM237))</x:f>
        <x:v>1611</x:v>
      </x:c>
      <x:c r="H237" s="5" t="n">
        <x:f>IF(F237=0,"",MEDIAN('浓度与阈值来源'!E237:DM237))</x:f>
        <x:v>464</x:v>
      </x:c>
      <x:c r="I237" s="7" t="n">
        <x:f>IF(AND(ISNUMBER(E237),E237&gt;0,F237&gt;0),G237/E237,"")</x:f>
        <x:v>89.5</x:v>
      </x:c>
      <x:c r="J237" s="7" t="n">
        <x:f>IF(AND(ISNUMBER(E237),E237&gt;0,F237&gt;0),H237/E237,"")</x:f>
        <x:v>25.77777777777778</x:v>
      </x:c>
      <x:c r="K237" s="1" t="str">
        <x:f>IF(F237=0,"无浓度数据",IF(E237="","缺周表阈值","可计算"))</x:f>
        <x:v>可计算</x:v>
      </x:c>
      <x:c r="L237" s="1" t="str">
        <x:f>IF(NOT(ISNUMBER(J237)),"待定",IF(J237&gt;50,"骨架成分",IF(J237&gt;=2,"重要成分","两档成分")))</x:f>
        <x:v>重要成分</x:v>
      </x:c>
      <x:c r="M237" s="1" t="n">
        <x:f>IF(NOT(ISNUMBER(J237)),"",IF(J237&gt;=2,3,2))</x:f>
        <x:v>3</x:v>
      </x:c>
      <x:c r="N237" s="1" t="str">
        <x:f>IF(NOT(ISNUMBER(J237)),"缺少可算OAV",IF(J237&gt;=2,"最大值、中位值、低值待校准","最大值、中位值"))</x:f>
        <x:v>最大值、中位值、低值待校准</x:v>
      </x:c>
      <x:c r="O237" s="1" t="str">
        <x:f>IF(NOT(ISNUMBER(J237)),"待定",IF(J237&lt;2,"不设第三档",IF(J237&lt;=5,"中位OAV≤5；低档须低于中位浓度","低档需预试确认与中档可区分")))</x:f>
        <x:v>低档需预试确认与中档可区分</x:v>
      </x:c>
    </x:row>
    <x:row r="238" ht="23" customHeight="1">
      <x:c r="A238" s="1" t="n">
        <x:f>'浓度与阈值来源'!A238</x:f>
        <x:v>233</x:v>
      </x:c>
      <x:c r="B238" s="1" t="str">
        <x:f>IF('浓度与阈值来源'!B238="","",'浓度与阈值来源'!B238)</x:f>
      </x:c>
      <x:c r="C238" s="1" t="str">
        <x:f>IF('浓度与阈值来源'!C238="","",'浓度与阈值来源'!C238)</x:f>
        <x:v>7493-69-8</x:v>
      </x:c>
      <x:c r="D238" s="1"/>
      <x:c r="E238" s="5" t="str">
        <x:f>IF('浓度与阈值来源'!D238&gt;0,'浓度与阈值来源'!D238,"")</x:f>
      </x:c>
      <x:c r="F238" s="6" t="n">
        <x:f>COUNT('浓度与阈值来源'!E238:DM238)</x:f>
        <x:v>4</x:v>
      </x:c>
      <x:c r="G238" s="5" t="n">
        <x:f>IF(F238=0,"",MAX('浓度与阈值来源'!E238:DM238))</x:f>
        <x:v>2.78</x:v>
      </x:c>
      <x:c r="H238" s="5" t="n">
        <x:f>IF(F238=0,"",MEDIAN('浓度与阈值来源'!E238:DM238))</x:f>
        <x:v>1.435</x:v>
      </x:c>
      <x:c r="I238" s="7" t="str">
        <x:f>IF(AND(ISNUMBER(E238),E238&gt;0,F238&gt;0),G238/E238,"")</x:f>
      </x:c>
      <x:c r="J238" s="7" t="str">
        <x:f>IF(AND(ISNUMBER(E238),E238&gt;0,F238&gt;0),H238/E238,"")</x:f>
      </x:c>
      <x:c r="K238" s="1" t="str">
        <x:f>IF(F238=0,"无浓度数据",IF(E238="","缺周表阈值","可计算"))</x:f>
        <x:v>缺周表阈值</x:v>
      </x:c>
      <x:c r="L238" s="1" t="str">
        <x:f>IF(NOT(ISNUMBER(J238)),"待定",IF(J238&gt;50,"骨架成分",IF(J238&gt;=2,"重要成分","两档成分")))</x:f>
        <x:v>待定</x:v>
      </x:c>
      <x:c r="M238" s="1" t="str">
        <x:f>IF(NOT(ISNUMBER(J238)),"",IF(J238&gt;=2,3,2))</x:f>
      </x:c>
      <x:c r="N238" s="1" t="str">
        <x:f>IF(NOT(ISNUMBER(J238)),"缺少可算OAV",IF(J238&gt;=2,"最大值、中位值、低值待校准","最大值、中位值"))</x:f>
        <x:v>缺少可算OAV</x:v>
      </x:c>
      <x:c r="O238" s="1" t="str">
        <x:f>IF(NOT(ISNUMBER(J238)),"待定",IF(J238&lt;2,"不设第三档",IF(J238&lt;=5,"中位OAV≤5；低档须低于中位浓度","低档需预试确认与中档可区分")))</x:f>
        <x:v>待定</x:v>
      </x:c>
    </x:row>
    <x:row r="239" ht="23" customHeight="1">
      <x:c r="A239" s="1" t="n">
        <x:f>'浓度与阈值来源'!A239</x:f>
        <x:v>234</x:v>
      </x:c>
      <x:c r="B239" s="1" t="str">
        <x:f>IF('浓度与阈值来源'!B239="","",'浓度与阈值来源'!B239)</x:f>
      </x:c>
      <x:c r="C239" s="1" t="str">
        <x:f>IF('浓度与阈值来源'!C239="","",'浓度与阈值来源'!C239)</x:f>
        <x:v>7779-75-1</x:v>
      </x:c>
      <x:c r="D239" s="1"/>
      <x:c r="E239" s="5" t="str">
        <x:f>IF('浓度与阈值来源'!D239&gt;0,'浓度与阈值来源'!D239,"")</x:f>
      </x:c>
      <x:c r="F239" s="6" t="n">
        <x:f>COUNT('浓度与阈值来源'!E239:DM239)</x:f>
        <x:v>1</x:v>
      </x:c>
      <x:c r="G239" s="5" t="n">
        <x:f>IF(F239=0,"",MAX('浓度与阈值来源'!E239:DM239))</x:f>
        <x:v>0.04</x:v>
      </x:c>
      <x:c r="H239" s="5" t="n">
        <x:f>IF(F239=0,"",MEDIAN('浓度与阈值来源'!E239:DM239))</x:f>
        <x:v>0.04</x:v>
      </x:c>
      <x:c r="I239" s="7" t="str">
        <x:f>IF(AND(ISNUMBER(E239),E239&gt;0,F239&gt;0),G239/E239,"")</x:f>
      </x:c>
      <x:c r="J239" s="7" t="str">
        <x:f>IF(AND(ISNUMBER(E239),E239&gt;0,F239&gt;0),H239/E239,"")</x:f>
      </x:c>
      <x:c r="K239" s="1" t="str">
        <x:f>IF(F239=0,"无浓度数据",IF(E239="","缺周表阈值","可计算"))</x:f>
        <x:v>缺周表阈值</x:v>
      </x:c>
      <x:c r="L239" s="1" t="str">
        <x:f>IF(NOT(ISNUMBER(J239)),"待定",IF(J239&gt;50,"骨架成分",IF(J239&gt;=2,"重要成分","两档成分")))</x:f>
        <x:v>待定</x:v>
      </x:c>
      <x:c r="M239" s="1" t="str">
        <x:f>IF(NOT(ISNUMBER(J239)),"",IF(J239&gt;=2,3,2))</x:f>
      </x:c>
      <x:c r="N239" s="1" t="str">
        <x:f>IF(NOT(ISNUMBER(J239)),"缺少可算OAV",IF(J239&gt;=2,"最大值、中位值、低值待校准","最大值、中位值"))</x:f>
        <x:v>缺少可算OAV</x:v>
      </x:c>
      <x:c r="O239" s="1" t="str">
        <x:f>IF(NOT(ISNUMBER(J239)),"待定",IF(J239&lt;2,"不设第三档",IF(J239&lt;=5,"中位OAV≤5；低档须低于中位浓度","低档需预试确认与中档可区分")))</x:f>
        <x:v>待定</x:v>
      </x:c>
    </x:row>
    <x:row r="240" ht="23" customHeight="1">
      <x:c r="A240" s="1" t="n">
        <x:f>'浓度与阈值来源'!A240</x:f>
        <x:v>235</x:v>
      </x:c>
      <x:c r="B240" s="1" t="str">
        <x:f>IF('浓度与阈值来源'!B240="","",'浓度与阈值来源'!B240)</x:f>
        <x:v>庚酸异丁酯</x:v>
      </x:c>
      <x:c r="C240" s="1" t="str">
        <x:f>IF('浓度与阈值来源'!C240="","",'浓度与阈值来源'!C240)</x:f>
        <x:v>7779-80-8</x:v>
      </x:c>
      <x:c r="D240" s="1" t="str">
        <x:v>Isobutyl heptanoate</x:v>
      </x:c>
      <x:c r="E240" s="5" t="str">
        <x:f>IF('浓度与阈值来源'!D240&gt;0,'浓度与阈值来源'!D240,"")</x:f>
      </x:c>
      <x:c r="F240" s="6" t="n">
        <x:f>COUNT('浓度与阈值来源'!E240:DM240)</x:f>
        <x:v>19</x:v>
      </x:c>
      <x:c r="G240" s="5" t="n">
        <x:f>IF(F240=0,"",MAX('浓度与阈值来源'!E240:DM240))</x:f>
        <x:v>912</x:v>
      </x:c>
      <x:c r="H240" s="5" t="n">
        <x:f>IF(F240=0,"",MEDIAN('浓度与阈值来源'!E240:DM240))</x:f>
        <x:v>22.76</x:v>
      </x:c>
      <x:c r="I240" s="7" t="str">
        <x:f>IF(AND(ISNUMBER(E240),E240&gt;0,F240&gt;0),G240/E240,"")</x:f>
      </x:c>
      <x:c r="J240" s="7" t="str">
        <x:f>IF(AND(ISNUMBER(E240),E240&gt;0,F240&gt;0),H240/E240,"")</x:f>
      </x:c>
      <x:c r="K240" s="1" t="str">
        <x:f>IF(F240=0,"无浓度数据",IF(E240="","缺周表阈值","可计算"))</x:f>
        <x:v>缺周表阈值</x:v>
      </x:c>
      <x:c r="L240" s="1" t="str">
        <x:f>IF(NOT(ISNUMBER(J240)),"待定",IF(J240&gt;50,"骨架成分",IF(J240&gt;=2,"重要成分","两档成分")))</x:f>
        <x:v>待定</x:v>
      </x:c>
      <x:c r="M240" s="1" t="str">
        <x:f>IF(NOT(ISNUMBER(J240)),"",IF(J240&gt;=2,3,2))</x:f>
      </x:c>
      <x:c r="N240" s="1" t="str">
        <x:f>IF(NOT(ISNUMBER(J240)),"缺少可算OAV",IF(J240&gt;=2,"最大值、中位值、低值待校准","最大值、中位值"))</x:f>
        <x:v>缺少可算OAV</x:v>
      </x:c>
      <x:c r="O240" s="1" t="str">
        <x:f>IF(NOT(ISNUMBER(J240)),"待定",IF(J240&lt;2,"不设第三档",IF(J240&lt;=5,"中位OAV≤5；低档须低于中位浓度","低档需预试确认与中档可区分")))</x:f>
        <x:v>待定</x:v>
      </x:c>
    </x:row>
    <x:row r="241" ht="23" customHeight="1">
      <x:c r="A241" s="1" t="n">
        <x:f>'浓度与阈值来源'!A241</x:f>
        <x:v>236</x:v>
      </x:c>
      <x:c r="B241" s="1" t="str">
        <x:f>IF('浓度与阈值来源'!B241="","",'浓度与阈值来源'!B241)</x:f>
        <x:v>4-乙烯基愈创木酚</x:v>
      </x:c>
      <x:c r="C241" s="1" t="str">
        <x:f>IF('浓度与阈值来源'!C241="","",'浓度与阈值来源'!C241)</x:f>
        <x:v>7786-61-0</x:v>
      </x:c>
      <x:c r="D241" s="1" t="str">
        <x:v>4-ethenyl--2-methoxyphenol</x:v>
      </x:c>
      <x:c r="E241" s="5" t="n">
        <x:f>IF('浓度与阈值来源'!D241&gt;0,'浓度与阈值来源'!D241,"")</x:f>
        <x:v>209</x:v>
      </x:c>
      <x:c r="F241" s="6" t="n">
        <x:f>COUNT('浓度与阈值来源'!E241:DM241)</x:f>
        <x:v>31</x:v>
      </x:c>
      <x:c r="G241" s="5" t="n">
        <x:f>IF(F241=0,"",MAX('浓度与阈值来源'!E241:DM241))</x:f>
        <x:v>1590.85</x:v>
      </x:c>
      <x:c r="H241" s="5" t="n">
        <x:f>IF(F241=0,"",MEDIAN('浓度与阈值来源'!E241:DM241))</x:f>
        <x:v>12</x:v>
      </x:c>
      <x:c r="I241" s="7" t="n">
        <x:f>IF(AND(ISNUMBER(E241),E241&gt;0,F241&gt;0),G241/E241,"")</x:f>
        <x:v>7.611722488038277</x:v>
      </x:c>
      <x:c r="J241" s="7" t="n">
        <x:f>IF(AND(ISNUMBER(E241),E241&gt;0,F241&gt;0),H241/E241,"")</x:f>
        <x:v>0.05741626794258373</x:v>
      </x:c>
      <x:c r="K241" s="1" t="str">
        <x:f>IF(F241=0,"无浓度数据",IF(E241="","缺周表阈值","可计算"))</x:f>
        <x:v>可计算</x:v>
      </x:c>
      <x:c r="L241" s="1" t="str">
        <x:f>IF(NOT(ISNUMBER(J241)),"待定",IF(J241&gt;50,"骨架成分",IF(J241&gt;=2,"重要成分","两档成分")))</x:f>
        <x:v>两档成分</x:v>
      </x:c>
      <x:c r="M241" s="1" t="n">
        <x:f>IF(NOT(ISNUMBER(J241)),"",IF(J241&gt;=2,3,2))</x:f>
        <x:v>2</x:v>
      </x:c>
      <x:c r="N241" s="1" t="str">
        <x:f>IF(NOT(ISNUMBER(J241)),"缺少可算OAV",IF(J241&gt;=2,"最大值、中位值、低值待校准","最大值、中位值"))</x:f>
        <x:v>最大值、中位值</x:v>
      </x:c>
      <x:c r="O241" s="1" t="str">
        <x:f>IF(NOT(ISNUMBER(J241)),"待定",IF(J241&lt;2,"不设第三档",IF(J241&lt;=5,"中位OAV≤5；低档须低于中位浓度","低档需预试确认与中档可区分")))</x:f>
        <x:v>不设第三档</x:v>
      </x:c>
    </x:row>
    <x:row r="242" ht="23" customHeight="1">
      <x:c r="A242" s="1" t="n">
        <x:f>'浓度与阈值来源'!A242</x:f>
        <x:v>237</x:v>
      </x:c>
      <x:c r="B242" s="1" t="str">
        <x:f>IF('浓度与阈值来源'!B242="","",'浓度与阈值来源'!B242)</x:f>
      </x:c>
      <x:c r="C242" s="1" t="str">
        <x:f>IF('浓度与阈值来源'!C242="","",'浓度与阈值来源'!C242)</x:f>
        <x:v>7789-99-3</x:v>
      </x:c>
      <x:c r="D242" s="1"/>
      <x:c r="E242" s="5" t="str">
        <x:f>IF('浓度与阈值来源'!D242&gt;0,'浓度与阈值来源'!D242,"")</x:f>
      </x:c>
      <x:c r="F242" s="6" t="n">
        <x:f>COUNT('浓度与阈值来源'!E242:DM242)</x:f>
        <x:v>1</x:v>
      </x:c>
      <x:c r="G242" s="5" t="n">
        <x:f>IF(F242=0,"",MAX('浓度与阈值来源'!E242:DM242))</x:f>
        <x:v>0.25</x:v>
      </x:c>
      <x:c r="H242" s="5" t="n">
        <x:f>IF(F242=0,"",MEDIAN('浓度与阈值来源'!E242:DM242))</x:f>
        <x:v>0.25</x:v>
      </x:c>
      <x:c r="I242" s="7" t="str">
        <x:f>IF(AND(ISNUMBER(E242),E242&gt;0,F242&gt;0),G242/E242,"")</x:f>
      </x:c>
      <x:c r="J242" s="7" t="str">
        <x:f>IF(AND(ISNUMBER(E242),E242&gt;0,F242&gt;0),H242/E242,"")</x:f>
      </x:c>
      <x:c r="K242" s="1" t="str">
        <x:f>IF(F242=0,"无浓度数据",IF(E242="","缺周表阈值","可计算"))</x:f>
        <x:v>缺周表阈值</x:v>
      </x:c>
      <x:c r="L242" s="1" t="str">
        <x:f>IF(NOT(ISNUMBER(J242)),"待定",IF(J242&gt;50,"骨架成分",IF(J242&gt;=2,"重要成分","两档成分")))</x:f>
        <x:v>待定</x:v>
      </x:c>
      <x:c r="M242" s="1" t="str">
        <x:f>IF(NOT(ISNUMBER(J242)),"",IF(J242&gt;=2,3,2))</x:f>
      </x:c>
      <x:c r="N242" s="1" t="str">
        <x:f>IF(NOT(ISNUMBER(J242)),"缺少可算OAV",IF(J242&gt;=2,"最大值、中位值、低值待校准","最大值、中位值"))</x:f>
        <x:v>缺少可算OAV</x:v>
      </x:c>
      <x:c r="O242" s="1" t="str">
        <x:f>IF(NOT(ISNUMBER(J242)),"待定",IF(J242&lt;2,"不设第三档",IF(J242&lt;=5,"中位OAV≤5；低档须低于中位浓度","低档需预试确认与中档可区分")))</x:f>
        <x:v>待定</x:v>
      </x:c>
    </x:row>
    <x:row r="243" ht="23" customHeight="1">
      <x:c r="A243" s="1" t="n">
        <x:f>'浓度与阈值来源'!A243</x:f>
        <x:v>238</x:v>
      </x:c>
      <x:c r="B243" s="1" t="str">
        <x:f>IF('浓度与阈值来源'!B243="","",'浓度与阈值来源'!B243)</x:f>
      </x:c>
      <x:c r="C243" s="1" t="str">
        <x:f>IF('浓度与阈值来源'!C243="","",'浓度与阈值来源'!C243)</x:f>
        <x:v>10031-93-3</x:v>
      </x:c>
      <x:c r="D243" s="1" t="str">
        <x:v>Ethyl 4-phenylbutyrate</x:v>
      </x:c>
      <x:c r="E243" s="5" t="str">
        <x:f>IF('浓度与阈值来源'!D243&gt;0,'浓度与阈值来源'!D243,"")</x:f>
      </x:c>
      <x:c r="F243" s="6" t="n">
        <x:f>COUNT('浓度与阈值来源'!E243:DM243)</x:f>
        <x:v>5</x:v>
      </x:c>
      <x:c r="G243" s="5" t="n">
        <x:f>IF(F243=0,"",MAX('浓度与阈值来源'!E243:DM243))</x:f>
        <x:v>845</x:v>
      </x:c>
      <x:c r="H243" s="5" t="n">
        <x:f>IF(F243=0,"",MEDIAN('浓度与阈值来源'!E243:DM243))</x:f>
        <x:v>757</x:v>
      </x:c>
      <x:c r="I243" s="7" t="str">
        <x:f>IF(AND(ISNUMBER(E243),E243&gt;0,F243&gt;0),G243/E243,"")</x:f>
      </x:c>
      <x:c r="J243" s="7" t="str">
        <x:f>IF(AND(ISNUMBER(E243),E243&gt;0,F243&gt;0),H243/E243,"")</x:f>
      </x:c>
      <x:c r="K243" s="1" t="str">
        <x:f>IF(F243=0,"无浓度数据",IF(E243="","缺周表阈值","可计算"))</x:f>
        <x:v>缺周表阈值</x:v>
      </x:c>
      <x:c r="L243" s="1" t="str">
        <x:f>IF(NOT(ISNUMBER(J243)),"待定",IF(J243&gt;50,"骨架成分",IF(J243&gt;=2,"重要成分","两档成分")))</x:f>
        <x:v>待定</x:v>
      </x:c>
      <x:c r="M243" s="1" t="str">
        <x:f>IF(NOT(ISNUMBER(J243)),"",IF(J243&gt;=2,3,2))</x:f>
      </x:c>
      <x:c r="N243" s="1" t="str">
        <x:f>IF(NOT(ISNUMBER(J243)),"缺少可算OAV",IF(J243&gt;=2,"最大值、中位值、低值待校准","最大值、中位值"))</x:f>
        <x:v>缺少可算OAV</x:v>
      </x:c>
      <x:c r="O243" s="1" t="str">
        <x:f>IF(NOT(ISNUMBER(J243)),"待定",IF(J243&lt;2,"不设第三档",IF(J243&lt;=5,"中位OAV≤5；低档须低于中位浓度","低档需预试确认与中档可区分")))</x:f>
        <x:v>待定</x:v>
      </x:c>
    </x:row>
    <x:row r="244" ht="23" customHeight="1">
      <x:c r="A244" s="1" t="n">
        <x:f>'浓度与阈值来源'!A244</x:f>
        <x:v>239</x:v>
      </x:c>
      <x:c r="B244" s="1" t="str">
        <x:f>IF('浓度与阈值来源'!B244="","",'浓度与阈值来源'!B244)</x:f>
        <x:v>5-甲基己酸乙酯</x:v>
      </x:c>
      <x:c r="C244" s="1" t="str">
        <x:f>IF('浓度与阈值来源'!C244="","",'浓度与阈值来源'!C244)</x:f>
        <x:v>10236-10-9</x:v>
      </x:c>
      <x:c r="D244" s="1" t="str">
        <x:v>Ethyl 5-methylhexanoate</x:v>
      </x:c>
      <x:c r="E244" s="5" t="str">
        <x:f>IF('浓度与阈值来源'!D244&gt;0,'浓度与阈值来源'!D244,"")</x:f>
      </x:c>
      <x:c r="F244" s="6" t="n">
        <x:f>COUNT('浓度与阈值来源'!E244:DM244)</x:f>
        <x:v>8</x:v>
      </x:c>
      <x:c r="G244" s="5" t="n">
        <x:f>IF(F244=0,"",MAX('浓度与阈值来源'!E244:DM244))</x:f>
        <x:v>5446</x:v>
      </x:c>
      <x:c r="H244" s="5" t="n">
        <x:f>IF(F244=0,"",MEDIAN('浓度与阈值来源'!E244:DM244))</x:f>
        <x:v>4329.5</x:v>
      </x:c>
      <x:c r="I244" s="7" t="str">
        <x:f>IF(AND(ISNUMBER(E244),E244&gt;0,F244&gt;0),G244/E244,"")</x:f>
      </x:c>
      <x:c r="J244" s="7" t="str">
        <x:f>IF(AND(ISNUMBER(E244),E244&gt;0,F244&gt;0),H244/E244,"")</x:f>
      </x:c>
      <x:c r="K244" s="1" t="str">
        <x:f>IF(F244=0,"无浓度数据",IF(E244="","缺周表阈值","可计算"))</x:f>
        <x:v>缺周表阈值</x:v>
      </x:c>
      <x:c r="L244" s="1" t="str">
        <x:f>IF(NOT(ISNUMBER(J244)),"待定",IF(J244&gt;50,"骨架成分",IF(J244&gt;=2,"重要成分","两档成分")))</x:f>
        <x:v>待定</x:v>
      </x:c>
      <x:c r="M244" s="1" t="str">
        <x:f>IF(NOT(ISNUMBER(J244)),"",IF(J244&gt;=2,3,2))</x:f>
      </x:c>
      <x:c r="N244" s="1" t="str">
        <x:f>IF(NOT(ISNUMBER(J244)),"缺少可算OAV",IF(J244&gt;=2,"最大值、中位值、低值待校准","最大值、中位值"))</x:f>
        <x:v>缺少可算OAV</x:v>
      </x:c>
      <x:c r="O244" s="1" t="str">
        <x:f>IF(NOT(ISNUMBER(J244)),"待定",IF(J244&lt;2,"不设第三档",IF(J244&lt;=5,"中位OAV≤5；低档须低于中位浓度","低档需预试确认与中档可区分")))</x:f>
        <x:v>待定</x:v>
      </x:c>
    </x:row>
    <x:row r="245" ht="23" customHeight="1">
      <x:c r="A245" s="1" t="n">
        <x:f>'浓度与阈值来源'!A245</x:f>
        <x:v>240</x:v>
      </x:c>
      <x:c r="B245" s="1" t="str">
        <x:f>IF('浓度与阈值来源'!B245="","",'浓度与阈值来源'!B245)</x:f>
        <x:v>DL-2-羟基-4-甲基戊酸乙酯</x:v>
      </x:c>
      <x:c r="C245" s="1" t="str">
        <x:f>IF('浓度与阈值来源'!C245="","",'浓度与阈值来源'!C245)</x:f>
        <x:v>10348-47-7</x:v>
      </x:c>
      <x:c r="D245" s="1" t="str">
        <x:v>Ethyl 2-hydroxy-4-methylvalerate</x:v>
      </x:c>
      <x:c r="E245" s="5" t="str">
        <x:f>IF('浓度与阈值来源'!D245&gt;0,'浓度与阈值来源'!D245,"")</x:f>
      </x:c>
      <x:c r="F245" s="6" t="n">
        <x:f>COUNT('浓度与阈值来源'!E245:DM245)</x:f>
        <x:v>16</x:v>
      </x:c>
      <x:c r="G245" s="5" t="n">
        <x:f>IF(F245=0,"",MAX('浓度与阈值来源'!E245:DM245))</x:f>
        <x:v>6739</x:v>
      </x:c>
      <x:c r="H245" s="5" t="n">
        <x:f>IF(F245=0,"",MEDIAN('浓度与阈值来源'!E245:DM245))</x:f>
        <x:v>3320.5</x:v>
      </x:c>
      <x:c r="I245" s="7" t="str">
        <x:f>IF(AND(ISNUMBER(E245),E245&gt;0,F245&gt;0),G245/E245,"")</x:f>
      </x:c>
      <x:c r="J245" s="7" t="str">
        <x:f>IF(AND(ISNUMBER(E245),E245&gt;0,F245&gt;0),H245/E245,"")</x:f>
      </x:c>
      <x:c r="K245" s="1" t="str">
        <x:f>IF(F245=0,"无浓度数据",IF(E245="","缺周表阈值","可计算"))</x:f>
        <x:v>缺周表阈值</x:v>
      </x:c>
      <x:c r="L245" s="1" t="str">
        <x:f>IF(NOT(ISNUMBER(J245)),"待定",IF(J245&gt;50,"骨架成分",IF(J245&gt;=2,"重要成分","两档成分")))</x:f>
        <x:v>待定</x:v>
      </x:c>
      <x:c r="M245" s="1" t="str">
        <x:f>IF(NOT(ISNUMBER(J245)),"",IF(J245&gt;=2,3,2))</x:f>
      </x:c>
      <x:c r="N245" s="1" t="str">
        <x:f>IF(NOT(ISNUMBER(J245)),"缺少可算OAV",IF(J245&gt;=2,"最大值、中位值、低值待校准","最大值、中位值"))</x:f>
        <x:v>缺少可算OAV</x:v>
      </x:c>
      <x:c r="O245" s="1" t="str">
        <x:f>IF(NOT(ISNUMBER(J245)),"待定",IF(J245&lt;2,"不设第三档",IF(J245&lt;=5,"中位OAV≤5；低档须低于中位浓度","低档需预试确认与中档可区分")))</x:f>
        <x:v>待定</x:v>
      </x:c>
    </x:row>
    <x:row r="246" ht="23" customHeight="1">
      <x:c r="A246" s="1" t="n">
        <x:f>'浓度与阈值来源'!A246</x:f>
        <x:v>241</x:v>
      </x:c>
      <x:c r="B246" s="1" t="str">
        <x:f>IF('浓度与阈值来源'!B246="","",'浓度与阈值来源'!B246)</x:f>
      </x:c>
      <x:c r="C246" s="1" t="str">
        <x:f>IF('浓度与阈值来源'!C246="","",'浓度与阈值来源'!C246)</x:f>
        <x:v>10482-56-1</x:v>
      </x:c>
      <x:c r="D246" s="1"/>
      <x:c r="E246" s="5" t="str">
        <x:f>IF('浓度与阈值来源'!D246&gt;0,'浓度与阈值来源'!D246,"")</x:f>
      </x:c>
      <x:c r="F246" s="6" t="n">
        <x:f>COUNT('浓度与阈值来源'!E246:DM246)</x:f>
        <x:v>1</x:v>
      </x:c>
      <x:c r="G246" s="5" t="n">
        <x:f>IF(F246=0,"",MAX('浓度与阈值来源'!E246:DM246))</x:f>
        <x:v>0.94</x:v>
      </x:c>
      <x:c r="H246" s="5" t="n">
        <x:f>IF(F246=0,"",MEDIAN('浓度与阈值来源'!E246:DM246))</x:f>
        <x:v>0.94</x:v>
      </x:c>
      <x:c r="I246" s="7" t="str">
        <x:f>IF(AND(ISNUMBER(E246),E246&gt;0,F246&gt;0),G246/E246,"")</x:f>
      </x:c>
      <x:c r="J246" s="7" t="str">
        <x:f>IF(AND(ISNUMBER(E246),E246&gt;0,F246&gt;0),H246/E246,"")</x:f>
      </x:c>
      <x:c r="K246" s="1" t="str">
        <x:f>IF(F246=0,"无浓度数据",IF(E246="","缺周表阈值","可计算"))</x:f>
        <x:v>缺周表阈值</x:v>
      </x:c>
      <x:c r="L246" s="1" t="str">
        <x:f>IF(NOT(ISNUMBER(J246)),"待定",IF(J246&gt;50,"骨架成分",IF(J246&gt;=2,"重要成分","两档成分")))</x:f>
        <x:v>待定</x:v>
      </x:c>
      <x:c r="M246" s="1" t="str">
        <x:f>IF(NOT(ISNUMBER(J246)),"",IF(J246&gt;=2,3,2))</x:f>
      </x:c>
      <x:c r="N246" s="1" t="str">
        <x:f>IF(NOT(ISNUMBER(J246)),"缺少可算OAV",IF(J246&gt;=2,"最大值、中位值、低值待校准","最大值、中位值"))</x:f>
        <x:v>缺少可算OAV</x:v>
      </x:c>
      <x:c r="O246" s="1" t="str">
        <x:f>IF(NOT(ISNUMBER(J246)),"待定",IF(J246&lt;2,"不设第三档",IF(J246&lt;=5,"中位OAV≤5；低档须低于中位浓度","低档需预试确认与中档可区分")))</x:f>
        <x:v>待定</x:v>
      </x:c>
    </x:row>
    <x:row r="247" ht="23" customHeight="1">
      <x:c r="A247" s="1" t="n">
        <x:f>'浓度与阈值来源'!A247</x:f>
        <x:v>242</x:v>
      </x:c>
      <x:c r="B247" s="1" t="str">
        <x:f>IF('浓度与阈值来源'!B247="","",'浓度与阈值来源'!B247)</x:f>
        <x:v>2,6-二乙基吡嗪</x:v>
      </x:c>
      <x:c r="C247" s="1" t="str">
        <x:f>IF('浓度与阈值来源'!C247="","",'浓度与阈值来源'!C247)</x:f>
        <x:v>13067-27-1</x:v>
      </x:c>
      <x:c r="D247" s="1"/>
      <x:c r="E247" s="5" t="n">
        <x:f>IF('浓度与阈值来源'!D247&gt;0,'浓度与阈值来源'!D247,"")</x:f>
        <x:v>6</x:v>
      </x:c>
      <x:c r="F247" s="6" t="n">
        <x:f>COUNT('浓度与阈值来源'!E247:DM247)</x:f>
        <x:v>10</x:v>
      </x:c>
      <x:c r="G247" s="5" t="n">
        <x:f>IF(F247=0,"",MAX('浓度与阈值来源'!E247:DM247))</x:f>
        <x:v>20.35</x:v>
      </x:c>
      <x:c r="H247" s="5" t="n">
        <x:f>IF(F247=0,"",MEDIAN('浓度与阈值来源'!E247:DM247))</x:f>
        <x:v>13.94</x:v>
      </x:c>
      <x:c r="I247" s="7" t="n">
        <x:f>IF(AND(ISNUMBER(E247),E247&gt;0,F247&gt;0),G247/E247,"")</x:f>
        <x:v>3.391666666666667</x:v>
      </x:c>
      <x:c r="J247" s="7" t="n">
        <x:f>IF(AND(ISNUMBER(E247),E247&gt;0,F247&gt;0),H247/E247,"")</x:f>
        <x:v>2.3233333333333333</x:v>
      </x:c>
      <x:c r="K247" s="1" t="str">
        <x:f>IF(F247=0,"无浓度数据",IF(E247="","缺周表阈值","可计算"))</x:f>
        <x:v>可计算</x:v>
      </x:c>
      <x:c r="L247" s="1" t="str">
        <x:f>IF(NOT(ISNUMBER(J247)),"待定",IF(J247&gt;50,"骨架成分",IF(J247&gt;=2,"重要成分","两档成分")))</x:f>
        <x:v>重要成分</x:v>
      </x:c>
      <x:c r="M247" s="1" t="n">
        <x:f>IF(NOT(ISNUMBER(J247)),"",IF(J247&gt;=2,3,2))</x:f>
        <x:v>3</x:v>
      </x:c>
      <x:c r="N247" s="1" t="str">
        <x:f>IF(NOT(ISNUMBER(J247)),"缺少可算OAV",IF(J247&gt;=2,"最大值、中位值、低值待校准","最大值、中位值"))</x:f>
        <x:v>最大值、中位值、低值待校准</x:v>
      </x:c>
      <x:c r="O247" s="1" t="str">
        <x:f>IF(NOT(ISNUMBER(J247)),"待定",IF(J247&lt;2,"不设第三档",IF(J247&lt;=5,"中位OAV≤5；低档须低于中位浓度","低档需预试确认与中档可区分")))</x:f>
        <x:v>中位OAV≤5；低档须低于中位浓度</x:v>
      </x:c>
    </x:row>
    <x:row r="248" ht="23" customHeight="1">
      <x:c r="A248" s="1" t="n">
        <x:f>'浓度与阈值来源'!A248</x:f>
        <x:v>243</x:v>
      </x:c>
      <x:c r="B248" s="1" t="str">
        <x:f>IF('浓度与阈值来源'!B248="","",'浓度与阈值来源'!B248)</x:f>
        <x:v>3-甲硫基丙酸乙酯</x:v>
      </x:c>
      <x:c r="C248" s="1" t="str">
        <x:f>IF('浓度与阈值来源'!C248="","",'浓度与阈值来源'!C248)</x:f>
        <x:v>13327-56-5</x:v>
      </x:c>
      <x:c r="D248" s="1" t="str">
        <x:v>3-(methylthio)-propanoic acid ethyl ester</x:v>
      </x:c>
      <x:c r="E248" s="5" t="str">
        <x:f>IF('浓度与阈值来源'!D248&gt;0,'浓度与阈值来源'!D248,"")</x:f>
      </x:c>
      <x:c r="F248" s="6" t="n">
        <x:f>COUNT('浓度与阈值来源'!E248:DM248)</x:f>
        <x:v>2</x:v>
      </x:c>
      <x:c r="G248" s="5" t="n">
        <x:f>IF(F248=0,"",MAX('浓度与阈值来源'!E248:DM248))</x:f>
        <x:v>308</x:v>
      </x:c>
      <x:c r="H248" s="5" t="n">
        <x:f>IF(F248=0,"",MEDIAN('浓度与阈值来源'!E248:DM248))</x:f>
        <x:v>190.5</x:v>
      </x:c>
      <x:c r="I248" s="7" t="str">
        <x:f>IF(AND(ISNUMBER(E248),E248&gt;0,F248&gt;0),G248/E248,"")</x:f>
      </x:c>
      <x:c r="J248" s="7" t="str">
        <x:f>IF(AND(ISNUMBER(E248),E248&gt;0,F248&gt;0),H248/E248,"")</x:f>
      </x:c>
      <x:c r="K248" s="1" t="str">
        <x:f>IF(F248=0,"无浓度数据",IF(E248="","缺周表阈值","可计算"))</x:f>
        <x:v>缺周表阈值</x:v>
      </x:c>
      <x:c r="L248" s="1" t="str">
        <x:f>IF(NOT(ISNUMBER(J248)),"待定",IF(J248&gt;50,"骨架成分",IF(J248&gt;=2,"重要成分","两档成分")))</x:f>
        <x:v>待定</x:v>
      </x:c>
      <x:c r="M248" s="1" t="str">
        <x:f>IF(NOT(ISNUMBER(J248)),"",IF(J248&gt;=2,3,2))</x:f>
      </x:c>
      <x:c r="N248" s="1" t="str">
        <x:f>IF(NOT(ISNUMBER(J248)),"缺少可算OAV",IF(J248&gt;=2,"最大值、中位值、低值待校准","最大值、中位值"))</x:f>
        <x:v>缺少可算OAV</x:v>
      </x:c>
      <x:c r="O248" s="1" t="str">
        <x:f>IF(NOT(ISNUMBER(J248)),"待定",IF(J248&lt;2,"不设第三档",IF(J248&lt;=5,"中位OAV≤5；低档须低于中位浓度","低档需预试确认与中档可区分")))</x:f>
        <x:v>待定</x:v>
      </x:c>
    </x:row>
    <x:row r="249" ht="23" customHeight="1">
      <x:c r="A249" s="1" t="n">
        <x:f>'浓度与阈值来源'!A249</x:f>
        <x:v>244</x:v>
      </x:c>
      <x:c r="B249" s="1" t="str">
        <x:f>IF('浓度与阈值来源'!B249="","",'浓度与阈值来源'!B249)</x:f>
        <x:v>2-糠醛缩二乙醇</x:v>
      </x:c>
      <x:c r="C249" s="1" t="str">
        <x:f>IF('浓度与阈值来源'!C249="","",'浓度与阈值来源'!C249)</x:f>
        <x:v>13529-27-6</x:v>
      </x:c>
      <x:c r="D249" s="1"/>
      <x:c r="E249" s="5" t="n">
        <x:f>IF('浓度与阈值来源'!D249&gt;0,'浓度与阈值来源'!D249,"")</x:f>
        <x:v>6172</x:v>
      </x:c>
      <x:c r="F249" s="6" t="n">
        <x:f>COUNT('浓度与阈值来源'!E249:DM249)</x:f>
        <x:v>16</x:v>
      </x:c>
      <x:c r="G249" s="5" t="n">
        <x:f>IF(F249=0,"",MAX('浓度与阈值来源'!E249:DM249))</x:f>
        <x:v>15894.13</x:v>
      </x:c>
      <x:c r="H249" s="5" t="n">
        <x:f>IF(F249=0,"",MEDIAN('浓度与阈值来源'!E249:DM249))</x:f>
        <x:v>1654.735</x:v>
      </x:c>
      <x:c r="I249" s="7" t="n">
        <x:f>IF(AND(ISNUMBER(E249),E249&gt;0,F249&gt;0),G249/E249,"")</x:f>
        <x:v>2.575199287103046</x:v>
      </x:c>
      <x:c r="J249" s="7" t="n">
        <x:f>IF(AND(ISNUMBER(E249),E249&gt;0,F249&gt;0),H249/E249,"")</x:f>
        <x:v>0.2681035320803629</x:v>
      </x:c>
      <x:c r="K249" s="1" t="str">
        <x:f>IF(F249=0,"无浓度数据",IF(E249="","缺周表阈值","可计算"))</x:f>
        <x:v>可计算</x:v>
      </x:c>
      <x:c r="L249" s="1" t="str">
        <x:f>IF(NOT(ISNUMBER(J249)),"待定",IF(J249&gt;50,"骨架成分",IF(J249&gt;=2,"重要成分","两档成分")))</x:f>
        <x:v>两档成分</x:v>
      </x:c>
      <x:c r="M249" s="1" t="n">
        <x:f>IF(NOT(ISNUMBER(J249)),"",IF(J249&gt;=2,3,2))</x:f>
        <x:v>2</x:v>
      </x:c>
      <x:c r="N249" s="1" t="str">
        <x:f>IF(NOT(ISNUMBER(J249)),"缺少可算OAV",IF(J249&gt;=2,"最大值、中位值、低值待校准","最大值、中位值"))</x:f>
        <x:v>最大值、中位值</x:v>
      </x:c>
      <x:c r="O249" s="1" t="str">
        <x:f>IF(NOT(ISNUMBER(J249)),"待定",IF(J249&lt;2,"不设第三档",IF(J249&lt;=5,"中位OAV≤5；低档须低于中位浓度","低档需预试确认与中档可区分")))</x:f>
        <x:v>不设第三档</x:v>
      </x:c>
    </x:row>
    <x:row r="250" ht="23" customHeight="1">
      <x:c r="A250" s="1" t="n">
        <x:f>'浓度与阈值来源'!A250</x:f>
        <x:v>245</x:v>
      </x:c>
      <x:c r="B250" s="1" t="str">
        <x:f>IF('浓度与阈值来源'!B250="","",'浓度与阈值来源'!B250)</x:f>
        <x:v>2-乙基-6-甲基吡嗪</x:v>
      </x:c>
      <x:c r="C250" s="1" t="str">
        <x:f>IF('浓度与阈值来源'!C250="","",'浓度与阈值来源'!C250)</x:f>
        <x:v>13925-03-6</x:v>
      </x:c>
      <x:c r="D250" s="1"/>
      <x:c r="E250" s="5" t="n">
        <x:f>IF('浓度与阈值来源'!D250&gt;0,'浓度与阈值来源'!D250,"")</x:f>
        <x:v>40</x:v>
      </x:c>
      <x:c r="F250" s="6" t="n">
        <x:f>COUNT('浓度与阈值来源'!E250:DM250)</x:f>
        <x:v>16</x:v>
      </x:c>
      <x:c r="G250" s="5" t="n">
        <x:f>IF(F250=0,"",MAX('浓度与阈值来源'!E250:DM250))</x:f>
        <x:v>140.41</x:v>
      </x:c>
      <x:c r="H250" s="5" t="n">
        <x:f>IF(F250=0,"",MEDIAN('浓度与阈值来源'!E250:DM250))</x:f>
        <x:v>65.695</x:v>
      </x:c>
      <x:c r="I250" s="7" t="n">
        <x:f>IF(AND(ISNUMBER(E250),E250&gt;0,F250&gt;0),G250/E250,"")</x:f>
        <x:v>3.51025</x:v>
      </x:c>
      <x:c r="J250" s="7" t="n">
        <x:f>IF(AND(ISNUMBER(E250),E250&gt;0,F250&gt;0),H250/E250,"")</x:f>
        <x:v>1.642375</x:v>
      </x:c>
      <x:c r="K250" s="1" t="str">
        <x:f>IF(F250=0,"无浓度数据",IF(E250="","缺周表阈值","可计算"))</x:f>
        <x:v>可计算</x:v>
      </x:c>
      <x:c r="L250" s="1" t="str">
        <x:f>IF(NOT(ISNUMBER(J250)),"待定",IF(J250&gt;50,"骨架成分",IF(J250&gt;=2,"重要成分","两档成分")))</x:f>
        <x:v>两档成分</x:v>
      </x:c>
      <x:c r="M250" s="1" t="n">
        <x:f>IF(NOT(ISNUMBER(J250)),"",IF(J250&gt;=2,3,2))</x:f>
        <x:v>2</x:v>
      </x:c>
      <x:c r="N250" s="1" t="str">
        <x:f>IF(NOT(ISNUMBER(J250)),"缺少可算OAV",IF(J250&gt;=2,"最大值、中位值、低值待校准","最大值、中位值"))</x:f>
        <x:v>最大值、中位值</x:v>
      </x:c>
      <x:c r="O250" s="1" t="str">
        <x:f>IF(NOT(ISNUMBER(J250)),"待定",IF(J250&lt;2,"不设第三档",IF(J250&lt;=5,"中位OAV≤5；低档须低于中位浓度","低档需预试确认与中档可区分")))</x:f>
        <x:v>不设第三档</x:v>
      </x:c>
    </x:row>
    <x:row r="251" ht="23" customHeight="1">
      <x:c r="A251" s="1" t="n">
        <x:f>'浓度与阈值来源'!A251</x:f>
        <x:v>246</x:v>
      </x:c>
      <x:c r="B251" s="1" t="str">
        <x:f>IF('浓度与阈值来源'!B251="","",'浓度与阈值来源'!B251)</x:f>
        <x:v>十七烷酸乙酯</x:v>
      </x:c>
      <x:c r="C251" s="1" t="str">
        <x:f>IF('浓度与阈值来源'!C251="","",'浓度与阈值来源'!C251)</x:f>
        <x:v>14010-23-2</x:v>
      </x:c>
      <x:c r="D251" s="1" t="str">
        <x:v>Ethyl heptadecanoate</x:v>
      </x:c>
      <x:c r="E251" s="5" t="str">
        <x:f>IF('浓度与阈值来源'!D251&gt;0,'浓度与阈值来源'!D251,"")</x:f>
      </x:c>
      <x:c r="F251" s="6" t="n">
        <x:f>COUNT('浓度与阈值来源'!E251:DM251)</x:f>
        <x:v>2</x:v>
      </x:c>
      <x:c r="G251" s="5" t="n">
        <x:f>IF(F251=0,"",MAX('浓度与阈值来源'!E251:DM251))</x:f>
        <x:v>4350</x:v>
      </x:c>
      <x:c r="H251" s="5" t="n">
        <x:f>IF(F251=0,"",MEDIAN('浓度与阈值来源'!E251:DM251))</x:f>
        <x:v>3980</x:v>
      </x:c>
      <x:c r="I251" s="7" t="str">
        <x:f>IF(AND(ISNUMBER(E251),E251&gt;0,F251&gt;0),G251/E251,"")</x:f>
      </x:c>
      <x:c r="J251" s="7" t="str">
        <x:f>IF(AND(ISNUMBER(E251),E251&gt;0,F251&gt;0),H251/E251,"")</x:f>
      </x:c>
      <x:c r="K251" s="1" t="str">
        <x:f>IF(F251=0,"无浓度数据",IF(E251="","缺周表阈值","可计算"))</x:f>
        <x:v>缺周表阈值</x:v>
      </x:c>
      <x:c r="L251" s="1" t="str">
        <x:f>IF(NOT(ISNUMBER(J251)),"待定",IF(J251&gt;50,"骨架成分",IF(J251&gt;=2,"重要成分","两档成分")))</x:f>
        <x:v>待定</x:v>
      </x:c>
      <x:c r="M251" s="1" t="str">
        <x:f>IF(NOT(ISNUMBER(J251)),"",IF(J251&gt;=2,3,2))</x:f>
      </x:c>
      <x:c r="N251" s="1" t="str">
        <x:f>IF(NOT(ISNUMBER(J251)),"缺少可算OAV",IF(J251&gt;=2,"最大值、中位值、低值待校准","最大值、中位值"))</x:f>
        <x:v>缺少可算OAV</x:v>
      </x:c>
      <x:c r="O251" s="1" t="str">
        <x:f>IF(NOT(ISNUMBER(J251)),"待定",IF(J251&lt;2,"不设第三档",IF(J251&lt;=5,"中位OAV≤5；低档须低于中位浓度","低档需预试确认与中档可区分")))</x:f>
        <x:v>待定</x:v>
      </x:c>
    </x:row>
    <x:row r="252" ht="23" customHeight="1">
      <x:c r="A252" s="1" t="n">
        <x:f>'浓度与阈值来源'!A252</x:f>
        <x:v>247</x:v>
      </x:c>
      <x:c r="B252" s="1" t="str">
        <x:f>IF('浓度与阈值来源'!B252="","",'浓度与阈值来源'!B252)</x:f>
        <x:v>三甲基吡嗪</x:v>
      </x:c>
      <x:c r="C252" s="1" t="str">
        <x:f>IF('浓度与阈值来源'!C252="","",'浓度与阈值来源'!C252)</x:f>
        <x:v>14667-55-1</x:v>
      </x:c>
      <x:c r="D252" s="1" t="str">
        <x:v>Trimethyl-pyrazine</x:v>
      </x:c>
      <x:c r="E252" s="5" t="n">
        <x:f>IF('浓度与阈值来源'!D252&gt;0,'浓度与阈值来源'!D252,"")</x:f>
        <x:v>730</x:v>
      </x:c>
      <x:c r="F252" s="6" t="n">
        <x:f>COUNT('浓度与阈值来源'!E252:DM252)</x:f>
        <x:v>20</x:v>
      </x:c>
      <x:c r="G252" s="5" t="n">
        <x:f>IF(F252=0,"",MAX('浓度与阈值来源'!E252:DM252))</x:f>
        <x:v>129</x:v>
      </x:c>
      <x:c r="H252" s="5" t="n">
        <x:f>IF(F252=0,"",MEDIAN('浓度与阈值来源'!E252:DM252))</x:f>
        <x:v>67.82</x:v>
      </x:c>
      <x:c r="I252" s="7" t="n">
        <x:f>IF(AND(ISNUMBER(E252),E252&gt;0,F252&gt;0),G252/E252,"")</x:f>
        <x:v>0.17671232876712328</x:v>
      </x:c>
      <x:c r="J252" s="7" t="n">
        <x:f>IF(AND(ISNUMBER(E252),E252&gt;0,F252&gt;0),H252/E252,"")</x:f>
        <x:v>0.09290410958904109</x:v>
      </x:c>
      <x:c r="K252" s="1" t="str">
        <x:f>IF(F252=0,"无浓度数据",IF(E252="","缺周表阈值","可计算"))</x:f>
        <x:v>可计算</x:v>
      </x:c>
      <x:c r="L252" s="1" t="str">
        <x:f>IF(NOT(ISNUMBER(J252)),"待定",IF(J252&gt;50,"骨架成分",IF(J252&gt;=2,"重要成分","两档成分")))</x:f>
        <x:v>两档成分</x:v>
      </x:c>
      <x:c r="M252" s="1" t="n">
        <x:f>IF(NOT(ISNUMBER(J252)),"",IF(J252&gt;=2,3,2))</x:f>
        <x:v>2</x:v>
      </x:c>
      <x:c r="N252" s="1" t="str">
        <x:f>IF(NOT(ISNUMBER(J252)),"缺少可算OAV",IF(J252&gt;=2,"最大值、中位值、低值待校准","最大值、中位值"))</x:f>
        <x:v>最大值、中位值</x:v>
      </x:c>
      <x:c r="O252" s="1" t="str">
        <x:f>IF(NOT(ISNUMBER(J252)),"待定",IF(J252&lt;2,"不设第三档",IF(J252&lt;=5,"中位OAV≤5；低档须低于中位浓度","低档需预试确认与中档可区分")))</x:f>
        <x:v>不设第三档</x:v>
      </x:c>
    </x:row>
    <x:row r="253" ht="23" customHeight="1">
      <x:c r="A253" s="1" t="n">
        <x:f>'浓度与阈值来源'!A253</x:f>
        <x:v>248</x:v>
      </x:c>
      <x:c r="B253" s="1" t="str">
        <x:f>IF('浓度与阈值来源'!B253="","",'浓度与阈值来源'!B253)</x:f>
        <x:v>2-甲基丁酸丁酯</x:v>
      </x:c>
      <x:c r="C253" s="1" t="str">
        <x:f>IF('浓度与阈值来源'!C253="","",'浓度与阈值来源'!C253)</x:f>
        <x:v>15706-73-7</x:v>
      </x:c>
      <x:c r="D253" s="1"/>
      <x:c r="E253" s="5" t="str">
        <x:f>IF('浓度与阈值来源'!D253&gt;0,'浓度与阈值来源'!D253,"")</x:f>
      </x:c>
      <x:c r="F253" s="6" t="n">
        <x:f>COUNT('浓度与阈值来源'!E253:DM253)</x:f>
        <x:v>13</x:v>
      </x:c>
      <x:c r="G253" s="5" t="n">
        <x:f>IF(F253=0,"",MAX('浓度与阈值来源'!E253:DM253))</x:f>
        <x:v>14715.89</x:v>
      </x:c>
      <x:c r="H253" s="5" t="n">
        <x:f>IF(F253=0,"",MEDIAN('浓度与阈值来源'!E253:DM253))</x:f>
        <x:v>4073.31</x:v>
      </x:c>
      <x:c r="I253" s="7" t="str">
        <x:f>IF(AND(ISNUMBER(E253),E253&gt;0,F253&gt;0),G253/E253,"")</x:f>
      </x:c>
      <x:c r="J253" s="7" t="str">
        <x:f>IF(AND(ISNUMBER(E253),E253&gt;0,F253&gt;0),H253/E253,"")</x:f>
      </x:c>
      <x:c r="K253" s="1" t="str">
        <x:f>IF(F253=0,"无浓度数据",IF(E253="","缺周表阈值","可计算"))</x:f>
        <x:v>缺周表阈值</x:v>
      </x:c>
      <x:c r="L253" s="1" t="str">
        <x:f>IF(NOT(ISNUMBER(J253)),"待定",IF(J253&gt;50,"骨架成分",IF(J253&gt;=2,"重要成分","两档成分")))</x:f>
        <x:v>待定</x:v>
      </x:c>
      <x:c r="M253" s="1" t="str">
        <x:f>IF(NOT(ISNUMBER(J253)),"",IF(J253&gt;=2,3,2))</x:f>
      </x:c>
      <x:c r="N253" s="1" t="str">
        <x:f>IF(NOT(ISNUMBER(J253)),"缺少可算OAV",IF(J253&gt;=2,"最大值、中位值、低值待校准","最大值、中位值"))</x:f>
        <x:v>缺少可算OAV</x:v>
      </x:c>
      <x:c r="O253" s="1" t="str">
        <x:f>IF(NOT(ISNUMBER(J253)),"待定",IF(J253&lt;2,"不设第三档",IF(J253&lt;=5,"中位OAV≤5；低档须低于中位浓度","低档需预试确认与中档可区分")))</x:f>
        <x:v>待定</x:v>
      </x:c>
    </x:row>
    <x:row r="254" ht="23" customHeight="1">
      <x:c r="A254" s="1" t="n">
        <x:f>'浓度与阈值来源'!A254</x:f>
        <x:v>249</x:v>
      </x:c>
      <x:c r="B254" s="1" t="str">
        <x:f>IF('浓度与阈值来源'!B254="","",'浓度与阈值来源'!B254)</x:f>
        <x:v>2,3-二乙基吡嗪</x:v>
      </x:c>
      <x:c r="C254" s="1" t="str">
        <x:f>IF('浓度与阈值来源'!C254="","",'浓度与阈值来源'!C254)</x:f>
        <x:v>15707-24-1</x:v>
      </x:c>
      <x:c r="D254" s="1"/>
      <x:c r="E254" s="5" t="str">
        <x:f>IF('浓度与阈值来源'!D254&gt;0,'浓度与阈值来源'!D254,"")</x:f>
      </x:c>
      <x:c r="F254" s="6" t="n">
        <x:f>COUNT('浓度与阈值来源'!E254:DM254)</x:f>
        <x:v>14</x:v>
      </x:c>
      <x:c r="G254" s="5" t="n">
        <x:f>IF(F254=0,"",MAX('浓度与阈值来源'!E254:DM254))</x:f>
        <x:v>140.14</x:v>
      </x:c>
      <x:c r="H254" s="5" t="n">
        <x:f>IF(F254=0,"",MEDIAN('浓度与阈值来源'!E254:DM254))</x:f>
        <x:v>104.71000000000001</x:v>
      </x:c>
      <x:c r="I254" s="7" t="str">
        <x:f>IF(AND(ISNUMBER(E254),E254&gt;0,F254&gt;0),G254/E254,"")</x:f>
      </x:c>
      <x:c r="J254" s="7" t="str">
        <x:f>IF(AND(ISNUMBER(E254),E254&gt;0,F254&gt;0),H254/E254,"")</x:f>
      </x:c>
      <x:c r="K254" s="1" t="str">
        <x:f>IF(F254=0,"无浓度数据",IF(E254="","缺周表阈值","可计算"))</x:f>
        <x:v>缺周表阈值</x:v>
      </x:c>
      <x:c r="L254" s="1" t="str">
        <x:f>IF(NOT(ISNUMBER(J254)),"待定",IF(J254&gt;50,"骨架成分",IF(J254&gt;=2,"重要成分","两档成分")))</x:f>
        <x:v>待定</x:v>
      </x:c>
      <x:c r="M254" s="1" t="str">
        <x:f>IF(NOT(ISNUMBER(J254)),"",IF(J254&gt;=2,3,2))</x:f>
      </x:c>
      <x:c r="N254" s="1" t="str">
        <x:f>IF(NOT(ISNUMBER(J254)),"缺少可算OAV",IF(J254&gt;=2,"最大值、中位值、低值待校准","最大值、中位值"))</x:f>
        <x:v>缺少可算OAV</x:v>
      </x:c>
      <x:c r="O254" s="1" t="str">
        <x:f>IF(NOT(ISNUMBER(J254)),"待定",IF(J254&lt;2,"不设第三档",IF(J254&lt;=5,"中位OAV≤5；低档须低于中位浓度","低档需预试确认与中档可区分")))</x:f>
        <x:v>待定</x:v>
      </x:c>
    </x:row>
    <x:row r="255" ht="23" customHeight="1">
      <x:c r="A255" s="1" t="n">
        <x:f>'浓度与阈值来源'!A255</x:f>
        <x:v>250</x:v>
      </x:c>
      <x:c r="B255" s="1" t="str">
        <x:f>IF('浓度与阈值来源'!B255="","",'浓度与阈值来源'!B255)</x:f>
        <x:v>3,3-二乙氧基-1-丙醇</x:v>
      </x:c>
      <x:c r="C255" s="1" t="str">
        <x:f>IF('浓度与阈值来源'!C255="","",'浓度与阈值来源'!C255)</x:f>
        <x:v>16777-87-0</x:v>
      </x:c>
      <x:c r="D255" s="1"/>
      <x:c r="E255" s="5" t="str">
        <x:f>IF('浓度与阈值来源'!D255&gt;0,'浓度与阈值来源'!D255,"")</x:f>
      </x:c>
      <x:c r="F255" s="6" t="n">
        <x:f>COUNT('浓度与阈值来源'!E255:DM255)</x:f>
        <x:v>4</x:v>
      </x:c>
      <x:c r="G255" s="5" t="n">
        <x:f>IF(F255=0,"",MAX('浓度与阈值来源'!E255:DM255))</x:f>
        <x:v>4.03</x:v>
      </x:c>
      <x:c r="H255" s="5" t="n">
        <x:f>IF(F255=0,"",MEDIAN('浓度与阈值来源'!E255:DM255))</x:f>
        <x:v>3.75</x:v>
      </x:c>
      <x:c r="I255" s="7" t="str">
        <x:f>IF(AND(ISNUMBER(E255),E255&gt;0,F255&gt;0),G255/E255,"")</x:f>
      </x:c>
      <x:c r="J255" s="7" t="str">
        <x:f>IF(AND(ISNUMBER(E255),E255&gt;0,F255&gt;0),H255/E255,"")</x:f>
      </x:c>
      <x:c r="K255" s="1" t="str">
        <x:f>IF(F255=0,"无浓度数据",IF(E255="","缺周表阈值","可计算"))</x:f>
        <x:v>缺周表阈值</x:v>
      </x:c>
      <x:c r="L255" s="1" t="str">
        <x:f>IF(NOT(ISNUMBER(J255)),"待定",IF(J255&gt;50,"骨架成分",IF(J255&gt;=2,"重要成分","两档成分")))</x:f>
        <x:v>待定</x:v>
      </x:c>
      <x:c r="M255" s="1" t="str">
        <x:f>IF(NOT(ISNUMBER(J255)),"",IF(J255&gt;=2,3,2))</x:f>
      </x:c>
      <x:c r="N255" s="1" t="str">
        <x:f>IF(NOT(ISNUMBER(J255)),"缺少可算OAV",IF(J255&gt;=2,"最大值、中位值、低值待校准","最大值、中位值"))</x:f>
        <x:v>缺少可算OAV</x:v>
      </x:c>
      <x:c r="O255" s="1" t="str">
        <x:f>IF(NOT(ISNUMBER(J255)),"待定",IF(J255&lt;2,"不设第三档",IF(J255&lt;=5,"中位OAV≤5；低档须低于中位浓度","低档需预试确认与中档可区分")))</x:f>
        <x:v>待定</x:v>
      </x:c>
    </x:row>
    <x:row r="256" ht="23" customHeight="1">
      <x:c r="A256" s="1" t="n">
        <x:f>'浓度与阈值来源'!A256</x:f>
        <x:v>251</x:v>
      </x:c>
      <x:c r="B256" s="1" t="str">
        <x:f>IF('浓度与阈值来源'!B256="","",'浓度与阈值来源'!B256)</x:f>
        <x:v>2,3-丁二醇</x:v>
      </x:c>
      <x:c r="C256" s="1" t="str">
        <x:f>IF('浓度与阈值来源'!C256="","",'浓度与阈值来源'!C256)</x:f>
        <x:v>19132-06-0</x:v>
      </x:c>
      <x:c r="D256" s="1" t="str">
        <x:v>2,3-Butanediol</x:v>
      </x:c>
      <x:c r="E256" s="5" t="str">
        <x:f>IF('浓度与阈值来源'!D256&gt;0,'浓度与阈值来源'!D256,"")</x:f>
      </x:c>
      <x:c r="F256" s="6" t="n">
        <x:f>COUNT('浓度与阈值来源'!E256:DM256)</x:f>
        <x:v>7</x:v>
      </x:c>
      <x:c r="G256" s="5" t="n">
        <x:f>IF(F256=0,"",MAX('浓度与阈值来源'!E256:DM256))</x:f>
        <x:v>88240</x:v>
      </x:c>
      <x:c r="H256" s="5" t="n">
        <x:f>IF(F256=0,"",MEDIAN('浓度与阈值来源'!E256:DM256))</x:f>
        <x:v>4.71</x:v>
      </x:c>
      <x:c r="I256" s="7" t="str">
        <x:f>IF(AND(ISNUMBER(E256),E256&gt;0,F256&gt;0),G256/E256,"")</x:f>
      </x:c>
      <x:c r="J256" s="7" t="str">
        <x:f>IF(AND(ISNUMBER(E256),E256&gt;0,F256&gt;0),H256/E256,"")</x:f>
      </x:c>
      <x:c r="K256" s="1" t="str">
        <x:f>IF(F256=0,"无浓度数据",IF(E256="","缺周表阈值","可计算"))</x:f>
        <x:v>缺周表阈值</x:v>
      </x:c>
      <x:c r="L256" s="1" t="str">
        <x:f>IF(NOT(ISNUMBER(J256)),"待定",IF(J256&gt;50,"骨架成分",IF(J256&gt;=2,"重要成分","两档成分")))</x:f>
        <x:v>待定</x:v>
      </x:c>
      <x:c r="M256" s="1" t="str">
        <x:f>IF(NOT(ISNUMBER(J256)),"",IF(J256&gt;=2,3,2))</x:f>
      </x:c>
      <x:c r="N256" s="1" t="str">
        <x:f>IF(NOT(ISNUMBER(J256)),"缺少可算OAV",IF(J256&gt;=2,"最大值、中位值、低值待校准","最大值、中位值"))</x:f>
        <x:v>缺少可算OAV</x:v>
      </x:c>
      <x:c r="O256" s="1" t="str">
        <x:f>IF(NOT(ISNUMBER(J256)),"待定",IF(J256&lt;2,"不设第三档",IF(J256&lt;=5,"中位OAV≤5；低档须低于中位浓度","低档需预试确认与中档可区分")))</x:f>
        <x:v>待定</x:v>
      </x:c>
    </x:row>
    <x:row r="257" ht="23" customHeight="1">
      <x:c r="A257" s="1" t="n">
        <x:f>'浓度与阈值来源'!A257</x:f>
        <x:v>252</x:v>
      </x:c>
      <x:c r="B257" s="1" t="str">
        <x:f>IF('浓度与阈值来源'!B257="","",'浓度与阈值来源'!B257)</x:f>
        <x:v>乳酸异戊酯</x:v>
      </x:c>
      <x:c r="C257" s="1" t="str">
        <x:f>IF('浓度与阈值来源'!C257="","",'浓度与阈值来源'!C257)</x:f>
        <x:v>19329-89-6</x:v>
      </x:c>
      <x:c r="D257" s="1" t="str">
        <x:v>Isoamyl lactate</x:v>
      </x:c>
      <x:c r="E257" s="5" t="str">
        <x:f>IF('浓度与阈值来源'!D257&gt;0,'浓度与阈值来源'!D257,"")</x:f>
      </x:c>
      <x:c r="F257" s="6" t="n">
        <x:f>COUNT('浓度与阈值来源'!E257:DM257)</x:f>
        <x:v>4</x:v>
      </x:c>
      <x:c r="G257" s="5" t="n">
        <x:f>IF(F257=0,"",MAX('浓度与阈值来源'!E257:DM257))</x:f>
        <x:v>9150</x:v>
      </x:c>
      <x:c r="H257" s="5" t="n">
        <x:f>IF(F257=0,"",MEDIAN('浓度与阈值来源'!E257:DM257))</x:f>
        <x:v>2.4899999999999998</x:v>
      </x:c>
      <x:c r="I257" s="7" t="str">
        <x:f>IF(AND(ISNUMBER(E257),E257&gt;0,F257&gt;0),G257/E257,"")</x:f>
      </x:c>
      <x:c r="J257" s="7" t="str">
        <x:f>IF(AND(ISNUMBER(E257),E257&gt;0,F257&gt;0),H257/E257,"")</x:f>
      </x:c>
      <x:c r="K257" s="1" t="str">
        <x:f>IF(F257=0,"无浓度数据",IF(E257="","缺周表阈值","可计算"))</x:f>
        <x:v>缺周表阈值</x:v>
      </x:c>
      <x:c r="L257" s="1" t="str">
        <x:f>IF(NOT(ISNUMBER(J257)),"待定",IF(J257&gt;50,"骨架成分",IF(J257&gt;=2,"重要成分","两档成分")))</x:f>
        <x:v>待定</x:v>
      </x:c>
      <x:c r="M257" s="1" t="str">
        <x:f>IF(NOT(ISNUMBER(J257)),"",IF(J257&gt;=2,3,2))</x:f>
      </x:c>
      <x:c r="N257" s="1" t="str">
        <x:f>IF(NOT(ISNUMBER(J257)),"缺少可算OAV",IF(J257&gt;=2,"最大值、中位值、低值待校准","最大值、中位值"))</x:f>
        <x:v>缺少可算OAV</x:v>
      </x:c>
      <x:c r="O257" s="1" t="str">
        <x:f>IF(NOT(ISNUMBER(J257)),"待定",IF(J257&lt;2,"不设第三档",IF(J257&lt;=5,"中位OAV≤5；低档须低于中位浓度","低档需预试确认与中档可区分")))</x:f>
        <x:v>待定</x:v>
      </x:c>
    </x:row>
    <x:row r="258" ht="23" customHeight="1">
      <x:c r="A258" s="1" t="n">
        <x:f>'浓度与阈值来源'!A258</x:f>
        <x:v>253</x:v>
      </x:c>
      <x:c r="B258" s="1" t="str">
        <x:f>IF('浓度与阈值来源'!B258="","",'浓度与阈值来源'!B258)</x:f>
        <x:v>异丙基3-苯基丙酸酯</x:v>
      </x:c>
      <x:c r="C258" s="1" t="str">
        <x:f>IF('浓度与阈值来源'!C258="","",'浓度与阈值来源'!C258)</x:f>
        <x:v>22767-95-9</x:v>
      </x:c>
      <x:c r="D258" s="1"/>
      <x:c r="E258" s="5" t="str">
        <x:f>IF('浓度与阈值来源'!D258&gt;0,'浓度与阈值来源'!D258,"")</x:f>
      </x:c>
      <x:c r="F258" s="6" t="n">
        <x:f>COUNT('浓度与阈值来源'!E258:DM258)</x:f>
        <x:v>1</x:v>
      </x:c>
      <x:c r="G258" s="5" t="n">
        <x:f>IF(F258=0,"",MAX('浓度与阈值来源'!E258:DM258))</x:f>
        <x:v>32</x:v>
      </x:c>
      <x:c r="H258" s="5" t="n">
        <x:f>IF(F258=0,"",MEDIAN('浓度与阈值来源'!E258:DM258))</x:f>
        <x:v>32</x:v>
      </x:c>
      <x:c r="I258" s="7" t="str">
        <x:f>IF(AND(ISNUMBER(E258),E258&gt;0,F258&gt;0),G258/E258,"")</x:f>
      </x:c>
      <x:c r="J258" s="7" t="str">
        <x:f>IF(AND(ISNUMBER(E258),E258&gt;0,F258&gt;0),H258/E258,"")</x:f>
      </x:c>
      <x:c r="K258" s="1" t="str">
        <x:f>IF(F258=0,"无浓度数据",IF(E258="","缺周表阈值","可计算"))</x:f>
        <x:v>缺周表阈值</x:v>
      </x:c>
      <x:c r="L258" s="1" t="str">
        <x:f>IF(NOT(ISNUMBER(J258)),"待定",IF(J258&gt;50,"骨架成分",IF(J258&gt;=2,"重要成分","两档成分")))</x:f>
        <x:v>待定</x:v>
      </x:c>
      <x:c r="M258" s="1" t="str">
        <x:f>IF(NOT(ISNUMBER(J258)),"",IF(J258&gt;=2,3,2))</x:f>
      </x:c>
      <x:c r="N258" s="1" t="str">
        <x:f>IF(NOT(ISNUMBER(J258)),"缺少可算OAV",IF(J258&gt;=2,"最大值、中位值、低值待校准","最大值、中位值"))</x:f>
        <x:v>缺少可算OAV</x:v>
      </x:c>
      <x:c r="O258" s="1" t="str">
        <x:f>IF(NOT(ISNUMBER(J258)),"待定",IF(J258&lt;2,"不设第三档",IF(J258&lt;=5,"中位OAV≤5；低档须低于中位浓度","低档需预试确认与中档可区分")))</x:f>
        <x:v>待定</x:v>
      </x:c>
    </x:row>
    <x:row r="259" ht="23" customHeight="1">
      <x:c r="A259" s="1" t="n">
        <x:f>'浓度与阈值来源'!A259</x:f>
        <x:v>254</x:v>
      </x:c>
      <x:c r="B259" s="1" t="str">
        <x:f>IF('浓度与阈值来源'!B259="","",'浓度与阈值来源'!B259)</x:f>
        <x:v>大马士酮</x:v>
      </x:c>
      <x:c r="C259" s="1" t="str">
        <x:f>IF('浓度与阈值来源'!C259="","",'浓度与阈值来源'!C259)</x:f>
        <x:v>23726-91-2</x:v>
      </x:c>
      <x:c r="D259" s="1"/>
      <x:c r="E259" s="5" t="n">
        <x:f>IF('浓度与阈值来源'!D259&gt;0,'浓度与阈值来源'!D259,"")</x:f>
        <x:v>0.12</x:v>
      </x:c>
      <x:c r="F259" s="6" t="n">
        <x:f>COUNT('浓度与阈值来源'!E259:DM259)</x:f>
        <x:v>1</x:v>
      </x:c>
      <x:c r="G259" s="5" t="n">
        <x:f>IF(F259=0,"",MAX('浓度与阈值来源'!E259:DM259))</x:f>
        <x:v>148</x:v>
      </x:c>
      <x:c r="H259" s="5" t="n">
        <x:f>IF(F259=0,"",MEDIAN('浓度与阈值来源'!E259:DM259))</x:f>
        <x:v>148</x:v>
      </x:c>
      <x:c r="I259" s="7" t="n">
        <x:f>IF(AND(ISNUMBER(E259),E259&gt;0,F259&gt;0),G259/E259,"")</x:f>
        <x:v>1233.3333333333335</x:v>
      </x:c>
      <x:c r="J259" s="7" t="n">
        <x:f>IF(AND(ISNUMBER(E259),E259&gt;0,F259&gt;0),H259/E259,"")</x:f>
        <x:v>1233.3333333333335</x:v>
      </x:c>
      <x:c r="K259" s="1" t="str">
        <x:f>IF(F259=0,"无浓度数据",IF(E259="","缺周表阈值","可计算"))</x:f>
        <x:v>可计算</x:v>
      </x:c>
      <x:c r="L259" s="1" t="str">
        <x:f>IF(NOT(ISNUMBER(J259)),"待定",IF(J259&gt;50,"骨架成分",IF(J259&gt;=2,"重要成分","两档成分")))</x:f>
        <x:v>骨架成分</x:v>
      </x:c>
      <x:c r="M259" s="1" t="n">
        <x:f>IF(NOT(ISNUMBER(J259)),"",IF(J259&gt;=2,3,2))</x:f>
        <x:v>3</x:v>
      </x:c>
      <x:c r="N259" s="1" t="str">
        <x:f>IF(NOT(ISNUMBER(J259)),"缺少可算OAV",IF(J259&gt;=2,"最大值、中位值、低值待校准","最大值、中位值"))</x:f>
        <x:v>最大值、中位值、低值待校准</x:v>
      </x:c>
      <x:c r="O259" s="1" t="str">
        <x:f>IF(NOT(ISNUMBER(J259)),"待定",IF(J259&lt;2,"不设第三档",IF(J259&lt;=5,"中位OAV≤5；低档须低于中位浓度","低档需预试确认与中档可区分")))</x:f>
        <x:v>低档需预试确认与中档可区分</x:v>
      </x:c>
    </x:row>
    <x:row r="260" ht="23" customHeight="1">
      <x:c r="A260" s="1" t="n">
        <x:f>'浓度与阈值来源'!A260</x:f>
        <x:v>255</x:v>
      </x:c>
      <x:c r="B260" s="1" t="str">
        <x:f>IF('浓度与阈值来源'!B260="","",'浓度与阈值来源'!B260)</x:f>
        <x:v>β-大马酮</x:v>
      </x:c>
      <x:c r="C260" s="1" t="str">
        <x:f>IF('浓度与阈值来源'!C260="","",'浓度与阈值来源'!C260)</x:f>
        <x:v>23726-93-4</x:v>
      </x:c>
      <x:c r="D260" s="1" t="str">
        <x:v>β-damascenone</x:v>
      </x:c>
      <x:c r="E260" s="5" t="n">
        <x:f>IF('浓度与阈值来源'!D260&gt;0,'浓度与阈值来源'!D260,"")</x:f>
        <x:v>0.12</x:v>
      </x:c>
      <x:c r="F260" s="6" t="n">
        <x:f>COUNT('浓度与阈值来源'!E260:DM260)</x:f>
        <x:v>26</x:v>
      </x:c>
      <x:c r="G260" s="5" t="n">
        <x:f>IF(F260=0,"",MAX('浓度与阈值来源'!E260:DM260))</x:f>
        <x:v>60.76</x:v>
      </x:c>
      <x:c r="H260" s="5" t="n">
        <x:f>IF(F260=0,"",MEDIAN('浓度与阈值来源'!E260:DM260))</x:f>
        <x:v>5.42</x:v>
      </x:c>
      <x:c r="I260" s="7" t="n">
        <x:f>IF(AND(ISNUMBER(E260),E260&gt;0,F260&gt;0),G260/E260,"")</x:f>
        <x:v>506.3333333333333</x:v>
      </x:c>
      <x:c r="J260" s="7" t="n">
        <x:f>IF(AND(ISNUMBER(E260),E260&gt;0,F260&gt;0),H260/E260,"")</x:f>
        <x:v>45.166666666666664</x:v>
      </x:c>
      <x:c r="K260" s="1" t="str">
        <x:f>IF(F260=0,"无浓度数据",IF(E260="","缺周表阈值","可计算"))</x:f>
        <x:v>可计算</x:v>
      </x:c>
      <x:c r="L260" s="1" t="str">
        <x:f>IF(NOT(ISNUMBER(J260)),"待定",IF(J260&gt;50,"骨架成分",IF(J260&gt;=2,"重要成分","两档成分")))</x:f>
        <x:v>重要成分</x:v>
      </x:c>
      <x:c r="M260" s="1" t="n">
        <x:f>IF(NOT(ISNUMBER(J260)),"",IF(J260&gt;=2,3,2))</x:f>
        <x:v>3</x:v>
      </x:c>
      <x:c r="N260" s="1" t="str">
        <x:f>IF(NOT(ISNUMBER(J260)),"缺少可算OAV",IF(J260&gt;=2,"最大值、中位值、低值待校准","最大值、中位值"))</x:f>
        <x:v>最大值、中位值、低值待校准</x:v>
      </x:c>
      <x:c r="O260" s="1" t="str">
        <x:f>IF(NOT(ISNUMBER(J260)),"待定",IF(J260&lt;2,"不设第三档",IF(J260&lt;=5,"中位OAV≤5；低档须低于中位浓度","低档需预试确认与中档可区分")))</x:f>
        <x:v>低档需预试确认与中档可区分</x:v>
      </x:c>
    </x:row>
    <x:row r="261" ht="23" customHeight="1">
      <x:c r="A261" s="1" t="n">
        <x:f>'浓度与阈值来源'!A261</x:f>
        <x:v>256</x:v>
      </x:c>
      <x:c r="B261" s="1" t="str">
        <x:f>IF('浓度与阈值来源'!B261="","",'浓度与阈值来源'!B261)</x:f>
        <x:v>2-甲基丁酸-2-苯乙酯</x:v>
      </x:c>
      <x:c r="C261" s="1" t="str">
        <x:f>IF('浓度与阈值来源'!C261="","",'浓度与阈值来源'!C261)</x:f>
        <x:v>24817-51-4</x:v>
      </x:c>
      <x:c r="D261" s="1"/>
      <x:c r="E261" s="5" t="str">
        <x:f>IF('浓度与阈值来源'!D261&gt;0,'浓度与阈值来源'!D261,"")</x:f>
      </x:c>
      <x:c r="F261" s="6" t="n">
        <x:f>COUNT('浓度与阈值来源'!E261:DM261)</x:f>
        <x:v>1</x:v>
      </x:c>
      <x:c r="G261" s="5" t="n">
        <x:f>IF(F261=0,"",MAX('浓度与阈值来源'!E261:DM261))</x:f>
        <x:v>27</x:v>
      </x:c>
      <x:c r="H261" s="5" t="n">
        <x:f>IF(F261=0,"",MEDIAN('浓度与阈值来源'!E261:DM261))</x:f>
        <x:v>27</x:v>
      </x:c>
      <x:c r="I261" s="7" t="str">
        <x:f>IF(AND(ISNUMBER(E261),E261&gt;0,F261&gt;0),G261/E261,"")</x:f>
      </x:c>
      <x:c r="J261" s="7" t="str">
        <x:f>IF(AND(ISNUMBER(E261),E261&gt;0,F261&gt;0),H261/E261,"")</x:f>
      </x:c>
      <x:c r="K261" s="1" t="str">
        <x:f>IF(F261=0,"无浓度数据",IF(E261="","缺周表阈值","可计算"))</x:f>
        <x:v>缺周表阈值</x:v>
      </x:c>
      <x:c r="L261" s="1" t="str">
        <x:f>IF(NOT(ISNUMBER(J261)),"待定",IF(J261&gt;50,"骨架成分",IF(J261&gt;=2,"重要成分","两档成分")))</x:f>
        <x:v>待定</x:v>
      </x:c>
      <x:c r="M261" s="1" t="str">
        <x:f>IF(NOT(ISNUMBER(J261)),"",IF(J261&gt;=2,3,2))</x:f>
      </x:c>
      <x:c r="N261" s="1" t="str">
        <x:f>IF(NOT(ISNUMBER(J261)),"缺少可算OAV",IF(J261&gt;=2,"最大值、中位值、低值待校准","最大值、中位值"))</x:f>
        <x:v>缺少可算OAV</x:v>
      </x:c>
      <x:c r="O261" s="1" t="str">
        <x:f>IF(NOT(ISNUMBER(J261)),"待定",IF(J261&lt;2,"不设第三档",IF(J261&lt;=5,"中位OAV≤5；低档须低于中位浓度","低档需预试确认与中档可区分")))</x:f>
        <x:v>待定</x:v>
      </x:c>
    </x:row>
    <x:row r="262" ht="23" customHeight="1">
      <x:c r="A262" s="1" t="n">
        <x:f>'浓度与阈值来源'!A262</x:f>
        <x:v>257</x:v>
      </x:c>
      <x:c r="B262" s="1" t="str">
        <x:f>IF('浓度与阈值来源'!B262="","",'浓度与阈值来源'!B262)</x:f>
        <x:v>4-甲基-戊酸乙酯</x:v>
      </x:c>
      <x:c r="C262" s="1" t="str">
        <x:f>IF('浓度与阈值来源'!C262="","",'浓度与阈值来源'!C262)</x:f>
        <x:v>25415-67-2</x:v>
      </x:c>
      <x:c r="D262" s="1" t="str">
        <x:v>Ethyl 4-methylpentanoate</x:v>
      </x:c>
      <x:c r="E262" s="5" t="str">
        <x:f>IF('浓度与阈值来源'!D262&gt;0,'浓度与阈值来源'!D262,"")</x:f>
      </x:c>
      <x:c r="F262" s="6" t="n">
        <x:f>COUNT('浓度与阈值来源'!E262:DM262)</x:f>
        <x:v>14</x:v>
      </x:c>
      <x:c r="G262" s="5" t="n">
        <x:f>IF(F262=0,"",MAX('浓度与阈值来源'!E262:DM262))</x:f>
        <x:v>4360</x:v>
      </x:c>
      <x:c r="H262" s="5" t="n">
        <x:f>IF(F262=0,"",MEDIAN('浓度与阈值来源'!E262:DM262))</x:f>
        <x:v>587.5</x:v>
      </x:c>
      <x:c r="I262" s="7" t="str">
        <x:f>IF(AND(ISNUMBER(E262),E262&gt;0,F262&gt;0),G262/E262,"")</x:f>
      </x:c>
      <x:c r="J262" s="7" t="str">
        <x:f>IF(AND(ISNUMBER(E262),E262&gt;0,F262&gt;0),H262/E262,"")</x:f>
      </x:c>
      <x:c r="K262" s="1" t="str">
        <x:f>IF(F262=0,"无浓度数据",IF(E262="","缺周表阈值","可计算"))</x:f>
        <x:v>缺周表阈值</x:v>
      </x:c>
      <x:c r="L262" s="1" t="str">
        <x:f>IF(NOT(ISNUMBER(J262)),"待定",IF(J262&gt;50,"骨架成分",IF(J262&gt;=2,"重要成分","两档成分")))</x:f>
        <x:v>待定</x:v>
      </x:c>
      <x:c r="M262" s="1" t="str">
        <x:f>IF(NOT(ISNUMBER(J262)),"",IF(J262&gt;=2,3,2))</x:f>
      </x:c>
      <x:c r="N262" s="1" t="str">
        <x:f>IF(NOT(ISNUMBER(J262)),"缺少可算OAV",IF(J262&gt;=2,"最大值、中位值、低值待校准","最大值、中位值"))</x:f>
        <x:v>缺少可算OAV</x:v>
      </x:c>
      <x:c r="O262" s="1" t="str">
        <x:f>IF(NOT(ISNUMBER(J262)),"待定",IF(J262&lt;2,"不设第三档",IF(J262&lt;=5,"中位OAV≤5；低档须低于中位浓度","低档需预试确认与中档可区分")))</x:f>
        <x:v>待定</x:v>
      </x:c>
    </x:row>
    <x:row r="263" ht="23" customHeight="1">
      <x:c r="A263" s="1" t="n">
        <x:f>'浓度与阈值来源'!A263</x:f>
        <x:v>258</x:v>
      </x:c>
      <x:c r="B263" s="1" t="str">
        <x:f>IF('浓度与阈值来源'!B263="","",'浓度与阈值来源'!B263)</x:f>
      </x:c>
      <x:c r="C263" s="1" t="str">
        <x:f>IF('浓度与阈值来源'!C263="","",'浓度与阈值来源'!C263)</x:f>
        <x:v>26764-41-0</x:v>
      </x:c>
      <x:c r="D263" s="1" t="str">
        <x:v>Eicosenoic acid</x:v>
      </x:c>
      <x:c r="E263" s="5" t="str">
        <x:f>IF('浓度与阈值来源'!D263&gt;0,'浓度与阈值来源'!D263,"")</x:f>
      </x:c>
      <x:c r="F263" s="6" t="n">
        <x:f>COUNT('浓度与阈值来源'!E263:DM263)</x:f>
        <x:v>6</x:v>
      </x:c>
      <x:c r="G263" s="5" t="n">
        <x:f>IF(F263=0,"",MAX('浓度与阈值来源'!E263:DM263))</x:f>
        <x:v>1144</x:v>
      </x:c>
      <x:c r="H263" s="5" t="n">
        <x:f>IF(F263=0,"",MEDIAN('浓度与阈值来源'!E263:DM263))</x:f>
        <x:v>398</x:v>
      </x:c>
      <x:c r="I263" s="7" t="str">
        <x:f>IF(AND(ISNUMBER(E263),E263&gt;0,F263&gt;0),G263/E263,"")</x:f>
      </x:c>
      <x:c r="J263" s="7" t="str">
        <x:f>IF(AND(ISNUMBER(E263),E263&gt;0,F263&gt;0),H263/E263,"")</x:f>
      </x:c>
      <x:c r="K263" s="1" t="str">
        <x:f>IF(F263=0,"无浓度数据",IF(E263="","缺周表阈值","可计算"))</x:f>
        <x:v>缺周表阈值</x:v>
      </x:c>
      <x:c r="L263" s="1" t="str">
        <x:f>IF(NOT(ISNUMBER(J263)),"待定",IF(J263&gt;50,"骨架成分",IF(J263&gt;=2,"重要成分","两档成分")))</x:f>
        <x:v>待定</x:v>
      </x:c>
      <x:c r="M263" s="1" t="str">
        <x:f>IF(NOT(ISNUMBER(J263)),"",IF(J263&gt;=2,3,2))</x:f>
      </x:c>
      <x:c r="N263" s="1" t="str">
        <x:f>IF(NOT(ISNUMBER(J263)),"缺少可算OAV",IF(J263&gt;=2,"最大值、中位值、低值待校准","最大值、中位值"))</x:f>
        <x:v>缺少可算OAV</x:v>
      </x:c>
      <x:c r="O263" s="1" t="str">
        <x:f>IF(NOT(ISNUMBER(J263)),"待定",IF(J263&lt;2,"不设第三档",IF(J263&lt;=5,"中位OAV≤5；低档须低于中位浓度","低档需预试确认与中档可区分")))</x:f>
        <x:v>待定</x:v>
      </x:c>
    </x:row>
    <x:row r="264" ht="23" customHeight="1">
      <x:c r="A264" s="1" t="n">
        <x:f>'浓度与阈值来源'!A264</x:f>
        <x:v>259</x:v>
      </x:c>
      <x:c r="B264" s="1" t="str">
        <x:f>IF('浓度与阈值来源'!B264="","",'浓度与阈值来源'!B264)</x:f>
        <x:v>2-壬烯-4-酮</x:v>
      </x:c>
      <x:c r="C264" s="1" t="str">
        <x:f>IF('浓度与阈值来源'!C264="","",'浓度与阈值来源'!C264)</x:f>
        <x:v>27743-70-0</x:v>
      </x:c>
      <x:c r="D264" s="1" t="str">
        <x:v>2-Nonen-4-one</x:v>
      </x:c>
      <x:c r="E264" s="5" t="str">
        <x:f>IF('浓度与阈值来源'!D264&gt;0,'浓度与阈值来源'!D264,"")</x:f>
      </x:c>
      <x:c r="F264" s="6" t="n">
        <x:f>COUNT('浓度与阈值来源'!E264:DM264)</x:f>
        <x:v>3</x:v>
      </x:c>
      <x:c r="G264" s="5" t="n">
        <x:f>IF(F264=0,"",MAX('浓度与阈值来源'!E264:DM264))</x:f>
        <x:v>185</x:v>
      </x:c>
      <x:c r="H264" s="5" t="n">
        <x:f>IF(F264=0,"",MEDIAN('浓度与阈值来源'!E264:DM264))</x:f>
        <x:v>158</x:v>
      </x:c>
      <x:c r="I264" s="7" t="str">
        <x:f>IF(AND(ISNUMBER(E264),E264&gt;0,F264&gt;0),G264/E264,"")</x:f>
      </x:c>
      <x:c r="J264" s="7" t="str">
        <x:f>IF(AND(ISNUMBER(E264),E264&gt;0,F264&gt;0),H264/E264,"")</x:f>
      </x:c>
      <x:c r="K264" s="1" t="str">
        <x:f>IF(F264=0,"无浓度数据",IF(E264="","缺周表阈值","可计算"))</x:f>
        <x:v>缺周表阈值</x:v>
      </x:c>
      <x:c r="L264" s="1" t="str">
        <x:f>IF(NOT(ISNUMBER(J264)),"待定",IF(J264&gt;50,"骨架成分",IF(J264&gt;=2,"重要成分","两档成分")))</x:f>
        <x:v>待定</x:v>
      </x:c>
      <x:c r="M264" s="1" t="str">
        <x:f>IF(NOT(ISNUMBER(J264)),"",IF(J264&gt;=2,3,2))</x:f>
      </x:c>
      <x:c r="N264" s="1" t="str">
        <x:f>IF(NOT(ISNUMBER(J264)),"缺少可算OAV",IF(J264&gt;=2,"最大值、中位值、低值待校准","最大值、中位值"))</x:f>
        <x:v>缺少可算OAV</x:v>
      </x:c>
      <x:c r="O264" s="1" t="str">
        <x:f>IF(NOT(ISNUMBER(J264)),"待定",IF(J264&lt;2,"不设第三档",IF(J264&lt;=5,"中位OAV≤5；低档须低于中位浓度","低档需预试确认与中档可区分")))</x:f>
        <x:v>待定</x:v>
      </x:c>
    </x:row>
    <x:row r="265" ht="23" customHeight="1">
      <x:c r="A265" s="1" t="n">
        <x:f>'浓度与阈值来源'!A265</x:f>
        <x:v>260</x:v>
      </x:c>
      <x:c r="B265" s="1" t="str">
        <x:f>IF('浓度与阈值来源'!B265="","",'浓度与阈值来源'!B265)</x:f>
      </x:c>
      <x:c r="C265" s="1" t="str">
        <x:f>IF('浓度与阈值来源'!C265="","",'浓度与阈值来源'!C265)</x:f>
        <x:v>28267-29-0</x:v>
      </x:c>
      <x:c r="D265" s="1" t="str">
        <x:v>Ethyl tridecanoate</x:v>
      </x:c>
      <x:c r="E265" s="5" t="str">
        <x:f>IF('浓度与阈值来源'!D265&gt;0,'浓度与阈值来源'!D265,"")</x:f>
      </x:c>
      <x:c r="F265" s="6" t="n">
        <x:f>COUNT('浓度与阈值来源'!E265:DM265)</x:f>
        <x:v>6</x:v>
      </x:c>
      <x:c r="G265" s="5" t="n">
        <x:f>IF(F265=0,"",MAX('浓度与阈值来源'!E265:DM265))</x:f>
        <x:v>1067</x:v>
      </x:c>
      <x:c r="H265" s="5" t="n">
        <x:f>IF(F265=0,"",MEDIAN('浓度与阈值来源'!E265:DM265))</x:f>
        <x:v>804</x:v>
      </x:c>
      <x:c r="I265" s="7" t="str">
        <x:f>IF(AND(ISNUMBER(E265),E265&gt;0,F265&gt;0),G265/E265,"")</x:f>
      </x:c>
      <x:c r="J265" s="7" t="str">
        <x:f>IF(AND(ISNUMBER(E265),E265&gt;0,F265&gt;0),H265/E265,"")</x:f>
      </x:c>
      <x:c r="K265" s="1" t="str">
        <x:f>IF(F265=0,"无浓度数据",IF(E265="","缺周表阈值","可计算"))</x:f>
        <x:v>缺周表阈值</x:v>
      </x:c>
      <x:c r="L265" s="1" t="str">
        <x:f>IF(NOT(ISNUMBER(J265)),"待定",IF(J265&gt;50,"骨架成分",IF(J265&gt;=2,"重要成分","两档成分")))</x:f>
        <x:v>待定</x:v>
      </x:c>
      <x:c r="M265" s="1" t="str">
        <x:f>IF(NOT(ISNUMBER(J265)),"",IF(J265&gt;=2,3,2))</x:f>
      </x:c>
      <x:c r="N265" s="1" t="str">
        <x:f>IF(NOT(ISNUMBER(J265)),"缺少可算OAV",IF(J265&gt;=2,"最大值、中位值、低值待校准","最大值、中位值"))</x:f>
        <x:v>缺少可算OAV</x:v>
      </x:c>
      <x:c r="O265" s="1" t="str">
        <x:f>IF(NOT(ISNUMBER(J265)),"待定",IF(J265&lt;2,"不设第三档",IF(J265&lt;=5,"中位OAV≤5；低档须低于中位浓度","低档需预试确认与中档可区分")))</x:f>
        <x:v>待定</x:v>
      </x:c>
    </x:row>
    <x:row r="266" ht="23" customHeight="1">
      <x:c r="A266" s="1" t="n">
        <x:f>'浓度与阈值来源'!A266</x:f>
        <x:v>261</x:v>
      </x:c>
      <x:c r="B266" s="1" t="str">
        <x:f>IF('浓度与阈值来源'!B266="","",'浓度与阈值来源'!B266)</x:f>
      </x:c>
      <x:c r="C266" s="1" t="str">
        <x:f>IF('浓度与阈值来源'!C266="","",'浓度与阈值来源'!C266)</x:f>
        <x:v>34764-02-8</x:v>
      </x:c>
      <x:c r="D266" s="1" t="str">
        <x:v>Decane, 1,1-diethoxy-</x:v>
      </x:c>
      <x:c r="E266" s="5" t="str">
        <x:f>IF('浓度与阈值来源'!D266&gt;0,'浓度与阈值来源'!D266,"")</x:f>
      </x:c>
      <x:c r="F266" s="6" t="n">
        <x:f>COUNT('浓度与阈值来源'!E266:DM266)</x:f>
        <x:v>6</x:v>
      </x:c>
      <x:c r="G266" s="5" t="n">
        <x:f>IF(F266=0,"",MAX('浓度与阈值来源'!E266:DM266))</x:f>
        <x:v>837</x:v>
      </x:c>
      <x:c r="H266" s="5" t="n">
        <x:f>IF(F266=0,"",MEDIAN('浓度与阈值来源'!E266:DM266))</x:f>
        <x:v>688</x:v>
      </x:c>
      <x:c r="I266" s="7" t="str">
        <x:f>IF(AND(ISNUMBER(E266),E266&gt;0,F266&gt;0),G266/E266,"")</x:f>
      </x:c>
      <x:c r="J266" s="7" t="str">
        <x:f>IF(AND(ISNUMBER(E266),E266&gt;0,F266&gt;0),H266/E266,"")</x:f>
      </x:c>
      <x:c r="K266" s="1" t="str">
        <x:f>IF(F266=0,"无浓度数据",IF(E266="","缺周表阈值","可计算"))</x:f>
        <x:v>缺周表阈值</x:v>
      </x:c>
      <x:c r="L266" s="1" t="str">
        <x:f>IF(NOT(ISNUMBER(J266)),"待定",IF(J266&gt;50,"骨架成分",IF(J266&gt;=2,"重要成分","两档成分")))</x:f>
        <x:v>待定</x:v>
      </x:c>
      <x:c r="M266" s="1" t="str">
        <x:f>IF(NOT(ISNUMBER(J266)),"",IF(J266&gt;=2,3,2))</x:f>
      </x:c>
      <x:c r="N266" s="1" t="str">
        <x:f>IF(NOT(ISNUMBER(J266)),"缺少可算OAV",IF(J266&gt;=2,"最大值、中位值、低值待校准","最大值、中位值"))</x:f>
        <x:v>缺少可算OAV</x:v>
      </x:c>
      <x:c r="O266" s="1" t="str">
        <x:f>IF(NOT(ISNUMBER(J266)),"待定",IF(J266&lt;2,"不设第三档",IF(J266&lt;=5,"中位OAV≤5；低档须低于中位浓度","低档需预试确认与中档可区分")))</x:f>
        <x:v>待定</x:v>
      </x:c>
    </x:row>
    <x:row r="267" ht="23" customHeight="1">
      <x:c r="A267" s="1" t="n">
        <x:f>'浓度与阈值来源'!A267</x:f>
        <x:v>262</x:v>
      </x:c>
      <x:c r="B267" s="1" t="str">
        <x:f>IF('浓度与阈值来源'!B267="","",'浓度与阈值来源'!B267)</x:f>
        <x:v>己酸糠酯</x:v>
      </x:c>
      <x:c r="C267" s="1" t="str">
        <x:f>IF('浓度与阈值来源'!C267="","",'浓度与阈值来源'!C267)</x:f>
        <x:v>39252-02-3</x:v>
      </x:c>
      <x:c r="D267" s="1" t="str">
        <x:v>Furfuryl hexanoate</x:v>
      </x:c>
      <x:c r="E267" s="5" t="str">
        <x:f>IF('浓度与阈值来源'!D267&gt;0,'浓度与阈值来源'!D267,"")</x:f>
      </x:c>
      <x:c r="F267" s="6" t="n">
        <x:f>COUNT('浓度与阈值来源'!E267:DM267)</x:f>
        <x:v>3</x:v>
      </x:c>
      <x:c r="G267" s="5" t="n">
        <x:f>IF(F267=0,"",MAX('浓度与阈值来源'!E267:DM267))</x:f>
        <x:v>650</x:v>
      </x:c>
      <x:c r="H267" s="5" t="n">
        <x:f>IF(F267=0,"",MEDIAN('浓度与阈值来源'!E267:DM267))</x:f>
        <x:v>356</x:v>
      </x:c>
      <x:c r="I267" s="7" t="str">
        <x:f>IF(AND(ISNUMBER(E267),E267&gt;0,F267&gt;0),G267/E267,"")</x:f>
      </x:c>
      <x:c r="J267" s="7" t="str">
        <x:f>IF(AND(ISNUMBER(E267),E267&gt;0,F267&gt;0),H267/E267,"")</x:f>
      </x:c>
      <x:c r="K267" s="1" t="str">
        <x:f>IF(F267=0,"无浓度数据",IF(E267="","缺周表阈值","可计算"))</x:f>
        <x:v>缺周表阈值</x:v>
      </x:c>
      <x:c r="L267" s="1" t="str">
        <x:f>IF(NOT(ISNUMBER(J267)),"待定",IF(J267&gt;50,"骨架成分",IF(J267&gt;=2,"重要成分","两档成分")))</x:f>
        <x:v>待定</x:v>
      </x:c>
      <x:c r="M267" s="1" t="str">
        <x:f>IF(NOT(ISNUMBER(J267)),"",IF(J267&gt;=2,3,2))</x:f>
      </x:c>
      <x:c r="N267" s="1" t="str">
        <x:f>IF(NOT(ISNUMBER(J267)),"缺少可算OAV",IF(J267&gt;=2,"最大值、中位值、低值待校准","最大值、中位值"))</x:f>
        <x:v>缺少可算OAV</x:v>
      </x:c>
      <x:c r="O267" s="1" t="str">
        <x:f>IF(NOT(ISNUMBER(J267)),"待定",IF(J267&lt;2,"不设第三档",IF(J267&lt;=5,"中位OAV≤5；低档须低于中位浓度","低档需预试确认与中档可区分")))</x:f>
        <x:v>待定</x:v>
      </x:c>
    </x:row>
    <x:row r="268" ht="23" customHeight="1">
      <x:c r="A268" s="1" t="n">
        <x:f>'浓度与阈值来源'!A268</x:f>
        <x:v>263</x:v>
      </x:c>
      <x:c r="B268" s="1" t="str">
        <x:f>IF('浓度与阈值来源'!B268="","",'浓度与阈值来源'!B268)</x:f>
      </x:c>
      <x:c r="C268" s="1" t="str">
        <x:f>IF('浓度与阈值来源'!C268="","",'浓度与阈值来源'!C268)</x:f>
        <x:v>41114-00-5</x:v>
      </x:c>
      <x:c r="D268" s="1" t="str">
        <x:v>Ethyl pentadecanoate</x:v>
      </x:c>
      <x:c r="E268" s="5" t="str">
        <x:f>IF('浓度与阈值来源'!D268&gt;0,'浓度与阈值来源'!D268,"")</x:f>
      </x:c>
      <x:c r="F268" s="6" t="n">
        <x:f>COUNT('浓度与阈值来源'!E268:DM268)</x:f>
        <x:v>10</x:v>
      </x:c>
      <x:c r="G268" s="5" t="n">
        <x:f>IF(F268=0,"",MAX('浓度与阈值来源'!E268:DM268))</x:f>
        <x:v>3340</x:v>
      </x:c>
      <x:c r="H268" s="5" t="n">
        <x:f>IF(F268=0,"",MEDIAN('浓度与阈值来源'!E268:DM268))</x:f>
        <x:v>2027</x:v>
      </x:c>
      <x:c r="I268" s="7" t="str">
        <x:f>IF(AND(ISNUMBER(E268),E268&gt;0,F268&gt;0),G268/E268,"")</x:f>
      </x:c>
      <x:c r="J268" s="7" t="str">
        <x:f>IF(AND(ISNUMBER(E268),E268&gt;0,F268&gt;0),H268/E268,"")</x:f>
      </x:c>
      <x:c r="K268" s="1" t="str">
        <x:f>IF(F268=0,"无浓度数据",IF(E268="","缺周表阈值","可计算"))</x:f>
        <x:v>缺周表阈值</x:v>
      </x:c>
      <x:c r="L268" s="1" t="str">
        <x:f>IF(NOT(ISNUMBER(J268)),"待定",IF(J268&gt;50,"骨架成分",IF(J268&gt;=2,"重要成分","两档成分")))</x:f>
        <x:v>待定</x:v>
      </x:c>
      <x:c r="M268" s="1" t="str">
        <x:f>IF(NOT(ISNUMBER(J268)),"",IF(J268&gt;=2,3,2))</x:f>
      </x:c>
      <x:c r="N268" s="1" t="str">
        <x:f>IF(NOT(ISNUMBER(J268)),"缺少可算OAV",IF(J268&gt;=2,"最大值、中位值、低值待校准","最大值、中位值"))</x:f>
        <x:v>缺少可算OAV</x:v>
      </x:c>
      <x:c r="O268" s="1" t="str">
        <x:f>IF(NOT(ISNUMBER(J268)),"待定",IF(J268&lt;2,"不设第三档",IF(J268&lt;=5,"中位OAV≤5；低档须低于中位浓度","低档需预试确认与中档可区分")))</x:f>
        <x:v>待定</x:v>
      </x:c>
    </x:row>
    <x:row r="269" ht="23" customHeight="1">
      <x:c r="A269" s="1" t="n">
        <x:f>'浓度与阈值来源'!A269</x:f>
        <x:v>264</x:v>
      </x:c>
      <x:c r="B269" s="1" t="str">
        <x:f>IF('浓度与阈值来源'!B269="","",'浓度与阈值来源'!B269)</x:f>
        <x:v>2-羟基己酸乙酯a</x:v>
      </x:c>
      <x:c r="C269" s="1" t="str">
        <x:f>IF('浓度与阈值来源'!C269="","",'浓度与阈值来源'!C269)</x:f>
        <x:v>52089-55-1</x:v>
      </x:c>
      <x:c r="D269" s="1"/>
      <x:c r="E269" s="5" t="str">
        <x:f>IF('浓度与阈值来源'!D269&gt;0,'浓度与阈值来源'!D269,"")</x:f>
      </x:c>
      <x:c r="F269" s="6" t="n">
        <x:f>COUNT('浓度与阈值来源'!E269:DM269)</x:f>
        <x:v>31</x:v>
      </x:c>
      <x:c r="G269" s="5" t="n">
        <x:f>IF(F269=0,"",MAX('浓度与阈值来源'!E269:DM269))</x:f>
        <x:v>4110.58</x:v>
      </x:c>
      <x:c r="H269" s="5" t="n">
        <x:f>IF(F269=0,"",MEDIAN('浓度与阈值来源'!E269:DM269))</x:f>
        <x:v>44.94</x:v>
      </x:c>
      <x:c r="I269" s="7" t="str">
        <x:f>IF(AND(ISNUMBER(E269),E269&gt;0,F269&gt;0),G269/E269,"")</x:f>
      </x:c>
      <x:c r="J269" s="7" t="str">
        <x:f>IF(AND(ISNUMBER(E269),E269&gt;0,F269&gt;0),H269/E269,"")</x:f>
      </x:c>
      <x:c r="K269" s="1" t="str">
        <x:f>IF(F269=0,"无浓度数据",IF(E269="","缺周表阈值","可计算"))</x:f>
        <x:v>缺周表阈值</x:v>
      </x:c>
      <x:c r="L269" s="1" t="str">
        <x:f>IF(NOT(ISNUMBER(J269)),"待定",IF(J269&gt;50,"骨架成分",IF(J269&gt;=2,"重要成分","两档成分")))</x:f>
        <x:v>待定</x:v>
      </x:c>
      <x:c r="M269" s="1" t="str">
        <x:f>IF(NOT(ISNUMBER(J269)),"",IF(J269&gt;=2,3,2))</x:f>
      </x:c>
      <x:c r="N269" s="1" t="str">
        <x:f>IF(NOT(ISNUMBER(J269)),"缺少可算OAV",IF(J269&gt;=2,"最大值、中位值、低值待校准","最大值、中位值"))</x:f>
        <x:v>缺少可算OAV</x:v>
      </x:c>
      <x:c r="O269" s="1" t="str">
        <x:f>IF(NOT(ISNUMBER(J269)),"待定",IF(J269&lt;2,"不设第三档",IF(J269&lt;=5,"中位OAV≤5；低档须低于中位浓度","低档需预试确认与中档可区分")))</x:f>
        <x:v>待定</x:v>
      </x:c>
    </x:row>
    <x:row r="270" ht="23" customHeight="1">
      <x:c r="A270" s="1" t="n">
        <x:f>'浓度与阈值来源'!A270</x:f>
        <x:v>265</x:v>
      </x:c>
      <x:c r="B270" s="1" t="str">
        <x:f>IF('浓度与阈值来源'!B270="","",'浓度与阈值来源'!B270)</x:f>
      </x:c>
      <x:c r="C270" s="1" t="str">
        <x:f>IF('浓度与阈值来源'!C270="","",'浓度与阈值来源'!C270)</x:f>
        <x:v>54546-22-4</x:v>
      </x:c>
      <x:c r="D270" s="1" t="str">
        <x:v>Ethyl 9-hexadecenoate</x:v>
      </x:c>
      <x:c r="E270" s="5" t="str">
        <x:f>IF('浓度与阈值来源'!D270&gt;0,'浓度与阈值来源'!D270,"")</x:f>
      </x:c>
      <x:c r="F270" s="6" t="n">
        <x:f>COUNT('浓度与阈值来源'!E270:DM270)</x:f>
        <x:v>8</x:v>
      </x:c>
      <x:c r="G270" s="5" t="n">
        <x:f>IF(F270=0,"",MAX('浓度与阈值来源'!E270:DM270))</x:f>
        <x:v>9645</x:v>
      </x:c>
      <x:c r="H270" s="5" t="n">
        <x:f>IF(F270=0,"",MEDIAN('浓度与阈值来源'!E270:DM270))</x:f>
        <x:v>6027</x:v>
      </x:c>
      <x:c r="I270" s="7" t="str">
        <x:f>IF(AND(ISNUMBER(E270),E270&gt;0,F270&gt;0),G270/E270,"")</x:f>
      </x:c>
      <x:c r="J270" s="7" t="str">
        <x:f>IF(AND(ISNUMBER(E270),E270&gt;0,F270&gt;0),H270/E270,"")</x:f>
      </x:c>
      <x:c r="K270" s="1" t="str">
        <x:f>IF(F270=0,"无浓度数据",IF(E270="","缺周表阈值","可计算"))</x:f>
        <x:v>缺周表阈值</x:v>
      </x:c>
      <x:c r="L270" s="1" t="str">
        <x:f>IF(NOT(ISNUMBER(J270)),"待定",IF(J270&gt;50,"骨架成分",IF(J270&gt;=2,"重要成分","两档成分")))</x:f>
        <x:v>待定</x:v>
      </x:c>
      <x:c r="M270" s="1" t="str">
        <x:f>IF(NOT(ISNUMBER(J270)),"",IF(J270&gt;=2,3,2))</x:f>
      </x:c>
      <x:c r="N270" s="1" t="str">
        <x:f>IF(NOT(ISNUMBER(J270)),"缺少可算OAV",IF(J270&gt;=2,"最大值、中位值、低值待校准","最大值、中位值"))</x:f>
        <x:v>缺少可算OAV</x:v>
      </x:c>
      <x:c r="O270" s="1" t="str">
        <x:f>IF(NOT(ISNUMBER(J270)),"待定",IF(J270&lt;2,"不设第三档",IF(J270&lt;=5,"中位OAV≤5；低档须低于中位浓度","低档需预试确认与中档可区分")))</x:f>
        <x:v>待定</x:v>
      </x:c>
    </x:row>
    <x:row r="271" ht="23" customHeight="1">
      <x:c r="A271" s="1" t="n">
        <x:f>'浓度与阈值来源'!A271</x:f>
        <x:v>266</x:v>
      </x:c>
      <x:c r="B271" s="1" t="str">
        <x:f>IF('浓度与阈值来源'!B271="","",'浓度与阈值来源'!B271)</x:f>
      </x:c>
      <x:c r="C271" s="1" t="str">
        <x:f>IF('浓度与阈值来源'!C271="","",'浓度与阈值来源'!C271)</x:f>
        <x:v>54815-13-3</x:v>
      </x:c>
      <x:c r="D271" s="1" t="str">
        <x:v>1,1-diethoxynonane</x:v>
      </x:c>
      <x:c r="E271" s="5" t="str">
        <x:f>IF('浓度与阈值来源'!D271&gt;0,'浓度与阈值来源'!D271,"")</x:f>
      </x:c>
      <x:c r="F271" s="6" t="n">
        <x:f>COUNT('浓度与阈值来源'!E271:DM271)</x:f>
        <x:v>9</x:v>
      </x:c>
      <x:c r="G271" s="5" t="n">
        <x:f>IF(F271=0,"",MAX('浓度与阈值来源'!E271:DM271))</x:f>
        <x:v>3626</x:v>
      </x:c>
      <x:c r="H271" s="5" t="n">
        <x:f>IF(F271=0,"",MEDIAN('浓度与阈值来源'!E271:DM271))</x:f>
        <x:v>2759</x:v>
      </x:c>
      <x:c r="I271" s="7" t="str">
        <x:f>IF(AND(ISNUMBER(E271),E271&gt;0,F271&gt;0),G271/E271,"")</x:f>
      </x:c>
      <x:c r="J271" s="7" t="str">
        <x:f>IF(AND(ISNUMBER(E271),E271&gt;0,F271&gt;0),H271/E271,"")</x:f>
      </x:c>
      <x:c r="K271" s="1" t="str">
        <x:f>IF(F271=0,"无浓度数据",IF(E271="","缺周表阈值","可计算"))</x:f>
        <x:v>缺周表阈值</x:v>
      </x:c>
      <x:c r="L271" s="1" t="str">
        <x:f>IF(NOT(ISNUMBER(J271)),"待定",IF(J271&gt;50,"骨架成分",IF(J271&gt;=2,"重要成分","两档成分")))</x:f>
        <x:v>待定</x:v>
      </x:c>
      <x:c r="M271" s="1" t="str">
        <x:f>IF(NOT(ISNUMBER(J271)),"",IF(J271&gt;=2,3,2))</x:f>
      </x:c>
      <x:c r="N271" s="1" t="str">
        <x:f>IF(NOT(ISNUMBER(J271)),"缺少可算OAV",IF(J271&gt;=2,"最大值、中位值、低值待校准","最大值、中位值"))</x:f>
        <x:v>缺少可算OAV</x:v>
      </x:c>
      <x:c r="O271" s="1" t="str">
        <x:f>IF(NOT(ISNUMBER(J271)),"待定",IF(J271&lt;2,"不设第三档",IF(J271&lt;=5,"中位OAV≤5；低档须低于中位浓度","低档需预试确认与中档可区分")))</x:f>
        <x:v>待定</x:v>
      </x:c>
    </x:row>
    <x:row r="272" ht="23" customHeight="1">
      <x:c r="A272" s="1" t="n">
        <x:f>'浓度与阈值来源'!A272</x:f>
        <x:v>267</x:v>
      </x:c>
      <x:c r="B272" s="1" t="str">
        <x:f>IF('浓度与阈值来源'!B272="","",'浓度与阈值来源'!B272)</x:f>
      </x:c>
      <x:c r="C272" s="1" t="str">
        <x:f>IF('浓度与阈值来源'!C272="","",'浓度与阈值来源'!C272)</x:f>
        <x:v>57274-46-1</x:v>
      </x:c>
      <x:c r="D272" s="1" t="str">
        <x:v>Ethyl 15-methylheptadecanoate</x:v>
      </x:c>
      <x:c r="E272" s="5" t="str">
        <x:f>IF('浓度与阈值来源'!D272&gt;0,'浓度与阈值来源'!D272,"")</x:f>
      </x:c>
      <x:c r="F272" s="6" t="n">
        <x:f>COUNT('浓度与阈值来源'!E272:DM272)</x:f>
        <x:v>6</x:v>
      </x:c>
      <x:c r="G272" s="5" t="n">
        <x:f>IF(F272=0,"",MAX('浓度与阈值来源'!E272:DM272))</x:f>
        <x:v>629</x:v>
      </x:c>
      <x:c r="H272" s="5" t="n">
        <x:f>IF(F272=0,"",MEDIAN('浓度与阈值来源'!E272:DM272))</x:f>
        <x:v>265</x:v>
      </x:c>
      <x:c r="I272" s="7" t="str">
        <x:f>IF(AND(ISNUMBER(E272),E272&gt;0,F272&gt;0),G272/E272,"")</x:f>
      </x:c>
      <x:c r="J272" s="7" t="str">
        <x:f>IF(AND(ISNUMBER(E272),E272&gt;0,F272&gt;0),H272/E272,"")</x:f>
      </x:c>
      <x:c r="K272" s="1" t="str">
        <x:f>IF(F272=0,"无浓度数据",IF(E272="","缺周表阈值","可计算"))</x:f>
        <x:v>缺周表阈值</x:v>
      </x:c>
      <x:c r="L272" s="1" t="str">
        <x:f>IF(NOT(ISNUMBER(J272)),"待定",IF(J272&gt;50,"骨架成分",IF(J272&gt;=2,"重要成分","两档成分")))</x:f>
        <x:v>待定</x:v>
      </x:c>
      <x:c r="M272" s="1" t="str">
        <x:f>IF(NOT(ISNUMBER(J272)),"",IF(J272&gt;=2,3,2))</x:f>
      </x:c>
      <x:c r="N272" s="1" t="str">
        <x:f>IF(NOT(ISNUMBER(J272)),"缺少可算OAV",IF(J272&gt;=2,"最大值、中位值、低值待校准","最大值、中位值"))</x:f>
        <x:v>缺少可算OAV</x:v>
      </x:c>
      <x:c r="O272" s="1" t="str">
        <x:f>IF(NOT(ISNUMBER(J272)),"待定",IF(J272&lt;2,"不设第三档",IF(J272&lt;=5,"中位OAV≤5；低档须低于中位浓度","低档需预试确认与中档可区分")))</x:f>
        <x:v>待定</x:v>
      </x:c>
    </x:row>
    <x:row r="273" ht="23" customHeight="1">
      <x:c r="A273" s="1" t="n">
        <x:f>'浓度与阈值来源'!A273</x:f>
        <x:v>268</x:v>
      </x:c>
      <x:c r="B273" s="1" t="str">
        <x:f>IF('浓度与阈值来源'!B273="","",'浓度与阈值来源'!B273)</x:f>
      </x:c>
      <x:c r="C273" s="1" t="str">
        <x:f>IF('浓度与阈值来源'!C273="","",'浓度与阈值来源'!C273)</x:f>
        <x:v>60415-61-4</x:v>
      </x:c>
      <x:c r="D273" s="1"/>
      <x:c r="E273" s="5" t="str">
        <x:f>IF('浓度与阈值来源'!D273&gt;0,'浓度与阈值来源'!D273,"")</x:f>
      </x:c>
      <x:c r="F273" s="6" t="n">
        <x:f>COUNT('浓度与阈值来源'!E273:DM273)</x:f>
        <x:v>1</x:v>
      </x:c>
      <x:c r="G273" s="5" t="n">
        <x:f>IF(F273=0,"",MAX('浓度与阈值来源'!E273:DM273))</x:f>
        <x:v>0.25</x:v>
      </x:c>
      <x:c r="H273" s="5" t="n">
        <x:f>IF(F273=0,"",MEDIAN('浓度与阈值来源'!E273:DM273))</x:f>
        <x:v>0.25</x:v>
      </x:c>
      <x:c r="I273" s="7" t="str">
        <x:f>IF(AND(ISNUMBER(E273),E273&gt;0,F273&gt;0),G273/E273,"")</x:f>
      </x:c>
      <x:c r="J273" s="7" t="str">
        <x:f>IF(AND(ISNUMBER(E273),E273&gt;0,F273&gt;0),H273/E273,"")</x:f>
      </x:c>
      <x:c r="K273" s="1" t="str">
        <x:f>IF(F273=0,"无浓度数据",IF(E273="","缺周表阈值","可计算"))</x:f>
        <x:v>缺周表阈值</x:v>
      </x:c>
      <x:c r="L273" s="1" t="str">
        <x:f>IF(NOT(ISNUMBER(J273)),"待定",IF(J273&gt;50,"骨架成分",IF(J273&gt;=2,"重要成分","两档成分")))</x:f>
        <x:v>待定</x:v>
      </x:c>
      <x:c r="M273" s="1" t="str">
        <x:f>IF(NOT(ISNUMBER(J273)),"",IF(J273&gt;=2,3,2))</x:f>
      </x:c>
      <x:c r="N273" s="1" t="str">
        <x:f>IF(NOT(ISNUMBER(J273)),"缺少可算OAV",IF(J273&gt;=2,"最大值、中位值、低值待校准","最大值、中位值"))</x:f>
        <x:v>缺少可算OAV</x:v>
      </x:c>
      <x:c r="O273" s="1" t="str">
        <x:f>IF(NOT(ISNUMBER(J273)),"待定",IF(J273&lt;2,"不设第三档",IF(J273&lt;=5,"中位OAV≤5；低档须低于中位浓度","低档需预试确认与中档可区分")))</x:f>
        <x:v>待定</x:v>
      </x:c>
    </x:row>
    <x:row r="274" ht="23" customHeight="1">
      <x:c r="A274" s="1" t="n">
        <x:f>'浓度与阈值来源'!A274</x:f>
        <x:v>269</x:v>
      </x:c>
      <x:c r="B274" s="1" t="str">
        <x:f>IF('浓度与阈值来源'!B274="","",'浓度与阈值来源'!B274)</x:f>
      </x:c>
      <x:c r="C274" s="1" t="str">
        <x:f>IF('浓度与阈值来源'!C274="","",'浓度与阈值来源'!C274)</x:f>
        <x:v>75039-84-8</x:v>
      </x:c>
      <x:c r="D274" s="1"/>
      <x:c r="E274" s="5" t="str">
        <x:f>IF('浓度与阈值来源'!D274&gt;0,'浓度与阈值来源'!D274,"")</x:f>
      </x:c>
      <x:c r="F274" s="6" t="n">
        <x:f>COUNT('浓度与阈值来源'!E274:DM274)</x:f>
        <x:v>1</x:v>
      </x:c>
      <x:c r="G274" s="5" t="n">
        <x:f>IF(F274=0,"",MAX('浓度与阈值来源'!E274:DM274))</x:f>
        <x:v>0.42</x:v>
      </x:c>
      <x:c r="H274" s="5" t="n">
        <x:f>IF(F274=0,"",MEDIAN('浓度与阈值来源'!E274:DM274))</x:f>
        <x:v>0.42</x:v>
      </x:c>
      <x:c r="I274" s="7" t="str">
        <x:f>IF(AND(ISNUMBER(E274),E274&gt;0,F274&gt;0),G274/E274,"")</x:f>
      </x:c>
      <x:c r="J274" s="7" t="str">
        <x:f>IF(AND(ISNUMBER(E274),E274&gt;0,F274&gt;0),H274/E274,"")</x:f>
      </x:c>
      <x:c r="K274" s="1" t="str">
        <x:f>IF(F274=0,"无浓度数据",IF(E274="","缺周表阈值","可计算"))</x:f>
        <x:v>缺周表阈值</x:v>
      </x:c>
      <x:c r="L274" s="1" t="str">
        <x:f>IF(NOT(ISNUMBER(J274)),"待定",IF(J274&gt;50,"骨架成分",IF(J274&gt;=2,"重要成分","两档成分")))</x:f>
        <x:v>待定</x:v>
      </x:c>
      <x:c r="M274" s="1" t="str">
        <x:f>IF(NOT(ISNUMBER(J274)),"",IF(J274&gt;=2,3,2))</x:f>
      </x:c>
      <x:c r="N274" s="1" t="str">
        <x:f>IF(NOT(ISNUMBER(J274)),"缺少可算OAV",IF(J274&gt;=2,"最大值、中位值、低值待校准","最大值、中位值"))</x:f>
        <x:v>缺少可算OAV</x:v>
      </x:c>
      <x:c r="O274" s="1" t="str">
        <x:f>IF(NOT(ISNUMBER(J274)),"待定",IF(J274&lt;2,"不设第三档",IF(J274&lt;=5,"中位OAV≤5；低档须低于中位浓度","低档需预试确认与中档可区分")))</x:f>
        <x:v>待定</x:v>
      </x:c>
    </x:row>
    <x:row r="275" ht="23" customHeight="1">
      <x:c r="A275" s="1" t="n">
        <x:f>'浓度与阈值来源'!A275</x:f>
        <x:v>270</x:v>
      </x:c>
      <x:c r="B275" s="1" t="str">
        <x:f>IF('浓度与阈值来源'!B275="","",'浓度与阈值来源'!B275)</x:f>
        <x:v>反-4-癸烯酸乙酯</x:v>
      </x:c>
      <x:c r="C275" s="1" t="str">
        <x:f>IF('浓度与阈值来源'!C275="","",'浓度与阈值来源'!C275)</x:f>
        <x:v>76649-16-6</x:v>
      </x:c>
      <x:c r="D275" s="1" t="str">
        <x:v>Ethyl 4-decenoate</x:v>
      </x:c>
      <x:c r="E275" s="5" t="n">
        <x:f>IF('浓度与阈值来源'!D275&gt;0,'浓度与阈值来源'!D275,"")</x:f>
        <x:v>8844.66</x:v>
      </x:c>
      <x:c r="F275" s="6" t="n">
        <x:f>COUNT('浓度与阈值来源'!E275:DM275)</x:f>
        <x:v>17</x:v>
      </x:c>
      <x:c r="G275" s="5" t="n">
        <x:f>IF(F275=0,"",MAX('浓度与阈值来源'!E275:DM275))</x:f>
        <x:v>516.04</x:v>
      </x:c>
      <x:c r="H275" s="5" t="n">
        <x:f>IF(F275=0,"",MEDIAN('浓度与阈值来源'!E275:DM275))</x:f>
        <x:v>281.08</x:v>
      </x:c>
      <x:c r="I275" s="7" t="n">
        <x:f>IF(AND(ISNUMBER(E275),E275&gt;0,F275&gt;0),G275/E275,"")</x:f>
        <x:v>0.05834480918429877</x:v>
      </x:c>
      <x:c r="J275" s="7" t="n">
        <x:f>IF(AND(ISNUMBER(E275),E275&gt;0,F275&gt;0),H275/E275,"")</x:f>
        <x:v>0.03177962748144078</x:v>
      </x:c>
      <x:c r="K275" s="1" t="str">
        <x:f>IF(F275=0,"无浓度数据",IF(E275="","缺周表阈值","可计算"))</x:f>
        <x:v>可计算</x:v>
      </x:c>
      <x:c r="L275" s="1" t="str">
        <x:f>IF(NOT(ISNUMBER(J275)),"待定",IF(J275&gt;50,"骨架成分",IF(J275&gt;=2,"重要成分","两档成分")))</x:f>
        <x:v>两档成分</x:v>
      </x:c>
      <x:c r="M275" s="1" t="n">
        <x:f>IF(NOT(ISNUMBER(J275)),"",IF(J275&gt;=2,3,2))</x:f>
        <x:v>2</x:v>
      </x:c>
      <x:c r="N275" s="1" t="str">
        <x:f>IF(NOT(ISNUMBER(J275)),"缺少可算OAV",IF(J275&gt;=2,"最大值、中位值、低值待校准","最大值、中位值"))</x:f>
        <x:v>最大值、中位值</x:v>
      </x:c>
      <x:c r="O275" s="1" t="str">
        <x:f>IF(NOT(ISNUMBER(J275)),"待定",IF(J275&lt;2,"不设第三档",IF(J275&lt;=5,"中位OAV≤5；低档须低于中位浓度","低档需预试确认与中档可区分")))</x:f>
        <x:v>不设第三档</x:v>
      </x:c>
    </x:row>
    <x:row r="276" ht="23" customHeight="1">
      <x:c r="A276" s="1" t="n">
        <x:f>'浓度与阈值来源'!A276</x:f>
        <x:v>271</x:v>
      </x:c>
      <x:c r="B276" s="1" t="str">
        <x:f>IF('浓度与阈值来源'!B276="","",'浓度与阈值来源'!B276)</x:f>
        <x:v>3-壬烯酸乙酯</x:v>
      </x:c>
      <x:c r="C276" s="1" t="str">
        <x:f>IF('浓度与阈值来源'!C276="","",'浓度与阈值来源'!C276)</x:f>
        <x:v>91213-30-8</x:v>
      </x:c>
      <x:c r="D276" s="1" t="str">
        <x:v>Ethyl 3-nonenoate</x:v>
      </x:c>
      <x:c r="E276" s="5" t="str">
        <x:f>IF('浓度与阈值来源'!D276&gt;0,'浓度与阈值来源'!D276,"")</x:f>
      </x:c>
      <x:c r="F276" s="6" t="n">
        <x:f>COUNT('浓度与阈值来源'!E276:DM276)</x:f>
        <x:v>6</x:v>
      </x:c>
      <x:c r="G276" s="5" t="n">
        <x:f>IF(F276=0,"",MAX('浓度与阈值来源'!E276:DM276))</x:f>
        <x:v>1691</x:v>
      </x:c>
      <x:c r="H276" s="5" t="n">
        <x:f>IF(F276=0,"",MEDIAN('浓度与阈值来源'!E276:DM276))</x:f>
        <x:v>1431</x:v>
      </x:c>
      <x:c r="I276" s="7" t="str">
        <x:f>IF(AND(ISNUMBER(E276),E276&gt;0,F276&gt;0),G276/E276,"")</x:f>
      </x:c>
      <x:c r="J276" s="7" t="str">
        <x:f>IF(AND(ISNUMBER(E276),E276&gt;0,F276&gt;0),H276/E276,"")</x:f>
      </x:c>
      <x:c r="K276" s="1" t="str">
        <x:f>IF(F276=0,"无浓度数据",IF(E276="","缺周表阈值","可计算"))</x:f>
        <x:v>缺周表阈值</x:v>
      </x:c>
      <x:c r="L276" s="1" t="str">
        <x:f>IF(NOT(ISNUMBER(J276)),"待定",IF(J276&gt;50,"骨架成分",IF(J276&gt;=2,"重要成分","两档成分")))</x:f>
        <x:v>待定</x:v>
      </x:c>
      <x:c r="M276" s="1" t="str">
        <x:f>IF(NOT(ISNUMBER(J276)),"",IF(J276&gt;=2,3,2))</x:f>
      </x:c>
      <x:c r="N276" s="1" t="str">
        <x:f>IF(NOT(ISNUMBER(J276)),"缺少可算OAV",IF(J276&gt;=2,"最大值、中位值、低值待校准","最大值、中位值"))</x:f>
        <x:v>缺少可算OAV</x:v>
      </x:c>
      <x:c r="O276" s="1" t="str">
        <x:f>IF(NOT(ISNUMBER(J276)),"待定",IF(J276&lt;2,"不设第三档",IF(J276&lt;=5,"中位OAV≤5；低档须低于中位浓度","低档需预试确认与中档可区分")))</x:f>
        <x:v>待定</x:v>
      </x:c>
    </x:row>
    <x:row r="277" ht="23" customHeight="1">
      <x:c r="A277" s="1" t="n">
        <x:f>'浓度与阈值来源'!A277</x:f>
        <x:v>272</x:v>
      </x:c>
      <x:c r="B277" s="1" t="str">
        <x:f>IF('浓度与阈值来源'!B277="","",'浓度与阈值来源'!B277)</x:f>
      </x:c>
      <x:c r="C277" s="1" t="str">
        <x:f>IF('浓度与阈值来源'!C277="","",'浓度与阈值来源'!C277)</x:f>
      </x:c>
      <x:c r="D277" s="1" t="str">
        <x:v>(E)-2-Octenal</x:v>
      </x:c>
      <x:c r="E277" s="5" t="str">
        <x:f>IF('浓度与阈值来源'!D277&gt;0,'浓度与阈值来源'!D277,"")</x:f>
      </x:c>
      <x:c r="F277" s="6" t="n">
        <x:f>COUNT('浓度与阈值来源'!E277:DM277)</x:f>
        <x:v>2</x:v>
      </x:c>
      <x:c r="G277" s="5" t="n">
        <x:f>IF(F277=0,"",MAX('浓度与阈值来源'!E277:DM277))</x:f>
        <x:v>2</x:v>
      </x:c>
      <x:c r="H277" s="5" t="n">
        <x:f>IF(F277=0,"",MEDIAN('浓度与阈值来源'!E277:DM277))</x:f>
        <x:v>2</x:v>
      </x:c>
      <x:c r="I277" s="7" t="str">
        <x:f>IF(AND(ISNUMBER(E277),E277&gt;0,F277&gt;0),G277/E277,"")</x:f>
      </x:c>
      <x:c r="J277" s="7" t="str">
        <x:f>IF(AND(ISNUMBER(E277),E277&gt;0,F277&gt;0),H277/E277,"")</x:f>
      </x:c>
      <x:c r="K277" s="1" t="str">
        <x:f>IF(F277=0,"无浓度数据",IF(E277="","缺周表阈值","可计算"))</x:f>
        <x:v>缺周表阈值</x:v>
      </x:c>
      <x:c r="L277" s="1" t="str">
        <x:f>IF(NOT(ISNUMBER(J277)),"待定",IF(J277&gt;50,"骨架成分",IF(J277&gt;=2,"重要成分","两档成分")))</x:f>
        <x:v>待定</x:v>
      </x:c>
      <x:c r="M277" s="1" t="str">
        <x:f>IF(NOT(ISNUMBER(J277)),"",IF(J277&gt;=2,3,2))</x:f>
      </x:c>
      <x:c r="N277" s="1" t="str">
        <x:f>IF(NOT(ISNUMBER(J277)),"缺少可算OAV",IF(J277&gt;=2,"最大值、中位值、低值待校准","最大值、中位值"))</x:f>
        <x:v>缺少可算OAV</x:v>
      </x:c>
      <x:c r="O277" s="1" t="str">
        <x:f>IF(NOT(ISNUMBER(J277)),"待定",IF(J277&lt;2,"不设第三档",IF(J277&lt;=5,"中位OAV≤5；低档须低于中位浓度","低档需预试确认与中档可区分")))</x:f>
        <x:v>待定</x:v>
      </x:c>
    </x:row>
    <x:row r="278" ht="23" customHeight="1">
      <x:c r="A278" s="1" t="n">
        <x:f>'浓度与阈值来源'!A278</x:f>
        <x:v>273</x:v>
      </x:c>
      <x:c r="B278" s="1" t="str">
        <x:f>IF('浓度与阈值来源'!B278="","",'浓度与阈值来源'!B278)</x:f>
        <x:v>1,1-二乙氧基-2-苯乙烷</x:v>
      </x:c>
      <x:c r="C278" s="1" t="str">
        <x:f>IF('浓度与阈值来源'!C278="","",'浓度与阈值来源'!C278)</x:f>
      </x:c>
      <x:c r="D278" s="1" t="str">
        <x:v>1,1-二乙氧基-2-苯乙烷</x:v>
      </x:c>
      <x:c r="E278" s="5" t="str">
        <x:f>IF('浓度与阈值来源'!D278&gt;0,'浓度与阈值来源'!D278,"")</x:f>
      </x:c>
      <x:c r="F278" s="6" t="n">
        <x:f>COUNT('浓度与阈值来源'!E278:DM278)</x:f>
        <x:v>10</x:v>
      </x:c>
      <x:c r="G278" s="5" t="n">
        <x:f>IF(F278=0,"",MAX('浓度与阈值来源'!E278:DM278))</x:f>
        <x:v>2883</x:v>
      </x:c>
      <x:c r="H278" s="5" t="n">
        <x:f>IF(F278=0,"",MEDIAN('浓度与阈值来源'!E278:DM278))</x:f>
        <x:v>901.21</x:v>
      </x:c>
      <x:c r="I278" s="7" t="str">
        <x:f>IF(AND(ISNUMBER(E278),E278&gt;0,F278&gt;0),G278/E278,"")</x:f>
      </x:c>
      <x:c r="J278" s="7" t="str">
        <x:f>IF(AND(ISNUMBER(E278),E278&gt;0,F278&gt;0),H278/E278,"")</x:f>
      </x:c>
      <x:c r="K278" s="1" t="str">
        <x:f>IF(F278=0,"无浓度数据",IF(E278="","缺周表阈值","可计算"))</x:f>
        <x:v>缺周表阈值</x:v>
      </x:c>
      <x:c r="L278" s="1" t="str">
        <x:f>IF(NOT(ISNUMBER(J278)),"待定",IF(J278&gt;50,"骨架成分",IF(J278&gt;=2,"重要成分","两档成分")))</x:f>
        <x:v>待定</x:v>
      </x:c>
      <x:c r="M278" s="1" t="str">
        <x:f>IF(NOT(ISNUMBER(J278)),"",IF(J278&gt;=2,3,2))</x:f>
      </x:c>
      <x:c r="N278" s="1" t="str">
        <x:f>IF(NOT(ISNUMBER(J278)),"缺少可算OAV",IF(J278&gt;=2,"最大值、中位值、低值待校准","最大值、中位值"))</x:f>
        <x:v>缺少可算OAV</x:v>
      </x:c>
      <x:c r="O278" s="1" t="str">
        <x:f>IF(NOT(ISNUMBER(J278)),"待定",IF(J278&lt;2,"不设第三档",IF(J278&lt;=5,"中位OAV≤5；低档须低于中位浓度","低档需预试确认与中档可区分")))</x:f>
        <x:v>待定</x:v>
      </x:c>
    </x:row>
    <x:row r="279" ht="23" customHeight="1">
      <x:c r="A279" s="1" t="n">
        <x:f>'浓度与阈值来源'!A279</x:f>
        <x:v>274</x:v>
      </x:c>
      <x:c r="B279" s="1" t="str">
        <x:f>IF('浓度与阈值来源'!B279="","",'浓度与阈值来源'!B279)</x:f>
      </x:c>
      <x:c r="C279" s="1" t="str">
        <x:f>IF('浓度与阈值来源'!C279="","",'浓度与阈值来源'!C279)</x:f>
      </x:c>
      <x:c r="D279" s="1" t="str">
        <x:v>1-Hexanoic Acid</x:v>
      </x:c>
      <x:c r="E279" s="5" t="n">
        <x:f>IF('浓度与阈值来源'!D279&gt;0,'浓度与阈值来源'!D279,"")</x:f>
        <x:v>2520</x:v>
      </x:c>
      <x:c r="F279" s="6" t="n">
        <x:f>COUNT('浓度与阈值来源'!E279:DM279)</x:f>
        <x:v>0</x:v>
      </x:c>
      <x:c r="G279" s="5" t="str">
        <x:f>IF(F279=0,"",MAX('浓度与阈值来源'!E279:DM279))</x:f>
      </x:c>
      <x:c r="H279" s="5" t="str">
        <x:f>IF(F279=0,"",MEDIAN('浓度与阈值来源'!E279:DM279))</x:f>
      </x:c>
      <x:c r="I279" s="7" t="str">
        <x:f>IF(AND(ISNUMBER(E279),E279&gt;0,F279&gt;0),G279/E279,"")</x:f>
      </x:c>
      <x:c r="J279" s="7" t="str">
        <x:f>IF(AND(ISNUMBER(E279),E279&gt;0,F279&gt;0),H279/E279,"")</x:f>
      </x:c>
      <x:c r="K279" s="1" t="str">
        <x:f>IF(F279=0,"无浓度数据",IF(E279="","缺周表阈值","可计算"))</x:f>
        <x:v>无浓度数据</x:v>
      </x:c>
      <x:c r="L279" s="1" t="str">
        <x:f>IF(NOT(ISNUMBER(J279)),"待定",IF(J279&gt;50,"骨架成分",IF(J279&gt;=2,"重要成分","两档成分")))</x:f>
        <x:v>待定</x:v>
      </x:c>
      <x:c r="M279" s="1" t="str">
        <x:f>IF(NOT(ISNUMBER(J279)),"",IF(J279&gt;=2,3,2))</x:f>
      </x:c>
      <x:c r="N279" s="1" t="str">
        <x:f>IF(NOT(ISNUMBER(J279)),"缺少可算OAV",IF(J279&gt;=2,"最大值、中位值、低值待校准","最大值、中位值"))</x:f>
        <x:v>缺少可算OAV</x:v>
      </x:c>
      <x:c r="O279" s="1" t="str">
        <x:f>IF(NOT(ISNUMBER(J279)),"待定",IF(J279&lt;2,"不设第三档",IF(J279&lt;=5,"中位OAV≤5；低档须低于中位浓度","低档需预试确认与中档可区分")))</x:f>
        <x:v>待定</x:v>
      </x:c>
    </x:row>
    <x:row r="280" ht="23" customHeight="1">
      <x:c r="A280" s="1" t="n">
        <x:f>'浓度与阈值来源'!A280</x:f>
        <x:v>275</x:v>
      </x:c>
      <x:c r="B280" s="1" t="str">
        <x:f>IF('浓度与阈值来源'!B280="","",'浓度与阈值来源'!B280)</x:f>
        <x:v>1-丁醇（mg·L-1）</x:v>
      </x:c>
      <x:c r="C280" s="1" t="str">
        <x:f>IF('浓度与阈值来源'!C280="","",'浓度与阈值来源'!C280)</x:f>
      </x:c>
      <x:c r="D280" s="1" t="str">
        <x:v>1-丁醇（Mg·L-1）</x:v>
      </x:c>
      <x:c r="E280" s="5" t="n">
        <x:f>IF('浓度与阈值来源'!D280&gt;0,'浓度与阈值来源'!D280,"")</x:f>
        <x:v>2733</x:v>
      </x:c>
      <x:c r="F280" s="6" t="n">
        <x:f>COUNT('浓度与阈值来源'!E280:DM280)</x:f>
        <x:v>2</x:v>
      </x:c>
      <x:c r="G280" s="5" t="n">
        <x:f>IF(F280=0,"",MAX('浓度与阈值来源'!E280:DM280))</x:f>
        <x:v>730.79</x:v>
      </x:c>
      <x:c r="H280" s="5" t="n">
        <x:f>IF(F280=0,"",MEDIAN('浓度与阈值来源'!E280:DM280))</x:f>
        <x:v>555.75</x:v>
      </x:c>
      <x:c r="I280" s="7" t="n">
        <x:f>IF(AND(ISNUMBER(E280),E280&gt;0,F280&gt;0),G280/E280,"")</x:f>
        <x:v>0.26739480424442</x:v>
      </x:c>
      <x:c r="J280" s="7" t="n">
        <x:f>IF(AND(ISNUMBER(E280),E280&gt;0,F280&gt;0),H280/E280,"")</x:f>
        <x:v>0.20334796926454446</x:v>
      </x:c>
      <x:c r="K280" s="1" t="str">
        <x:f>IF(F280=0,"无浓度数据",IF(E280="","缺周表阈值","可计算"))</x:f>
        <x:v>可计算</x:v>
      </x:c>
      <x:c r="L280" s="1" t="str">
        <x:f>IF(NOT(ISNUMBER(J280)),"待定",IF(J280&gt;50,"骨架成分",IF(J280&gt;=2,"重要成分","两档成分")))</x:f>
        <x:v>两档成分</x:v>
      </x:c>
      <x:c r="M280" s="1" t="n">
        <x:f>IF(NOT(ISNUMBER(J280)),"",IF(J280&gt;=2,3,2))</x:f>
        <x:v>2</x:v>
      </x:c>
      <x:c r="N280" s="1" t="str">
        <x:f>IF(NOT(ISNUMBER(J280)),"缺少可算OAV",IF(J280&gt;=2,"最大值、中位值、低值待校准","最大值、中位值"))</x:f>
        <x:v>最大值、中位值</x:v>
      </x:c>
      <x:c r="O280" s="1" t="str">
        <x:f>IF(NOT(ISNUMBER(J280)),"待定",IF(J280&lt;2,"不设第三档",IF(J280&lt;=5,"中位OAV≤5；低档须低于中位浓度","低档需预试确认与中档可区分")))</x:f>
        <x:v>不设第三档</x:v>
      </x:c>
    </x:row>
    <x:row r="281" ht="23" customHeight="1">
      <x:c r="A281" s="1" t="n">
        <x:f>'浓度与阈值来源'!A281</x:f>
        <x:v>276</x:v>
      </x:c>
      <x:c r="B281" s="1" t="str">
        <x:f>IF('浓度与阈值来源'!B281="","",'浓度与阈值来源'!B281)</x:f>
        <x:v>1-己醇（mg·L-1）</x:v>
      </x:c>
      <x:c r="C281" s="1" t="str">
        <x:f>IF('浓度与阈值来源'!C281="","",'浓度与阈值来源'!C281)</x:f>
      </x:c>
      <x:c r="D281" s="1" t="str">
        <x:v>1-己醇（Mg·L-1）</x:v>
      </x:c>
      <x:c r="E281" s="5" t="n">
        <x:f>IF('浓度与阈值来源'!D281&gt;0,'浓度与阈值来源'!D281,"")</x:f>
        <x:v>5370</x:v>
      </x:c>
      <x:c r="F281" s="6" t="n">
        <x:f>COUNT('浓度与阈值来源'!E281:DM281)</x:f>
        <x:v>2</x:v>
      </x:c>
      <x:c r="G281" s="5" t="n">
        <x:f>IF(F281=0,"",MAX('浓度与阈值来源'!E281:DM281))</x:f>
        <x:v>102.81</x:v>
      </x:c>
      <x:c r="H281" s="5" t="n">
        <x:f>IF(F281=0,"",MEDIAN('浓度与阈值来源'!E281:DM281))</x:f>
        <x:v>82.44</x:v>
      </x:c>
      <x:c r="I281" s="7" t="n">
        <x:f>IF(AND(ISNUMBER(E281),E281&gt;0,F281&gt;0),G281/E281,"")</x:f>
        <x:v>0.019145251396648046</x:v>
      </x:c>
      <x:c r="J281" s="7" t="n">
        <x:f>IF(AND(ISNUMBER(E281),E281&gt;0,F281&gt;0),H281/E281,"")</x:f>
        <x:v>0.01535195530726257</x:v>
      </x:c>
      <x:c r="K281" s="1" t="str">
        <x:f>IF(F281=0,"无浓度数据",IF(E281="","缺周表阈值","可计算"))</x:f>
        <x:v>可计算</x:v>
      </x:c>
      <x:c r="L281" s="1" t="str">
        <x:f>IF(NOT(ISNUMBER(J281)),"待定",IF(J281&gt;50,"骨架成分",IF(J281&gt;=2,"重要成分","两档成分")))</x:f>
        <x:v>两档成分</x:v>
      </x:c>
      <x:c r="M281" s="1" t="n">
        <x:f>IF(NOT(ISNUMBER(J281)),"",IF(J281&gt;=2,3,2))</x:f>
        <x:v>2</x:v>
      </x:c>
      <x:c r="N281" s="1" t="str">
        <x:f>IF(NOT(ISNUMBER(J281)),"缺少可算OAV",IF(J281&gt;=2,"最大值、中位值、低值待校准","最大值、中位值"))</x:f>
        <x:v>最大值、中位值</x:v>
      </x:c>
      <x:c r="O281" s="1" t="str">
        <x:f>IF(NOT(ISNUMBER(J281)),"待定",IF(J281&lt;2,"不设第三档",IF(J281&lt;=5,"中位OAV≤5；低档须低于中位浓度","低档需预试确认与中档可区分")))</x:f>
        <x:v>不设第三档</x:v>
      </x:c>
    </x:row>
    <x:row r="282" ht="23" customHeight="1">
      <x:c r="A282" s="1" t="n">
        <x:f>'浓度与阈值来源'!A282</x:f>
        <x:v>277</x:v>
      </x:c>
      <x:c r="B282" s="1" t="str">
        <x:f>IF('浓度与阈值来源'!B282="","",'浓度与阈值来源'!B282)</x:f>
        <x:v>1-辛醇（mg·L-1）</x:v>
      </x:c>
      <x:c r="C282" s="1" t="str">
        <x:f>IF('浓度与阈值来源'!C282="","",'浓度与阈值来源'!C282)</x:f>
      </x:c>
      <x:c r="D282" s="1" t="str">
        <x:v>1-辛醇（Mg·L-1）</x:v>
      </x:c>
      <x:c r="E282" s="5" t="n">
        <x:f>IF('浓度与阈值来源'!D282&gt;0,'浓度与阈值来源'!D282,"")</x:f>
        <x:v>1100</x:v>
      </x:c>
      <x:c r="F282" s="6" t="n">
        <x:f>COUNT('浓度与阈值来源'!E282:DM282)</x:f>
        <x:v>4</x:v>
      </x:c>
      <x:c r="G282" s="5" t="n">
        <x:f>IF(F282=0,"",MAX('浓度与阈值来源'!E282:DM282))</x:f>
        <x:v>12.87</x:v>
      </x:c>
      <x:c r="H282" s="5" t="n">
        <x:f>IF(F282=0,"",MEDIAN('浓度与阈值来源'!E282:DM282))</x:f>
        <x:v>8.015</x:v>
      </x:c>
      <x:c r="I282" s="7" t="n">
        <x:f>IF(AND(ISNUMBER(E282),E282&gt;0,F282&gt;0),G282/E282,"")</x:f>
        <x:v>0.011699999999999999</x:v>
      </x:c>
      <x:c r="J282" s="7" t="n">
        <x:f>IF(AND(ISNUMBER(E282),E282&gt;0,F282&gt;0),H282/E282,"")</x:f>
        <x:v>0.007286363636363637</x:v>
      </x:c>
      <x:c r="K282" s="1" t="str">
        <x:f>IF(F282=0,"无浓度数据",IF(E282="","缺周表阈值","可计算"))</x:f>
        <x:v>可计算</x:v>
      </x:c>
      <x:c r="L282" s="1" t="str">
        <x:f>IF(NOT(ISNUMBER(J282)),"待定",IF(J282&gt;50,"骨架成分",IF(J282&gt;=2,"重要成分","两档成分")))</x:f>
        <x:v>两档成分</x:v>
      </x:c>
      <x:c r="M282" s="1" t="n">
        <x:f>IF(NOT(ISNUMBER(J282)),"",IF(J282&gt;=2,3,2))</x:f>
        <x:v>2</x:v>
      </x:c>
      <x:c r="N282" s="1" t="str">
        <x:f>IF(NOT(ISNUMBER(J282)),"缺少可算OAV",IF(J282&gt;=2,"最大值、中位值、低值待校准","最大值、中位值"))</x:f>
        <x:v>最大值、中位值</x:v>
      </x:c>
      <x:c r="O282" s="1" t="str">
        <x:f>IF(NOT(ISNUMBER(J282)),"待定",IF(J282&lt;2,"不设第三档",IF(J282&lt;=5,"中位OAV≤5；低档须低于中位浓度","低档需预试确认与中档可区分")))</x:f>
        <x:v>不设第三档</x:v>
      </x:c>
    </x:row>
    <x:row r="283" ht="23" customHeight="1">
      <x:c r="A283" s="1" t="n">
        <x:f>'浓度与阈值来源'!A283</x:f>
        <x:v>278</x:v>
      </x:c>
      <x:c r="B283" s="1" t="str">
        <x:f>IF('浓度与阈值来源'!B283="","",'浓度与阈值来源'!B283)</x:f>
        <x:v>1-（1-乙氧基乙氧基）-丁烷</x:v>
      </x:c>
      <x:c r="C283" s="1" t="str">
        <x:f>IF('浓度与阈值来源'!C283="","",'浓度与阈值来源'!C283)</x:f>
      </x:c>
      <x:c r="D283" s="1" t="str">
        <x:v>1-（1-乙氧基乙氧基）-丁烷</x:v>
      </x:c>
      <x:c r="E283" s="5" t="str">
        <x:f>IF('浓度与阈值来源'!D283&gt;0,'浓度与阈值来源'!D283,"")</x:f>
      </x:c>
      <x:c r="F283" s="6" t="n">
        <x:f>COUNT('浓度与阈值来源'!E283:DM283)</x:f>
        <x:v>4</x:v>
      </x:c>
      <x:c r="G283" s="5" t="n">
        <x:f>IF(F283=0,"",MAX('浓度与阈值来源'!E283:DM283))</x:f>
        <x:v>2.58</x:v>
      </x:c>
      <x:c r="H283" s="5" t="n">
        <x:f>IF(F283=0,"",MEDIAN('浓度与阈值来源'!E283:DM283))</x:f>
        <x:v>1.6550000000000002</x:v>
      </x:c>
      <x:c r="I283" s="7" t="str">
        <x:f>IF(AND(ISNUMBER(E283),E283&gt;0,F283&gt;0),G283/E283,"")</x:f>
      </x:c>
      <x:c r="J283" s="7" t="str">
        <x:f>IF(AND(ISNUMBER(E283),E283&gt;0,F283&gt;0),H283/E283,"")</x:f>
      </x:c>
      <x:c r="K283" s="1" t="str">
        <x:f>IF(F283=0,"无浓度数据",IF(E283="","缺周表阈值","可计算"))</x:f>
        <x:v>缺周表阈值</x:v>
      </x:c>
      <x:c r="L283" s="1" t="str">
        <x:f>IF(NOT(ISNUMBER(J283)),"待定",IF(J283&gt;50,"骨架成分",IF(J283&gt;=2,"重要成分","两档成分")))</x:f>
        <x:v>待定</x:v>
      </x:c>
      <x:c r="M283" s="1" t="str">
        <x:f>IF(NOT(ISNUMBER(J283)),"",IF(J283&gt;=2,3,2))</x:f>
      </x:c>
      <x:c r="N283" s="1" t="str">
        <x:f>IF(NOT(ISNUMBER(J283)),"缺少可算OAV",IF(J283&gt;=2,"最大值、中位值、低值待校准","最大值、中位值"))</x:f>
        <x:v>缺少可算OAV</x:v>
      </x:c>
      <x:c r="O283" s="1" t="str">
        <x:f>IF(NOT(ISNUMBER(J283)),"待定",IF(J283&lt;2,"不设第三档",IF(J283&lt;=5,"中位OAV≤5；低档须低于中位浓度","低档需预试确认与中档可区分")))</x:f>
        <x:v>待定</x:v>
      </x:c>
    </x:row>
    <x:row r="284" ht="23" customHeight="1">
      <x:c r="A284" s="1" t="n">
        <x:f>'浓度与阈值来源'!A284</x:f>
        <x:v>279</x:v>
      </x:c>
      <x:c r="B284" s="1" t="str">
        <x:f>IF('浓度与阈值来源'!B284="","",'浓度与阈值来源'!B284)</x:f>
        <x:v>1.2- 丙二醇</x:v>
      </x:c>
      <x:c r="C284" s="1" t="str">
        <x:f>IF('浓度与阈值来源'!C284="","",'浓度与阈值来源'!C284)</x:f>
      </x:c>
      <x:c r="D284" s="1" t="str">
        <x:v>1.2- 丙二醇</x:v>
      </x:c>
      <x:c r="E284" s="5" t="str">
        <x:f>IF('浓度与阈值来源'!D284&gt;0,'浓度与阈值来源'!D284,"")</x:f>
      </x:c>
      <x:c r="F284" s="6" t="n">
        <x:f>COUNT('浓度与阈值来源'!E284:DM284)</x:f>
        <x:v>3</x:v>
      </x:c>
      <x:c r="G284" s="5" t="n">
        <x:f>IF(F284=0,"",MAX('浓度与阈值来源'!E284:DM284))</x:f>
        <x:v>3250</x:v>
      </x:c>
      <x:c r="H284" s="5" t="n">
        <x:f>IF(F284=0,"",MEDIAN('浓度与阈值来源'!E284:DM284))</x:f>
        <x:v>1280</x:v>
      </x:c>
      <x:c r="I284" s="7" t="str">
        <x:f>IF(AND(ISNUMBER(E284),E284&gt;0,F284&gt;0),G284/E284,"")</x:f>
      </x:c>
      <x:c r="J284" s="7" t="str">
        <x:f>IF(AND(ISNUMBER(E284),E284&gt;0,F284&gt;0),H284/E284,"")</x:f>
      </x:c>
      <x:c r="K284" s="1" t="str">
        <x:f>IF(F284=0,"无浓度数据",IF(E284="","缺周表阈值","可计算"))</x:f>
        <x:v>缺周表阈值</x:v>
      </x:c>
      <x:c r="L284" s="1" t="str">
        <x:f>IF(NOT(ISNUMBER(J284)),"待定",IF(J284&gt;50,"骨架成分",IF(J284&gt;=2,"重要成分","两档成分")))</x:f>
        <x:v>待定</x:v>
      </x:c>
      <x:c r="M284" s="1" t="str">
        <x:f>IF(NOT(ISNUMBER(J284)),"",IF(J284&gt;=2,3,2))</x:f>
      </x:c>
      <x:c r="N284" s="1" t="str">
        <x:f>IF(NOT(ISNUMBER(J284)),"缺少可算OAV",IF(J284&gt;=2,"最大值、中位值、低值待校准","最大值、中位值"))</x:f>
        <x:v>缺少可算OAV</x:v>
      </x:c>
      <x:c r="O284" s="1" t="str">
        <x:f>IF(NOT(ISNUMBER(J284)),"待定",IF(J284&lt;2,"不设第三档",IF(J284&lt;=5,"中位OAV≤5；低档须低于中位浓度","低档需预试确认与中档可区分")))</x:f>
        <x:v>待定</x:v>
      </x:c>
    </x:row>
    <x:row r="285" ht="23" customHeight="1">
      <x:c r="A285" s="1" t="n">
        <x:f>'浓度与阈值来源'!A285</x:f>
        <x:v>280</x:v>
      </x:c>
      <x:c r="B285" s="1" t="str">
        <x:f>IF('浓度与阈值来源'!B285="","",'浓度与阈值来源'!B285)</x:f>
      </x:c>
      <x:c r="C285" s="1" t="str">
        <x:f>IF('浓度与阈值来源'!C285="","",'浓度与阈值来源'!C285)</x:f>
      </x:c>
      <x:c r="D285" s="1" t="str">
        <x:v>17-Octadecenoic Acid</x:v>
      </x:c>
      <x:c r="E285" s="5" t="str">
        <x:f>IF('浓度与阈值来源'!D285&gt;0,'浓度与阈值来源'!D285,"")</x:f>
      </x:c>
      <x:c r="F285" s="6" t="n">
        <x:f>COUNT('浓度与阈值来源'!E285:DM285)</x:f>
        <x:v>1</x:v>
      </x:c>
      <x:c r="G285" s="5" t="n">
        <x:f>IF(F285=0,"",MAX('浓度与阈值来源'!E285:DM285))</x:f>
        <x:v>393</x:v>
      </x:c>
      <x:c r="H285" s="5" t="n">
        <x:f>IF(F285=0,"",MEDIAN('浓度与阈值来源'!E285:DM285))</x:f>
        <x:v>393</x:v>
      </x:c>
      <x:c r="I285" s="7" t="str">
        <x:f>IF(AND(ISNUMBER(E285),E285&gt;0,F285&gt;0),G285/E285,"")</x:f>
      </x:c>
      <x:c r="J285" s="7" t="str">
        <x:f>IF(AND(ISNUMBER(E285),E285&gt;0,F285&gt;0),H285/E285,"")</x:f>
      </x:c>
      <x:c r="K285" s="1" t="str">
        <x:f>IF(F285=0,"无浓度数据",IF(E285="","缺周表阈值","可计算"))</x:f>
        <x:v>缺周表阈值</x:v>
      </x:c>
      <x:c r="L285" s="1" t="str">
        <x:f>IF(NOT(ISNUMBER(J285)),"待定",IF(J285&gt;50,"骨架成分",IF(J285&gt;=2,"重要成分","两档成分")))</x:f>
        <x:v>待定</x:v>
      </x:c>
      <x:c r="M285" s="1" t="str">
        <x:f>IF(NOT(ISNUMBER(J285)),"",IF(J285&gt;=2,3,2))</x:f>
      </x:c>
      <x:c r="N285" s="1" t="str">
        <x:f>IF(NOT(ISNUMBER(J285)),"缺少可算OAV",IF(J285&gt;=2,"最大值、中位值、低值待校准","最大值、中位值"))</x:f>
        <x:v>缺少可算OAV</x:v>
      </x:c>
      <x:c r="O285" s="1" t="str">
        <x:f>IF(NOT(ISNUMBER(J285)),"待定",IF(J285&lt;2,"不设第三档",IF(J285&lt;=5,"中位OAV≤5；低档须低于中位浓度","低档需预试确认与中档可区分")))</x:f>
        <x:v>待定</x:v>
      </x:c>
    </x:row>
    <x:row r="286" ht="23" customHeight="1">
      <x:c r="A286" s="1" t="n">
        <x:f>'浓度与阈值来源'!A286</x:f>
        <x:v>281</x:v>
      </x:c>
      <x:c r="B286" s="1" t="str">
        <x:f>IF('浓度与阈值来源'!B286="","",'浓度与阈值来源'!B286)</x:f>
        <x:v>1，1-二乙氧基-2-甲基丁烷</x:v>
      </x:c>
      <x:c r="C286" s="1" t="str">
        <x:f>IF('浓度与阈值来源'!C286="","",'浓度与阈值来源'!C286)</x:f>
      </x:c>
      <x:c r="D286" s="1" t="str">
        <x:v>1，1-二乙氧基-2-甲基丁烷</x:v>
      </x:c>
      <x:c r="E286" s="5" t="str">
        <x:f>IF('浓度与阈值来源'!D286&gt;0,'浓度与阈值来源'!D286,"")</x:f>
      </x:c>
      <x:c r="F286" s="6" t="n">
        <x:f>COUNT('浓度与阈值来源'!E286:DM286)</x:f>
        <x:v>4</x:v>
      </x:c>
      <x:c r="G286" s="5" t="n">
        <x:f>IF(F286=0,"",MAX('浓度与阈值来源'!E286:DM286))</x:f>
        <x:v>22.78</x:v>
      </x:c>
      <x:c r="H286" s="5" t="n">
        <x:f>IF(F286=0,"",MEDIAN('浓度与阈值来源'!E286:DM286))</x:f>
        <x:v>7.155</x:v>
      </x:c>
      <x:c r="I286" s="7" t="str">
        <x:f>IF(AND(ISNUMBER(E286),E286&gt;0,F286&gt;0),G286/E286,"")</x:f>
      </x:c>
      <x:c r="J286" s="7" t="str">
        <x:f>IF(AND(ISNUMBER(E286),E286&gt;0,F286&gt;0),H286/E286,"")</x:f>
      </x:c>
      <x:c r="K286" s="1" t="str">
        <x:f>IF(F286=0,"无浓度数据",IF(E286="","缺周表阈值","可计算"))</x:f>
        <x:v>缺周表阈值</x:v>
      </x:c>
      <x:c r="L286" s="1" t="str">
        <x:f>IF(NOT(ISNUMBER(J286)),"待定",IF(J286&gt;50,"骨架成分",IF(J286&gt;=2,"重要成分","两档成分")))</x:f>
        <x:v>待定</x:v>
      </x:c>
      <x:c r="M286" s="1" t="str">
        <x:f>IF(NOT(ISNUMBER(J286)),"",IF(J286&gt;=2,3,2))</x:f>
      </x:c>
      <x:c r="N286" s="1" t="str">
        <x:f>IF(NOT(ISNUMBER(J286)),"缺少可算OAV",IF(J286&gt;=2,"最大值、中位值、低值待校准","最大值、中位值"))</x:f>
        <x:v>缺少可算OAV</x:v>
      </x:c>
      <x:c r="O286" s="1" t="str">
        <x:f>IF(NOT(ISNUMBER(J286)),"待定",IF(J286&lt;2,"不设第三档",IF(J286&lt;=5,"中位OAV≤5；低档须低于中位浓度","低档需预试确认与中档可区分")))</x:f>
        <x:v>待定</x:v>
      </x:c>
    </x:row>
    <x:row r="287" ht="23" customHeight="1">
      <x:c r="A287" s="1" t="n">
        <x:f>'浓度与阈值来源'!A287</x:f>
        <x:v>282</x:v>
      </x:c>
      <x:c r="B287" s="1" t="str">
        <x:f>IF('浓度与阈值来源'!B287="","",'浓度与阈值来源'!B287)</x:f>
        <x:v>1，1-二乙氧基-3-甲基丁烷</x:v>
      </x:c>
      <x:c r="C287" s="1" t="str">
        <x:f>IF('浓度与阈值来源'!C287="","",'浓度与阈值来源'!C287)</x:f>
      </x:c>
      <x:c r="D287" s="1" t="str">
        <x:v>1，1-二乙氧基-3-甲基丁烷</x:v>
      </x:c>
      <x:c r="E287" s="5" t="str">
        <x:f>IF('浓度与阈值来源'!D287&gt;0,'浓度与阈值来源'!D287,"")</x:f>
      </x:c>
      <x:c r="F287" s="6" t="n">
        <x:f>COUNT('浓度与阈值来源'!E287:DM287)</x:f>
        <x:v>4</x:v>
      </x:c>
      <x:c r="G287" s="5" t="n">
        <x:f>IF(F287=0,"",MAX('浓度与阈值来源'!E287:DM287))</x:f>
        <x:v>64.54</x:v>
      </x:c>
      <x:c r="H287" s="5" t="n">
        <x:f>IF(F287=0,"",MEDIAN('浓度与阈值来源'!E287:DM287))</x:f>
        <x:v>27.325</x:v>
      </x:c>
      <x:c r="I287" s="7" t="str">
        <x:f>IF(AND(ISNUMBER(E287),E287&gt;0,F287&gt;0),G287/E287,"")</x:f>
      </x:c>
      <x:c r="J287" s="7" t="str">
        <x:f>IF(AND(ISNUMBER(E287),E287&gt;0,F287&gt;0),H287/E287,"")</x:f>
      </x:c>
      <x:c r="K287" s="1" t="str">
        <x:f>IF(F287=0,"无浓度数据",IF(E287="","缺周表阈值","可计算"))</x:f>
        <x:v>缺周表阈值</x:v>
      </x:c>
      <x:c r="L287" s="1" t="str">
        <x:f>IF(NOT(ISNUMBER(J287)),"待定",IF(J287&gt;50,"骨架成分",IF(J287&gt;=2,"重要成分","两档成分")))</x:f>
        <x:v>待定</x:v>
      </x:c>
      <x:c r="M287" s="1" t="str">
        <x:f>IF(NOT(ISNUMBER(J287)),"",IF(J287&gt;=2,3,2))</x:f>
      </x:c>
      <x:c r="N287" s="1" t="str">
        <x:f>IF(NOT(ISNUMBER(J287)),"缺少可算OAV",IF(J287&gt;=2,"最大值、中位值、低值待校准","最大值、中位值"))</x:f>
        <x:v>缺少可算OAV</x:v>
      </x:c>
      <x:c r="O287" s="1" t="str">
        <x:f>IF(NOT(ISNUMBER(J287)),"待定",IF(J287&lt;2,"不设第三档",IF(J287&lt;=5,"中位OAV≤5；低档须低于中位浓度","低档需预试确认与中档可区分")))</x:f>
        <x:v>待定</x:v>
      </x:c>
    </x:row>
    <x:row r="288" ht="23" customHeight="1">
      <x:c r="A288" s="1" t="n">
        <x:f>'浓度与阈值来源'!A288</x:f>
        <x:v>283</x:v>
      </x:c>
      <x:c r="B288" s="1" t="str">
        <x:f>IF('浓度与阈值来源'!B288="","",'浓度与阈值来源'!B288)</x:f>
        <x:v>1，1-二乙氧基乙烷</x:v>
      </x:c>
      <x:c r="C288" s="1" t="str">
        <x:f>IF('浓度与阈值来源'!C288="","",'浓度与阈值来源'!C288)</x:f>
      </x:c>
      <x:c r="D288" s="1" t="str">
        <x:v>1，1-二乙氧基乙烷</x:v>
      </x:c>
      <x:c r="E288" s="5" t="str">
        <x:f>IF('浓度与阈值来源'!D288&gt;0,'浓度与阈值来源'!D288,"")</x:f>
      </x:c>
      <x:c r="F288" s="6" t="n">
        <x:f>COUNT('浓度与阈值来源'!E288:DM288)</x:f>
        <x:v>4</x:v>
      </x:c>
      <x:c r="G288" s="5" t="n">
        <x:f>IF(F288=0,"",MAX('浓度与阈值来源'!E288:DM288))</x:f>
        <x:v>364.16</x:v>
      </x:c>
      <x:c r="H288" s="5" t="n">
        <x:f>IF(F288=0,"",MEDIAN('浓度与阈值来源'!E288:DM288))</x:f>
        <x:v>271.65999999999997</x:v>
      </x:c>
      <x:c r="I288" s="7" t="str">
        <x:f>IF(AND(ISNUMBER(E288),E288&gt;0,F288&gt;0),G288/E288,"")</x:f>
      </x:c>
      <x:c r="J288" s="7" t="str">
        <x:f>IF(AND(ISNUMBER(E288),E288&gt;0,F288&gt;0),H288/E288,"")</x:f>
      </x:c>
      <x:c r="K288" s="1" t="str">
        <x:f>IF(F288=0,"无浓度数据",IF(E288="","缺周表阈值","可计算"))</x:f>
        <x:v>缺周表阈值</x:v>
      </x:c>
      <x:c r="L288" s="1" t="str">
        <x:f>IF(NOT(ISNUMBER(J288)),"待定",IF(J288&gt;50,"骨架成分",IF(J288&gt;=2,"重要成分","两档成分")))</x:f>
        <x:v>待定</x:v>
      </x:c>
      <x:c r="M288" s="1" t="str">
        <x:f>IF(NOT(ISNUMBER(J288)),"",IF(J288&gt;=2,3,2))</x:f>
      </x:c>
      <x:c r="N288" s="1" t="str">
        <x:f>IF(NOT(ISNUMBER(J288)),"缺少可算OAV",IF(J288&gt;=2,"最大值、中位值、低值待校准","最大值、中位值"))</x:f>
        <x:v>缺少可算OAV</x:v>
      </x:c>
      <x:c r="O288" s="1" t="str">
        <x:f>IF(NOT(ISNUMBER(J288)),"待定",IF(J288&lt;2,"不设第三档",IF(J288&lt;=5,"中位OAV≤5；低档须低于中位浓度","低档需预试确认与中档可区分")))</x:f>
        <x:v>待定</x:v>
      </x:c>
    </x:row>
    <x:row r="289" ht="23" customHeight="1">
      <x:c r="A289" s="1" t="n">
        <x:f>'浓度与阈值来源'!A289</x:f>
        <x:v>284</x:v>
      </x:c>
      <x:c r="B289" s="1" t="str">
        <x:f>IF('浓度与阈值来源'!B289="","",'浓度与阈值来源'!B289)</x:f>
        <x:v>1，1，3-三乙氧基丙烷</x:v>
      </x:c>
      <x:c r="C289" s="1" t="str">
        <x:f>IF('浓度与阈值来源'!C289="","",'浓度与阈值来源'!C289)</x:f>
      </x:c>
      <x:c r="D289" s="1" t="str">
        <x:v>1，1，3-三乙氧基丙烷</x:v>
      </x:c>
      <x:c r="E289" s="5" t="str">
        <x:f>IF('浓度与阈值来源'!D289&gt;0,'浓度与阈值来源'!D289,"")</x:f>
      </x:c>
      <x:c r="F289" s="6" t="n">
        <x:f>COUNT('浓度与阈值来源'!E289:DM289)</x:f>
        <x:v>4</x:v>
      </x:c>
      <x:c r="G289" s="5" t="n">
        <x:f>IF(F289=0,"",MAX('浓度与阈值来源'!E289:DM289))</x:f>
        <x:v>2.18</x:v>
      </x:c>
      <x:c r="H289" s="5" t="n">
        <x:f>IF(F289=0,"",MEDIAN('浓度与阈值来源'!E289:DM289))</x:f>
        <x:v>1.98</x:v>
      </x:c>
      <x:c r="I289" s="7" t="str">
        <x:f>IF(AND(ISNUMBER(E289),E289&gt;0,F289&gt;0),G289/E289,"")</x:f>
      </x:c>
      <x:c r="J289" s="7" t="str">
        <x:f>IF(AND(ISNUMBER(E289),E289&gt;0,F289&gt;0),H289/E289,"")</x:f>
      </x:c>
      <x:c r="K289" s="1" t="str">
        <x:f>IF(F289=0,"无浓度数据",IF(E289="","缺周表阈值","可计算"))</x:f>
        <x:v>缺周表阈值</x:v>
      </x:c>
      <x:c r="L289" s="1" t="str">
        <x:f>IF(NOT(ISNUMBER(J289)),"待定",IF(J289&gt;50,"骨架成分",IF(J289&gt;=2,"重要成分","两档成分")))</x:f>
        <x:v>待定</x:v>
      </x:c>
      <x:c r="M289" s="1" t="str">
        <x:f>IF(NOT(ISNUMBER(J289)),"",IF(J289&gt;=2,3,2))</x:f>
      </x:c>
      <x:c r="N289" s="1" t="str">
        <x:f>IF(NOT(ISNUMBER(J289)),"缺少可算OAV",IF(J289&gt;=2,"最大值、中位值、低值待校准","最大值、中位值"))</x:f>
        <x:v>缺少可算OAV</x:v>
      </x:c>
      <x:c r="O289" s="1" t="str">
        <x:f>IF(NOT(ISNUMBER(J289)),"待定",IF(J289&lt;2,"不设第三档",IF(J289&lt;=5,"中位OAV≤5；低档须低于中位浓度","低档需预试确认与中档可区分")))</x:f>
        <x:v>待定</x:v>
      </x:c>
    </x:row>
    <x:row r="290" ht="23" customHeight="1">
      <x:c r="A290" s="1" t="n">
        <x:f>'浓度与阈值来源'!A290</x:f>
        <x:v>285</x:v>
      </x:c>
      <x:c r="B290" s="1" t="str">
        <x:f>IF('浓度与阈值来源'!B290="","",'浓度与阈值来源'!B290)</x:f>
        <x:v>1，2－丙二醇</x:v>
      </x:c>
      <x:c r="C290" s="1" t="str">
        <x:f>IF('浓度与阈值来源'!C290="","",'浓度与阈值来源'!C290)</x:f>
      </x:c>
      <x:c r="D290" s="1" t="str">
        <x:v>1，2－丙二醇</x:v>
      </x:c>
      <x:c r="E290" s="5" t="str">
        <x:f>IF('浓度与阈值来源'!D290&gt;0,'浓度与阈值来源'!D290,"")</x:f>
      </x:c>
      <x:c r="F290" s="6" t="n">
        <x:f>COUNT('浓度与阈值来源'!E290:DM290)</x:f>
        <x:v>9</x:v>
      </x:c>
      <x:c r="G290" s="5" t="n">
        <x:f>IF(F290=0,"",MAX('浓度与阈值来源'!E290:DM290))</x:f>
        <x:v>31000</x:v>
      </x:c>
      <x:c r="H290" s="5" t="n">
        <x:f>IF(F290=0,"",MEDIAN('浓度与阈值来源'!E290:DM290))</x:f>
        <x:v>15700</x:v>
      </x:c>
      <x:c r="I290" s="7" t="str">
        <x:f>IF(AND(ISNUMBER(E290),E290&gt;0,F290&gt;0),G290/E290,"")</x:f>
      </x:c>
      <x:c r="J290" s="7" t="str">
        <x:f>IF(AND(ISNUMBER(E290),E290&gt;0,F290&gt;0),H290/E290,"")</x:f>
      </x:c>
      <x:c r="K290" s="1" t="str">
        <x:f>IF(F290=0,"无浓度数据",IF(E290="","缺周表阈值","可计算"))</x:f>
        <x:v>缺周表阈值</x:v>
      </x:c>
      <x:c r="L290" s="1" t="str">
        <x:f>IF(NOT(ISNUMBER(J290)),"待定",IF(J290&gt;50,"骨架成分",IF(J290&gt;=2,"重要成分","两档成分")))</x:f>
        <x:v>待定</x:v>
      </x:c>
      <x:c r="M290" s="1" t="str">
        <x:f>IF(NOT(ISNUMBER(J290)),"",IF(J290&gt;=2,3,2))</x:f>
      </x:c>
      <x:c r="N290" s="1" t="str">
        <x:f>IF(NOT(ISNUMBER(J290)),"缺少可算OAV",IF(J290&gt;=2,"最大值、中位值、低值待校准","最大值、中位值"))</x:f>
        <x:v>缺少可算OAV</x:v>
      </x:c>
      <x:c r="O290" s="1" t="str">
        <x:f>IF(NOT(ISNUMBER(J290)),"待定",IF(J290&lt;2,"不设第三档",IF(J290&lt;=5,"中位OAV≤5；低档须低于中位浓度","低档需预试确认与中档可区分")))</x:f>
        <x:v>待定</x:v>
      </x:c>
    </x:row>
    <x:row r="291" ht="23" customHeight="1">
      <x:c r="A291" s="1" t="n">
        <x:f>'浓度与阈值来源'!A291</x:f>
        <x:v>286</x:v>
      </x:c>
      <x:c r="B291" s="1" t="str">
        <x:f>IF('浓度与阈值来源'!B291="","",'浓度与阈值来源'!B291)</x:f>
      </x:c>
      <x:c r="C291" s="1" t="str">
        <x:f>IF('浓度与阈值来源'!C291="","",'浓度与阈值来源'!C291)</x:f>
      </x:c>
      <x:c r="D291" s="1" t="str">
        <x:v>2-(Ethoxymethyl)Furan</x:v>
      </x:c>
      <x:c r="E291" s="5" t="str">
        <x:f>IF('浓度与阈值来源'!D291&gt;0,'浓度与阈值来源'!D291,"")</x:f>
      </x:c>
      <x:c r="F291" s="6" t="n">
        <x:f>COUNT('浓度与阈值来源'!E291:DM291)</x:f>
        <x:v>2</x:v>
      </x:c>
      <x:c r="G291" s="5" t="n">
        <x:f>IF(F291=0,"",MAX('浓度与阈值来源'!E291:DM291))</x:f>
        <x:v>1121</x:v>
      </x:c>
      <x:c r="H291" s="5" t="n">
        <x:f>IF(F291=0,"",MEDIAN('浓度与阈值来源'!E291:DM291))</x:f>
        <x:v>1030.5</x:v>
      </x:c>
      <x:c r="I291" s="7" t="str">
        <x:f>IF(AND(ISNUMBER(E291),E291&gt;0,F291&gt;0),G291/E291,"")</x:f>
      </x:c>
      <x:c r="J291" s="7" t="str">
        <x:f>IF(AND(ISNUMBER(E291),E291&gt;0,F291&gt;0),H291/E291,"")</x:f>
      </x:c>
      <x:c r="K291" s="1" t="str">
        <x:f>IF(F291=0,"无浓度数据",IF(E291="","缺周表阈值","可计算"))</x:f>
        <x:v>缺周表阈值</x:v>
      </x:c>
      <x:c r="L291" s="1" t="str">
        <x:f>IF(NOT(ISNUMBER(J291)),"待定",IF(J291&gt;50,"骨架成分",IF(J291&gt;=2,"重要成分","两档成分")))</x:f>
        <x:v>待定</x:v>
      </x:c>
      <x:c r="M291" s="1" t="str">
        <x:f>IF(NOT(ISNUMBER(J291)),"",IF(J291&gt;=2,3,2))</x:f>
      </x:c>
      <x:c r="N291" s="1" t="str">
        <x:f>IF(NOT(ISNUMBER(J291)),"缺少可算OAV",IF(J291&gt;=2,"最大值、中位值、低值待校准","最大值、中位值"))</x:f>
        <x:v>缺少可算OAV</x:v>
      </x:c>
      <x:c r="O291" s="1" t="str">
        <x:f>IF(NOT(ISNUMBER(J291)),"待定",IF(J291&lt;2,"不设第三档",IF(J291&lt;=5,"中位OAV≤5；低档须低于中位浓度","低档需预试确认与中档可区分")))</x:f>
        <x:v>待定</x:v>
      </x:c>
    </x:row>
    <x:row r="292" ht="23" customHeight="1">
      <x:c r="A292" s="1" t="n">
        <x:f>'浓度与阈值来源'!A292</x:f>
        <x:v>287</x:v>
      </x:c>
      <x:c r="B292" s="1" t="str">
        <x:f>IF('浓度与阈值来源'!B292="","",'浓度与阈值来源'!B292)</x:f>
      </x:c>
      <x:c r="C292" s="1" t="str">
        <x:f>IF('浓度与阈值来源'!C292="","",'浓度与阈值来源'!C292)</x:f>
      </x:c>
      <x:c r="D292" s="1" t="str">
        <x:v>2-Heptanone</x:v>
      </x:c>
      <x:c r="E292" s="5" t="str">
        <x:f>IF('浓度与阈值来源'!D292&gt;0,'浓度与阈值来源'!D292,"")</x:f>
      </x:c>
      <x:c r="F292" s="6" t="n">
        <x:f>COUNT('浓度与阈值来源'!E292:DM292)</x:f>
        <x:v>0</x:v>
      </x:c>
      <x:c r="G292" s="5" t="str">
        <x:f>IF(F292=0,"",MAX('浓度与阈值来源'!E292:DM292))</x:f>
      </x:c>
      <x:c r="H292" s="5" t="str">
        <x:f>IF(F292=0,"",MEDIAN('浓度与阈值来源'!E292:DM292))</x:f>
      </x:c>
      <x:c r="I292" s="7" t="str">
        <x:f>IF(AND(ISNUMBER(E292),E292&gt;0,F292&gt;0),G292/E292,"")</x:f>
      </x:c>
      <x:c r="J292" s="7" t="str">
        <x:f>IF(AND(ISNUMBER(E292),E292&gt;0,F292&gt;0),H292/E292,"")</x:f>
      </x:c>
      <x:c r="K292" s="1" t="str">
        <x:f>IF(F292=0,"无浓度数据",IF(E292="","缺周表阈值","可计算"))</x:f>
        <x:v>无浓度数据</x:v>
      </x:c>
      <x:c r="L292" s="1" t="str">
        <x:f>IF(NOT(ISNUMBER(J292)),"待定",IF(J292&gt;50,"骨架成分",IF(J292&gt;=2,"重要成分","两档成分")))</x:f>
        <x:v>待定</x:v>
      </x:c>
      <x:c r="M292" s="1" t="str">
        <x:f>IF(NOT(ISNUMBER(J292)),"",IF(J292&gt;=2,3,2))</x:f>
      </x:c>
      <x:c r="N292" s="1" t="str">
        <x:f>IF(NOT(ISNUMBER(J292)),"缺少可算OAV",IF(J292&gt;=2,"最大值、中位值、低值待校准","最大值、中位值"))</x:f>
        <x:v>缺少可算OAV</x:v>
      </x:c>
      <x:c r="O292" s="1" t="str">
        <x:f>IF(NOT(ISNUMBER(J292)),"待定",IF(J292&lt;2,"不设第三档",IF(J292&lt;=5,"中位OAV≤5；低档须低于中位浓度","低档需预试确认与中档可区分")))</x:f>
        <x:v>待定</x:v>
      </x:c>
    </x:row>
    <x:row r="293" ht="23" customHeight="1">
      <x:c r="A293" s="1" t="n">
        <x:f>'浓度与阈值来源'!A293</x:f>
        <x:v>288</x:v>
      </x:c>
      <x:c r="B293" s="1" t="str">
        <x:f>IF('浓度与阈值来源'!B293="","",'浓度与阈值来源'!B293)</x:f>
      </x:c>
      <x:c r="C293" s="1" t="str">
        <x:f>IF('浓度与阈值来源'!C293="","",'浓度与阈值来源'!C293)</x:f>
      </x:c>
      <x:c r="D293" s="1" t="str">
        <x:v>2-hydroxy-4-methylvalerate</x:v>
      </x:c>
      <x:c r="E293" s="5" t="str">
        <x:f>IF('浓度与阈值来源'!D293&gt;0,'浓度与阈值来源'!D293,"")</x:f>
      </x:c>
      <x:c r="F293" s="6" t="n">
        <x:f>COUNT('浓度与阈值来源'!E293:DM293)</x:f>
        <x:v>0</x:v>
      </x:c>
      <x:c r="G293" s="5" t="str">
        <x:f>IF(F293=0,"",MAX('浓度与阈值来源'!E293:DM293))</x:f>
      </x:c>
      <x:c r="H293" s="5" t="str">
        <x:f>IF(F293=0,"",MEDIAN('浓度与阈值来源'!E293:DM293))</x:f>
      </x:c>
      <x:c r="I293" s="7" t="str">
        <x:f>IF(AND(ISNUMBER(E293),E293&gt;0,F293&gt;0),G293/E293,"")</x:f>
      </x:c>
      <x:c r="J293" s="7" t="str">
        <x:f>IF(AND(ISNUMBER(E293),E293&gt;0,F293&gt;0),H293/E293,"")</x:f>
      </x:c>
      <x:c r="K293" s="1" t="str">
        <x:f>IF(F293=0,"无浓度数据",IF(E293="","缺周表阈值","可计算"))</x:f>
        <x:v>无浓度数据</x:v>
      </x:c>
      <x:c r="L293" s="1" t="str">
        <x:f>IF(NOT(ISNUMBER(J293)),"待定",IF(J293&gt;50,"骨架成分",IF(J293&gt;=2,"重要成分","两档成分")))</x:f>
        <x:v>待定</x:v>
      </x:c>
      <x:c r="M293" s="1" t="str">
        <x:f>IF(NOT(ISNUMBER(J293)),"",IF(J293&gt;=2,3,2))</x:f>
      </x:c>
      <x:c r="N293" s="1" t="str">
        <x:f>IF(NOT(ISNUMBER(J293)),"缺少可算OAV",IF(J293&gt;=2,"最大值、中位值、低值待校准","最大值、中位值"))</x:f>
        <x:v>缺少可算OAV</x:v>
      </x:c>
      <x:c r="O293" s="1" t="str">
        <x:f>IF(NOT(ISNUMBER(J293)),"待定",IF(J293&lt;2,"不设第三档",IF(J293&lt;=5,"中位OAV≤5；低档须低于中位浓度","低档需预试确认与中档可区分")))</x:f>
        <x:v>待定</x:v>
      </x:c>
    </x:row>
    <x:row r="294" ht="23" customHeight="1">
      <x:c r="A294" s="1" t="n">
        <x:f>'浓度与阈值来源'!A294</x:f>
        <x:v>289</x:v>
      </x:c>
      <x:c r="B294" s="1" t="str">
        <x:f>IF('浓度与阈值来源'!B294="","",'浓度与阈值来源'!B294)</x:f>
      </x:c>
      <x:c r="C294" s="1" t="str">
        <x:f>IF('浓度与阈值来源'!C294="","",'浓度与阈值来源'!C294)</x:f>
      </x:c>
      <x:c r="D294" s="1" t="str">
        <x:v>2-Pentanone</x:v>
      </x:c>
      <x:c r="E294" s="5" t="str">
        <x:f>IF('浓度与阈值来源'!D294&gt;0,'浓度与阈值来源'!D294,"")</x:f>
      </x:c>
      <x:c r="F294" s="6" t="n">
        <x:f>COUNT('浓度与阈值来源'!E294:DM294)</x:f>
        <x:v>0</x:v>
      </x:c>
      <x:c r="G294" s="5" t="str">
        <x:f>IF(F294=0,"",MAX('浓度与阈值来源'!E294:DM294))</x:f>
      </x:c>
      <x:c r="H294" s="5" t="str">
        <x:f>IF(F294=0,"",MEDIAN('浓度与阈值来源'!E294:DM294))</x:f>
      </x:c>
      <x:c r="I294" s="7" t="str">
        <x:f>IF(AND(ISNUMBER(E294),E294&gt;0,F294&gt;0),G294/E294,"")</x:f>
      </x:c>
      <x:c r="J294" s="7" t="str">
        <x:f>IF(AND(ISNUMBER(E294),E294&gt;0,F294&gt;0),H294/E294,"")</x:f>
      </x:c>
      <x:c r="K294" s="1" t="str">
        <x:f>IF(F294=0,"无浓度数据",IF(E294="","缺周表阈值","可计算"))</x:f>
        <x:v>无浓度数据</x:v>
      </x:c>
      <x:c r="L294" s="1" t="str">
        <x:f>IF(NOT(ISNUMBER(J294)),"待定",IF(J294&gt;50,"骨架成分",IF(J294&gt;=2,"重要成分","两档成分")))</x:f>
        <x:v>待定</x:v>
      </x:c>
      <x:c r="M294" s="1" t="str">
        <x:f>IF(NOT(ISNUMBER(J294)),"",IF(J294&gt;=2,3,2))</x:f>
      </x:c>
      <x:c r="N294" s="1" t="str">
        <x:f>IF(NOT(ISNUMBER(J294)),"缺少可算OAV",IF(J294&gt;=2,"最大值、中位值、低值待校准","最大值、中位值"))</x:f>
        <x:v>缺少可算OAV</x:v>
      </x:c>
      <x:c r="O294" s="1" t="str">
        <x:f>IF(NOT(ISNUMBER(J294)),"待定",IF(J294&lt;2,"不设第三档",IF(J294&lt;=5,"中位OAV≤5；低档须低于中位浓度","低档需预试确认与中档可区分")))</x:f>
        <x:v>待定</x:v>
      </x:c>
    </x:row>
    <x:row r="295" ht="23" customHeight="1">
      <x:c r="A295" s="1" t="n">
        <x:f>'浓度与阈值来源'!A295</x:f>
        <x:v>290</x:v>
      </x:c>
      <x:c r="B295" s="1" t="str">
        <x:f>IF('浓度与阈值来源'!B295="","",'浓度与阈值来源'!B295)</x:f>
        <x:v>2-壬酮2-nonanone</x:v>
      </x:c>
      <x:c r="C295" s="1" t="str">
        <x:f>IF('浓度与阈值来源'!C295="","",'浓度与阈值来源'!C295)</x:f>
      </x:c>
      <x:c r="D295" s="1" t="str">
        <x:v>2-壬酮2-Nonanone</x:v>
      </x:c>
      <x:c r="E295" s="5" t="n">
        <x:f>IF('浓度与阈值来源'!D295&gt;0,'浓度与阈值来源'!D295,"")</x:f>
        <x:v>393</x:v>
      </x:c>
      <x:c r="F295" s="6" t="n">
        <x:f>COUNT('浓度与阈值来源'!E295:DM295)</x:f>
        <x:v>0</x:v>
      </x:c>
      <x:c r="G295" s="5" t="str">
        <x:f>IF(F295=0,"",MAX('浓度与阈值来源'!E295:DM295))</x:f>
      </x:c>
      <x:c r="H295" s="5" t="str">
        <x:f>IF(F295=0,"",MEDIAN('浓度与阈值来源'!E295:DM295))</x:f>
      </x:c>
      <x:c r="I295" s="7" t="str">
        <x:f>IF(AND(ISNUMBER(E295),E295&gt;0,F295&gt;0),G295/E295,"")</x:f>
      </x:c>
      <x:c r="J295" s="7" t="str">
        <x:f>IF(AND(ISNUMBER(E295),E295&gt;0,F295&gt;0),H295/E295,"")</x:f>
      </x:c>
      <x:c r="K295" s="1" t="str">
        <x:f>IF(F295=0,"无浓度数据",IF(E295="","缺周表阈值","可计算"))</x:f>
        <x:v>无浓度数据</x:v>
      </x:c>
      <x:c r="L295" s="1" t="str">
        <x:f>IF(NOT(ISNUMBER(J295)),"待定",IF(J295&gt;50,"骨架成分",IF(J295&gt;=2,"重要成分","两档成分")))</x:f>
        <x:v>待定</x:v>
      </x:c>
      <x:c r="M295" s="1" t="str">
        <x:f>IF(NOT(ISNUMBER(J295)),"",IF(J295&gt;=2,3,2))</x:f>
      </x:c>
      <x:c r="N295" s="1" t="str">
        <x:f>IF(NOT(ISNUMBER(J295)),"缺少可算OAV",IF(J295&gt;=2,"最大值、中位值、低值待校准","最大值、中位值"))</x:f>
        <x:v>缺少可算OAV</x:v>
      </x:c>
      <x:c r="O295" s="1" t="str">
        <x:f>IF(NOT(ISNUMBER(J295)),"待定",IF(J295&lt;2,"不设第三档",IF(J295&lt;=5,"中位OAV≤5；低档须低于中位浓度","低档需预试确认与中档可区分")))</x:f>
        <x:v>待定</x:v>
      </x:c>
    </x:row>
    <x:row r="296" ht="23" customHeight="1">
      <x:c r="A296" s="1" t="n">
        <x:f>'浓度与阈值来源'!A296</x:f>
        <x:v>291</x:v>
      </x:c>
      <x:c r="B296" s="1" t="str">
        <x:f>IF('浓度与阈值来源'!B296="","",'浓度与阈值来源'!B296)</x:f>
        <x:v>2-庚醇2-heptanol</x:v>
      </x:c>
      <x:c r="C296" s="1" t="str">
        <x:f>IF('浓度与阈值来源'!C296="","",'浓度与阈值来源'!C296)</x:f>
      </x:c>
      <x:c r="D296" s="1" t="str">
        <x:v>2-庚醇2-Heptanol</x:v>
      </x:c>
      <x:c r="E296" s="5" t="n">
        <x:f>IF('浓度与阈值来源'!D296&gt;0,'浓度与阈值来源'!D296,"")</x:f>
        <x:v>1431</x:v>
      </x:c>
      <x:c r="F296" s="6" t="n">
        <x:f>COUNT('浓度与阈值来源'!E296:DM296)</x:f>
        <x:v>0</x:v>
      </x:c>
      <x:c r="G296" s="5" t="str">
        <x:f>IF(F296=0,"",MAX('浓度与阈值来源'!E296:DM296))</x:f>
      </x:c>
      <x:c r="H296" s="5" t="str">
        <x:f>IF(F296=0,"",MEDIAN('浓度与阈值来源'!E296:DM296))</x:f>
      </x:c>
      <x:c r="I296" s="7" t="str">
        <x:f>IF(AND(ISNUMBER(E296),E296&gt;0,F296&gt;0),G296/E296,"")</x:f>
      </x:c>
      <x:c r="J296" s="7" t="str">
        <x:f>IF(AND(ISNUMBER(E296),E296&gt;0,F296&gt;0),H296/E296,"")</x:f>
      </x:c>
      <x:c r="K296" s="1" t="str">
        <x:f>IF(F296=0,"无浓度数据",IF(E296="","缺周表阈值","可计算"))</x:f>
        <x:v>无浓度数据</x:v>
      </x:c>
      <x:c r="L296" s="1" t="str">
        <x:f>IF(NOT(ISNUMBER(J296)),"待定",IF(J296&gt;50,"骨架成分",IF(J296&gt;=2,"重要成分","两档成分")))</x:f>
        <x:v>待定</x:v>
      </x:c>
      <x:c r="M296" s="1" t="str">
        <x:f>IF(NOT(ISNUMBER(J296)),"",IF(J296&gt;=2,3,2))</x:f>
      </x:c>
      <x:c r="N296" s="1" t="str">
        <x:f>IF(NOT(ISNUMBER(J296)),"缺少可算OAV",IF(J296&gt;=2,"最大值、中位值、低值待校准","最大值、中位值"))</x:f>
        <x:v>缺少可算OAV</x:v>
      </x:c>
      <x:c r="O296" s="1" t="str">
        <x:f>IF(NOT(ISNUMBER(J296)),"待定",IF(J296&lt;2,"不设第三档",IF(J296&lt;=5,"中位OAV≤5；低档须低于中位浓度","低档需预试确认与中档可区分")))</x:f>
        <x:v>待定</x:v>
      </x:c>
    </x:row>
    <x:row r="297" ht="23" customHeight="1">
      <x:c r="A297" s="1" t="n">
        <x:f>'浓度与阈值来源'!A297</x:f>
        <x:v>292</x:v>
      </x:c>
      <x:c r="B297" s="1" t="str">
        <x:f>IF('浓度与阈值来源'!B297="","",'浓度与阈值来源'!B297)</x:f>
        <x:v>2-癸醛decanal</x:v>
      </x:c>
      <x:c r="C297" s="1" t="str">
        <x:f>IF('浓度与阈值来源'!C297="","",'浓度与阈值来源'!C297)</x:f>
      </x:c>
      <x:c r="D297" s="1" t="str">
        <x:v>2-癸醛Decanal</x:v>
      </x:c>
      <x:c r="E297" s="5" t="str">
        <x:f>IF('浓度与阈值来源'!D297&gt;0,'浓度与阈值来源'!D297,"")</x:f>
      </x:c>
      <x:c r="F297" s="6" t="n">
        <x:f>COUNT('浓度与阈值来源'!E297:DM297)</x:f>
        <x:v>0</x:v>
      </x:c>
      <x:c r="G297" s="5" t="str">
        <x:f>IF(F297=0,"",MAX('浓度与阈值来源'!E297:DM297))</x:f>
      </x:c>
      <x:c r="H297" s="5" t="str">
        <x:f>IF(F297=0,"",MEDIAN('浓度与阈值来源'!E297:DM297))</x:f>
      </x:c>
      <x:c r="I297" s="7" t="str">
        <x:f>IF(AND(ISNUMBER(E297),E297&gt;0,F297&gt;0),G297/E297,"")</x:f>
      </x:c>
      <x:c r="J297" s="7" t="str">
        <x:f>IF(AND(ISNUMBER(E297),E297&gt;0,F297&gt;0),H297/E297,"")</x:f>
      </x:c>
      <x:c r="K297" s="1" t="str">
        <x:f>IF(F297=0,"无浓度数据",IF(E297="","缺周表阈值","可计算"))</x:f>
        <x:v>无浓度数据</x:v>
      </x:c>
      <x:c r="L297" s="1" t="str">
        <x:f>IF(NOT(ISNUMBER(J297)),"待定",IF(J297&gt;50,"骨架成分",IF(J297&gt;=2,"重要成分","两档成分")))</x:f>
        <x:v>待定</x:v>
      </x:c>
      <x:c r="M297" s="1" t="str">
        <x:f>IF(NOT(ISNUMBER(J297)),"",IF(J297&gt;=2,3,2))</x:f>
      </x:c>
      <x:c r="N297" s="1" t="str">
        <x:f>IF(NOT(ISNUMBER(J297)),"缺少可算OAV",IF(J297&gt;=2,"最大值、中位值、低值待校准","最大值、中位值"))</x:f>
        <x:v>缺少可算OAV</x:v>
      </x:c>
      <x:c r="O297" s="1" t="str">
        <x:f>IF(NOT(ISNUMBER(J297)),"待定",IF(J297&lt;2,"不设第三档",IF(J297&lt;=5,"中位OAV≤5；低档须低于中位浓度","低档需预试确认与中档可区分")))</x:f>
        <x:v>待定</x:v>
      </x:c>
    </x:row>
    <x:row r="298" ht="23" customHeight="1">
      <x:c r="A298" s="1" t="n">
        <x:f>'浓度与阈值来源'!A298</x:f>
        <x:v>293</x:v>
      </x:c>
      <x:c r="B298" s="1" t="str">
        <x:f>IF('浓度与阈值来源'!B298="","",'浓度与阈值来源'!B298)</x:f>
        <x:v>2-苯乙酸乙酯ethyl 2-phenylacetate</x:v>
      </x:c>
      <x:c r="C298" s="1" t="str">
        <x:f>IF('浓度与阈值来源'!C298="","",'浓度与阈值来源'!C298)</x:f>
      </x:c>
      <x:c r="D298" s="1" t="str">
        <x:v>2-苯乙酸乙酯Ethyl 2-Phenylacetate</x:v>
      </x:c>
      <x:c r="E298" s="5" t="n">
        <x:f>IF('浓度与阈值来源'!D298&gt;0,'浓度与阈值来源'!D298,"")</x:f>
        <x:v>407</x:v>
      </x:c>
      <x:c r="F298" s="6" t="n">
        <x:f>COUNT('浓度与阈值来源'!E298:DM298)</x:f>
        <x:v>0</x:v>
      </x:c>
      <x:c r="G298" s="5" t="str">
        <x:f>IF(F298=0,"",MAX('浓度与阈值来源'!E298:DM298))</x:f>
      </x:c>
      <x:c r="H298" s="5" t="str">
        <x:f>IF(F298=0,"",MEDIAN('浓度与阈值来源'!E298:DM298))</x:f>
      </x:c>
      <x:c r="I298" s="7" t="str">
        <x:f>IF(AND(ISNUMBER(E298),E298&gt;0,F298&gt;0),G298/E298,"")</x:f>
      </x:c>
      <x:c r="J298" s="7" t="str">
        <x:f>IF(AND(ISNUMBER(E298),E298&gt;0,F298&gt;0),H298/E298,"")</x:f>
      </x:c>
      <x:c r="K298" s="1" t="str">
        <x:f>IF(F298=0,"无浓度数据",IF(E298="","缺周表阈值","可计算"))</x:f>
        <x:v>无浓度数据</x:v>
      </x:c>
      <x:c r="L298" s="1" t="str">
        <x:f>IF(NOT(ISNUMBER(J298)),"待定",IF(J298&gt;50,"骨架成分",IF(J298&gt;=2,"重要成分","两档成分")))</x:f>
        <x:v>待定</x:v>
      </x:c>
      <x:c r="M298" s="1" t="str">
        <x:f>IF(NOT(ISNUMBER(J298)),"",IF(J298&gt;=2,3,2))</x:f>
      </x:c>
      <x:c r="N298" s="1" t="str">
        <x:f>IF(NOT(ISNUMBER(J298)),"缺少可算OAV",IF(J298&gt;=2,"最大值、中位值、低值待校准","最大值、中位值"))</x:f>
        <x:v>缺少可算OAV</x:v>
      </x:c>
      <x:c r="O298" s="1" t="str">
        <x:f>IF(NOT(ISNUMBER(J298)),"待定",IF(J298&lt;2,"不设第三档",IF(J298&lt;=5,"中位OAV≤5；低档须低于中位浓度","低档需预试确认与中档可区分")))</x:f>
        <x:v>待定</x:v>
      </x:c>
    </x:row>
    <x:row r="299" ht="23" customHeight="1">
      <x:c r="A299" s="1" t="n">
        <x:f>'浓度与阈值来源'!A299</x:f>
        <x:v>294</x:v>
      </x:c>
      <x:c r="B299" s="1" t="str">
        <x:f>IF('浓度与阈值来源'!B299="","",'浓度与阈值来源'!B299)</x:f>
        <x:v>2-苯乙酸乙酯（mg·L-1）</x:v>
      </x:c>
      <x:c r="C299" s="1" t="str">
        <x:f>IF('浓度与阈值来源'!C299="","",'浓度与阈值来源'!C299)</x:f>
      </x:c>
      <x:c r="D299" s="1" t="str">
        <x:v>2-苯乙酸乙酯（Mg·L-1）</x:v>
      </x:c>
      <x:c r="E299" s="5" t="n">
        <x:f>IF('浓度与阈值来源'!D299&gt;0,'浓度与阈值来源'!D299,"")</x:f>
        <x:v>407</x:v>
      </x:c>
      <x:c r="F299" s="6" t="n">
        <x:f>COUNT('浓度与阈值来源'!E299:DM299)</x:f>
        <x:v>4</x:v>
      </x:c>
      <x:c r="G299" s="5" t="n">
        <x:f>IF(F299=0,"",MAX('浓度与阈值来源'!E299:DM299))</x:f>
        <x:v>18.59</x:v>
      </x:c>
      <x:c r="H299" s="5" t="n">
        <x:f>IF(F299=0,"",MEDIAN('浓度与阈值来源'!E299:DM299))</x:f>
        <x:v>12.7</x:v>
      </x:c>
      <x:c r="I299" s="7" t="n">
        <x:f>IF(AND(ISNUMBER(E299),E299&gt;0,F299&gt;0),G299/E299,"")</x:f>
        <x:v>0.045675675675675674</x:v>
      </x:c>
      <x:c r="J299" s="7" t="n">
        <x:f>IF(AND(ISNUMBER(E299),E299&gt;0,F299&gt;0),H299/E299,"")</x:f>
        <x:v>0.031203931203931203</x:v>
      </x:c>
      <x:c r="K299" s="1" t="str">
        <x:f>IF(F299=0,"无浓度数据",IF(E299="","缺周表阈值","可计算"))</x:f>
        <x:v>可计算</x:v>
      </x:c>
      <x:c r="L299" s="1" t="str">
        <x:f>IF(NOT(ISNUMBER(J299)),"待定",IF(J299&gt;50,"骨架成分",IF(J299&gt;=2,"重要成分","两档成分")))</x:f>
        <x:v>两档成分</x:v>
      </x:c>
      <x:c r="M299" s="1" t="n">
        <x:f>IF(NOT(ISNUMBER(J299)),"",IF(J299&gt;=2,3,2))</x:f>
        <x:v>2</x:v>
      </x:c>
      <x:c r="N299" s="1" t="str">
        <x:f>IF(NOT(ISNUMBER(J299)),"缺少可算OAV",IF(J299&gt;=2,"最大值、中位值、低值待校准","最大值、中位值"))</x:f>
        <x:v>最大值、中位值</x:v>
      </x:c>
      <x:c r="O299" s="1" t="str">
        <x:f>IF(NOT(ISNUMBER(J299)),"待定",IF(J299&lt;2,"不设第三档",IF(J299&lt;=5,"中位OAV≤5；低档须低于中位浓度","低档需预试确认与中档可区分")))</x:f>
        <x:v>不设第三档</x:v>
      </x:c>
    </x:row>
    <x:row r="300" ht="23" customHeight="1">
      <x:c r="A300" s="1" t="n">
        <x:f>'浓度与阈值来源'!A300</x:f>
        <x:v>295</x:v>
      </x:c>
      <x:c r="B300" s="1" t="str">
        <x:f>IF('浓度与阈值来源'!B300="","",'浓度与阈值来源'!B300)</x:f>
        <x:v>2-辛酮2-octanone</x:v>
      </x:c>
      <x:c r="C300" s="1" t="str">
        <x:f>IF('浓度与阈值来源'!C300="","",'浓度与阈值来源'!C300)</x:f>
      </x:c>
      <x:c r="D300" s="1" t="str">
        <x:v>2-辛酮2-Octanone</x:v>
      </x:c>
      <x:c r="E300" s="5" t="n">
        <x:f>IF('浓度与阈值来源'!D300&gt;0,'浓度与阈值来源'!D300,"")</x:f>
        <x:v>250</x:v>
      </x:c>
      <x:c r="F300" s="6" t="n">
        <x:f>COUNT('浓度与阈值来源'!E300:DM300)</x:f>
        <x:v>0</x:v>
      </x:c>
      <x:c r="G300" s="5" t="str">
        <x:f>IF(F300=0,"",MAX('浓度与阈值来源'!E300:DM300))</x:f>
      </x:c>
      <x:c r="H300" s="5" t="str">
        <x:f>IF(F300=0,"",MEDIAN('浓度与阈值来源'!E300:DM300))</x:f>
      </x:c>
      <x:c r="I300" s="7" t="str">
        <x:f>IF(AND(ISNUMBER(E300),E300&gt;0,F300&gt;0),G300/E300,"")</x:f>
      </x:c>
      <x:c r="J300" s="7" t="str">
        <x:f>IF(AND(ISNUMBER(E300),E300&gt;0,F300&gt;0),H300/E300,"")</x:f>
      </x:c>
      <x:c r="K300" s="1" t="str">
        <x:f>IF(F300=0,"无浓度数据",IF(E300="","缺周表阈值","可计算"))</x:f>
        <x:v>无浓度数据</x:v>
      </x:c>
      <x:c r="L300" s="1" t="str">
        <x:f>IF(NOT(ISNUMBER(J300)),"待定",IF(J300&gt;50,"骨架成分",IF(J300&gt;=2,"重要成分","两档成分")))</x:f>
        <x:v>待定</x:v>
      </x:c>
      <x:c r="M300" s="1" t="str">
        <x:f>IF(NOT(ISNUMBER(J300)),"",IF(J300&gt;=2,3,2))</x:f>
      </x:c>
      <x:c r="N300" s="1" t="str">
        <x:f>IF(NOT(ISNUMBER(J300)),"缺少可算OAV",IF(J300&gt;=2,"最大值、中位值、低值待校准","最大值、中位值"))</x:f>
        <x:v>缺少可算OAV</x:v>
      </x:c>
      <x:c r="O300" s="1" t="str">
        <x:f>IF(NOT(ISNUMBER(J300)),"待定",IF(J300&lt;2,"不设第三档",IF(J300&lt;=5,"中位OAV≤5；低档须低于中位浓度","低档需预试确认与中档可区分")))</x:f>
        <x:v>待定</x:v>
      </x:c>
    </x:row>
    <x:row r="301" ht="23" customHeight="1">
      <x:c r="A301" s="1" t="n">
        <x:f>'浓度与阈值来源'!A301</x:f>
        <x:v>296</x:v>
      </x:c>
      <x:c r="B301" s="1" t="str">
        <x:f>IF('浓度与阈值来源'!B301="","",'浓度与阈值来源'!B301)</x:f>
        <x:v>2.3- 丁二醇</x:v>
      </x:c>
      <x:c r="C301" s="1" t="str">
        <x:f>IF('浓度与阈值来源'!C301="","",'浓度与阈值来源'!C301)</x:f>
      </x:c>
      <x:c r="D301" s="1" t="str">
        <x:v>2.3- 丁二醇</x:v>
      </x:c>
      <x:c r="E301" s="5" t="str">
        <x:f>IF('浓度与阈值来源'!D301&gt;0,'浓度与阈值来源'!D301,"")</x:f>
      </x:c>
      <x:c r="F301" s="6" t="n">
        <x:f>COUNT('浓度与阈值来源'!E301:DM301)</x:f>
        <x:v>3</x:v>
      </x:c>
      <x:c r="G301" s="5" t="n">
        <x:f>IF(F301=0,"",MAX('浓度与阈值来源'!E301:DM301))</x:f>
        <x:v>850</x:v>
      </x:c>
      <x:c r="H301" s="5" t="n">
        <x:f>IF(F301=0,"",MEDIAN('浓度与阈值来源'!E301:DM301))</x:f>
        <x:v>800</x:v>
      </x:c>
      <x:c r="I301" s="7" t="str">
        <x:f>IF(AND(ISNUMBER(E301),E301&gt;0,F301&gt;0),G301/E301,"")</x:f>
      </x:c>
      <x:c r="J301" s="7" t="str">
        <x:f>IF(AND(ISNUMBER(E301),E301&gt;0,F301&gt;0),H301/E301,"")</x:f>
      </x:c>
      <x:c r="K301" s="1" t="str">
        <x:f>IF(F301=0,"无浓度数据",IF(E301="","缺周表阈值","可计算"))</x:f>
        <x:v>缺周表阈值</x:v>
      </x:c>
      <x:c r="L301" s="1" t="str">
        <x:f>IF(NOT(ISNUMBER(J301)),"待定",IF(J301&gt;50,"骨架成分",IF(J301&gt;=2,"重要成分","两档成分")))</x:f>
        <x:v>待定</x:v>
      </x:c>
      <x:c r="M301" s="1" t="str">
        <x:f>IF(NOT(ISNUMBER(J301)),"",IF(J301&gt;=2,3,2))</x:f>
      </x:c>
      <x:c r="N301" s="1" t="str">
        <x:f>IF(NOT(ISNUMBER(J301)),"缺少可算OAV",IF(J301&gt;=2,"最大值、中位值、低值待校准","最大值、中位值"))</x:f>
        <x:v>缺少可算OAV</x:v>
      </x:c>
      <x:c r="O301" s="1" t="str">
        <x:f>IF(NOT(ISNUMBER(J301)),"待定",IF(J301&lt;2,"不设第三档",IF(J301&lt;=5,"中位OAV≤5；低档须低于中位浓度","低档需预试确认与中档可区分")))</x:f>
        <x:v>待定</x:v>
      </x:c>
    </x:row>
    <x:row r="302" ht="23" customHeight="1">
      <x:c r="A302" s="1" t="n">
        <x:f>'浓度与阈值来源'!A302</x:f>
        <x:v>297</x:v>
      </x:c>
      <x:c r="B302" s="1" t="str">
        <x:f>IF('浓度与阈值来源'!B302="","",'浓度与阈值来源'!B302)</x:f>
        <x:v>2，3－丁二醇</x:v>
      </x:c>
      <x:c r="C302" s="1" t="str">
        <x:f>IF('浓度与阈值来源'!C302="","",'浓度与阈值来源'!C302)</x:f>
      </x:c>
      <x:c r="D302" s="1" t="str">
        <x:v>2，3－丁二醇</x:v>
      </x:c>
      <x:c r="E302" s="5" t="str">
        <x:f>IF('浓度与阈值来源'!D302&gt;0,'浓度与阈值来源'!D302,"")</x:f>
      </x:c>
      <x:c r="F302" s="6" t="n">
        <x:f>COUNT('浓度与阈值来源'!E302:DM302)</x:f>
        <x:v>9</x:v>
      </x:c>
      <x:c r="G302" s="5" t="n">
        <x:f>IF(F302=0,"",MAX('浓度与阈值来源'!E302:DM302))</x:f>
        <x:v>10900</x:v>
      </x:c>
      <x:c r="H302" s="5" t="n">
        <x:f>IF(F302=0,"",MEDIAN('浓度与阈值来源'!E302:DM302))</x:f>
        <x:v>5400</x:v>
      </x:c>
      <x:c r="I302" s="7" t="str">
        <x:f>IF(AND(ISNUMBER(E302),E302&gt;0,F302&gt;0),G302/E302,"")</x:f>
      </x:c>
      <x:c r="J302" s="7" t="str">
        <x:f>IF(AND(ISNUMBER(E302),E302&gt;0,F302&gt;0),H302/E302,"")</x:f>
      </x:c>
      <x:c r="K302" s="1" t="str">
        <x:f>IF(F302=0,"无浓度数据",IF(E302="","缺周表阈值","可计算"))</x:f>
        <x:v>缺周表阈值</x:v>
      </x:c>
      <x:c r="L302" s="1" t="str">
        <x:f>IF(NOT(ISNUMBER(J302)),"待定",IF(J302&gt;50,"骨架成分",IF(J302&gt;=2,"重要成分","两档成分")))</x:f>
        <x:v>待定</x:v>
      </x:c>
      <x:c r="M302" s="1" t="str">
        <x:f>IF(NOT(ISNUMBER(J302)),"",IF(J302&gt;=2,3,2))</x:f>
      </x:c>
      <x:c r="N302" s="1" t="str">
        <x:f>IF(NOT(ISNUMBER(J302)),"缺少可算OAV",IF(J302&gt;=2,"最大值、中位值、低值待校准","最大值、中位值"))</x:f>
        <x:v>缺少可算OAV</x:v>
      </x:c>
      <x:c r="O302" s="1" t="str">
        <x:f>IF(NOT(ISNUMBER(J302)),"待定",IF(J302&lt;2,"不设第三档",IF(J302&lt;=5,"中位OAV≤5；低档须低于中位浓度","低档需预试确认与中档可区分")))</x:f>
        <x:v>待定</x:v>
      </x:c>
    </x:row>
    <x:row r="303" ht="23" customHeight="1">
      <x:c r="A303" s="1" t="n">
        <x:f>'浓度与阈值来源'!A303</x:f>
        <x:v>298</x:v>
      </x:c>
      <x:c r="B303" s="1" t="str">
        <x:f>IF('浓度与阈值来源'!B303="","",'浓度与阈值来源'!B303)</x:f>
        <x:v>2－丁醇</x:v>
      </x:c>
      <x:c r="C303" s="1" t="str">
        <x:f>IF('浓度与阈值来源'!C303="","",'浓度与阈值来源'!C303)</x:f>
      </x:c>
      <x:c r="D303" s="1" t="str">
        <x:v>2－丁醇</x:v>
      </x:c>
      <x:c r="E303" s="5" t="n">
        <x:f>IF('浓度与阈值来源'!D303&gt;0,'浓度与阈值来源'!D303,"")</x:f>
        <x:v>50000</x:v>
      </x:c>
      <x:c r="F303" s="6" t="n">
        <x:f>COUNT('浓度与阈值来源'!E303:DM303)</x:f>
        <x:v>9</x:v>
      </x:c>
      <x:c r="G303" s="5" t="n">
        <x:f>IF(F303=0,"",MAX('浓度与阈值来源'!E303:DM303))</x:f>
        <x:v>71600</x:v>
      </x:c>
      <x:c r="H303" s="5" t="n">
        <x:f>IF(F303=0,"",MEDIAN('浓度与阈值来源'!E303:DM303))</x:f>
        <x:v>33700</x:v>
      </x:c>
      <x:c r="I303" s="7" t="n">
        <x:f>IF(AND(ISNUMBER(E303),E303&gt;0,F303&gt;0),G303/E303,"")</x:f>
        <x:v>1.432</x:v>
      </x:c>
      <x:c r="J303" s="7" t="n">
        <x:f>IF(AND(ISNUMBER(E303),E303&gt;0,F303&gt;0),H303/E303,"")</x:f>
        <x:v>0.674</x:v>
      </x:c>
      <x:c r="K303" s="1" t="str">
        <x:f>IF(F303=0,"无浓度数据",IF(E303="","缺周表阈值","可计算"))</x:f>
        <x:v>可计算</x:v>
      </x:c>
      <x:c r="L303" s="1" t="str">
        <x:f>IF(NOT(ISNUMBER(J303)),"待定",IF(J303&gt;50,"骨架成分",IF(J303&gt;=2,"重要成分","两档成分")))</x:f>
        <x:v>两档成分</x:v>
      </x:c>
      <x:c r="M303" s="1" t="n">
        <x:f>IF(NOT(ISNUMBER(J303)),"",IF(J303&gt;=2,3,2))</x:f>
        <x:v>2</x:v>
      </x:c>
      <x:c r="N303" s="1" t="str">
        <x:f>IF(NOT(ISNUMBER(J303)),"缺少可算OAV",IF(J303&gt;=2,"最大值、中位值、低值待校准","最大值、中位值"))</x:f>
        <x:v>最大值、中位值</x:v>
      </x:c>
      <x:c r="O303" s="1" t="str">
        <x:f>IF(NOT(ISNUMBER(J303)),"待定",IF(J303&lt;2,"不设第三档",IF(J303&lt;=5,"中位OAV≤5；低档须低于中位浓度","低档需预试确认与中档可区分")))</x:f>
        <x:v>不设第三档</x:v>
      </x:c>
    </x:row>
    <x:row r="304" ht="23" customHeight="1">
      <x:c r="A304" s="1" t="n">
        <x:f>'浓度与阈值来源'!A304</x:f>
        <x:v>299</x:v>
      </x:c>
      <x:c r="B304" s="1" t="str">
        <x:f>IF('浓度与阈值来源'!B304="","",'浓度与阈值来源'!B304)</x:f>
        <x:v>2－戊酮</x:v>
      </x:c>
      <x:c r="C304" s="1" t="str">
        <x:f>IF('浓度与阈值来源'!C304="","",'浓度与阈值来源'!C304)</x:f>
      </x:c>
      <x:c r="D304" s="1" t="str">
        <x:v>2－戊酮</x:v>
      </x:c>
      <x:c r="E304" s="5" t="str">
        <x:f>IF('浓度与阈值来源'!D304&gt;0,'浓度与阈值来源'!D304,"")</x:f>
      </x:c>
      <x:c r="F304" s="6" t="n">
        <x:f>COUNT('浓度与阈值来源'!E304:DM304)</x:f>
        <x:v>9</x:v>
      </x:c>
      <x:c r="G304" s="5" t="n">
        <x:f>IF(F304=0,"",MAX('浓度与阈值来源'!E304:DM304))</x:f>
        <x:v>4900</x:v>
      </x:c>
      <x:c r="H304" s="5" t="n">
        <x:f>IF(F304=0,"",MEDIAN('浓度与阈值来源'!E304:DM304))</x:f>
        <x:v>1400</x:v>
      </x:c>
      <x:c r="I304" s="7" t="str">
        <x:f>IF(AND(ISNUMBER(E304),E304&gt;0,F304&gt;0),G304/E304,"")</x:f>
      </x:c>
      <x:c r="J304" s="7" t="str">
        <x:f>IF(AND(ISNUMBER(E304),E304&gt;0,F304&gt;0),H304/E304,"")</x:f>
      </x:c>
      <x:c r="K304" s="1" t="str">
        <x:f>IF(F304=0,"无浓度数据",IF(E304="","缺周表阈值","可计算"))</x:f>
        <x:v>缺周表阈值</x:v>
      </x:c>
      <x:c r="L304" s="1" t="str">
        <x:f>IF(NOT(ISNUMBER(J304)),"待定",IF(J304&gt;50,"骨架成分",IF(J304&gt;=2,"重要成分","两档成分")))</x:f>
        <x:v>待定</x:v>
      </x:c>
      <x:c r="M304" s="1" t="str">
        <x:f>IF(NOT(ISNUMBER(J304)),"",IF(J304&gt;=2,3,2))</x:f>
      </x:c>
      <x:c r="N304" s="1" t="str">
        <x:f>IF(NOT(ISNUMBER(J304)),"缺少可算OAV",IF(J304&gt;=2,"最大值、中位值、低值待校准","最大值、中位值"))</x:f>
        <x:v>缺少可算OAV</x:v>
      </x:c>
      <x:c r="O304" s="1" t="str">
        <x:f>IF(NOT(ISNUMBER(J304)),"待定",IF(J304&lt;2,"不设第三档",IF(J304&lt;=5,"中位OAV≤5；低档须低于中位浓度","低档需预试确认与中档可区分")))</x:f>
        <x:v>待定</x:v>
      </x:c>
    </x:row>
    <x:row r="305" ht="23" customHeight="1">
      <x:c r="A305" s="1" t="n">
        <x:f>'浓度与阈值来源'!A305</x:f>
        <x:v>300</x:v>
      </x:c>
      <x:c r="B305" s="1" t="str">
        <x:f>IF('浓度与阈值来源'!B305="","",'浓度与阈值来源'!B305)</x:f>
        <x:v>3-甲基-2（3H）-苯并呋喃酮</x:v>
      </x:c>
      <x:c r="C305" s="1" t="str">
        <x:f>IF('浓度与阈值来源'!C305="","",'浓度与阈值来源'!C305)</x:f>
      </x:c>
      <x:c r="D305" s="1" t="str">
        <x:v>3-甲基-2（3H）-苯并呋喃酮</x:v>
      </x:c>
      <x:c r="E305" s="5" t="str">
        <x:f>IF('浓度与阈值来源'!D305&gt;0,'浓度与阈值来源'!D305,"")</x:f>
      </x:c>
      <x:c r="F305" s="6" t="n">
        <x:f>COUNT('浓度与阈值来源'!E305:DM305)</x:f>
        <x:v>1</x:v>
      </x:c>
      <x:c r="G305" s="5" t="n">
        <x:f>IF(F305=0,"",MAX('浓度与阈值来源'!E305:DM305))</x:f>
        <x:v>26.55</x:v>
      </x:c>
      <x:c r="H305" s="5" t="n">
        <x:f>IF(F305=0,"",MEDIAN('浓度与阈值来源'!E305:DM305))</x:f>
        <x:v>26.55</x:v>
      </x:c>
      <x:c r="I305" s="7" t="str">
        <x:f>IF(AND(ISNUMBER(E305),E305&gt;0,F305&gt;0),G305/E305,"")</x:f>
      </x:c>
      <x:c r="J305" s="7" t="str">
        <x:f>IF(AND(ISNUMBER(E305),E305&gt;0,F305&gt;0),H305/E305,"")</x:f>
      </x:c>
      <x:c r="K305" s="1" t="str">
        <x:f>IF(F305=0,"无浓度数据",IF(E305="","缺周表阈值","可计算"))</x:f>
        <x:v>缺周表阈值</x:v>
      </x:c>
      <x:c r="L305" s="1" t="str">
        <x:f>IF(NOT(ISNUMBER(J305)),"待定",IF(J305&gt;50,"骨架成分",IF(J305&gt;=2,"重要成分","两档成分")))</x:f>
        <x:v>待定</x:v>
      </x:c>
      <x:c r="M305" s="1" t="str">
        <x:f>IF(NOT(ISNUMBER(J305)),"",IF(J305&gt;=2,3,2))</x:f>
      </x:c>
      <x:c r="N305" s="1" t="str">
        <x:f>IF(NOT(ISNUMBER(J305)),"缺少可算OAV",IF(J305&gt;=2,"最大值、中位值、低值待校准","最大值、中位值"))</x:f>
        <x:v>缺少可算OAV</x:v>
      </x:c>
      <x:c r="O305" s="1" t="str">
        <x:f>IF(NOT(ISNUMBER(J305)),"待定",IF(J305&lt;2,"不设第三档",IF(J305&lt;=5,"中位OAV≤5；低档须低于中位浓度","低档需预试确认与中档可区分")))</x:f>
        <x:v>待定</x:v>
      </x:c>
    </x:row>
    <x:row r="306" ht="23" customHeight="1">
      <x:c r="A306" s="1" t="n">
        <x:f>'浓度与阈值来源'!A306</x:f>
        <x:v>301</x:v>
      </x:c>
      <x:c r="B306" s="1" t="str">
        <x:f>IF('浓度与阈值来源'!B306="","",'浓度与阈值来源'!B306)</x:f>
        <x:v>3-甲基丁酸3-methylbutanoic acid</x:v>
      </x:c>
      <x:c r="C306" s="1" t="str">
        <x:f>IF('浓度与阈值来源'!C306="","",'浓度与阈值来源'!C306)</x:f>
      </x:c>
      <x:c r="D306" s="1" t="str">
        <x:v>3-甲基丁酸3-Methylbutanoic Acid</x:v>
      </x:c>
      <x:c r="E306" s="5" t="n">
        <x:f>IF('浓度与阈值来源'!D306&gt;0,'浓度与阈值来源'!D306,"")</x:f>
        <x:v>1050</x:v>
      </x:c>
      <x:c r="F306" s="6" t="n">
        <x:f>COUNT('浓度与阈值来源'!E306:DM306)</x:f>
        <x:v>0</x:v>
      </x:c>
      <x:c r="G306" s="5" t="str">
        <x:f>IF(F306=0,"",MAX('浓度与阈值来源'!E306:DM306))</x:f>
      </x:c>
      <x:c r="H306" s="5" t="str">
        <x:f>IF(F306=0,"",MEDIAN('浓度与阈值来源'!E306:DM306))</x:f>
      </x:c>
      <x:c r="I306" s="7" t="str">
        <x:f>IF(AND(ISNUMBER(E306),E306&gt;0,F306&gt;0),G306/E306,"")</x:f>
      </x:c>
      <x:c r="J306" s="7" t="str">
        <x:f>IF(AND(ISNUMBER(E306),E306&gt;0,F306&gt;0),H306/E306,"")</x:f>
      </x:c>
      <x:c r="K306" s="1" t="str">
        <x:f>IF(F306=0,"无浓度数据",IF(E306="","缺周表阈值","可计算"))</x:f>
        <x:v>无浓度数据</x:v>
      </x:c>
      <x:c r="L306" s="1" t="str">
        <x:f>IF(NOT(ISNUMBER(J306)),"待定",IF(J306&gt;50,"骨架成分",IF(J306&gt;=2,"重要成分","两档成分")))</x:f>
        <x:v>待定</x:v>
      </x:c>
      <x:c r="M306" s="1" t="str">
        <x:f>IF(NOT(ISNUMBER(J306)),"",IF(J306&gt;=2,3,2))</x:f>
      </x:c>
      <x:c r="N306" s="1" t="str">
        <x:f>IF(NOT(ISNUMBER(J306)),"缺少可算OAV",IF(J306&gt;=2,"最大值、中位值、低值待校准","最大值、中位值"))</x:f>
        <x:v>缺少可算OAV</x:v>
      </x:c>
      <x:c r="O306" s="1" t="str">
        <x:f>IF(NOT(ISNUMBER(J306)),"待定",IF(J306&lt;2,"不设第三档",IF(J306&lt;=5,"中位OAV≤5；低档须低于中位浓度","低档需预试确认与中档可区分")))</x:f>
        <x:v>待定</x:v>
      </x:c>
    </x:row>
    <x:row r="307" ht="23" customHeight="1">
      <x:c r="A307" s="1" t="n">
        <x:f>'浓度与阈值来源'!A307</x:f>
        <x:v>302</x:v>
      </x:c>
      <x:c r="B307" s="1" t="str">
        <x:f>IF('浓度与阈值来源'!B307="","",'浓度与阈值来源'!B307)</x:f>
        <x:v>3-甲基丁酸（μg·L-1）</x:v>
      </x:c>
      <x:c r="C307" s="1" t="str">
        <x:f>IF('浓度与阈值来源'!C307="","",'浓度与阈值来源'!C307)</x:f>
      </x:c>
      <x:c r="D307" s="1" t="str">
        <x:v>3-甲基丁酸（Μg·L-1）</x:v>
      </x:c>
      <x:c r="E307" s="5" t="n">
        <x:f>IF('浓度与阈值来源'!D307&gt;0,'浓度与阈值来源'!D307,"")</x:f>
        <x:v>1050</x:v>
      </x:c>
      <x:c r="F307" s="6" t="n">
        <x:f>COUNT('浓度与阈值来源'!E307:DM307)</x:f>
        <x:v>2</x:v>
      </x:c>
      <x:c r="G307" s="5" t="n">
        <x:f>IF(F307=0,"",MAX('浓度与阈值来源'!E307:DM307))</x:f>
        <x:v>9157.12</x:v>
      </x:c>
      <x:c r="H307" s="5" t="n">
        <x:f>IF(F307=0,"",MEDIAN('浓度与阈值来源'!E307:DM307))</x:f>
        <x:v>5800.615000000001</x:v>
      </x:c>
      <x:c r="I307" s="7" t="n">
        <x:f>IF(AND(ISNUMBER(E307),E307&gt;0,F307&gt;0),G307/E307,"")</x:f>
        <x:v>8.721066666666667</x:v>
      </x:c>
      <x:c r="J307" s="7" t="n">
        <x:f>IF(AND(ISNUMBER(E307),E307&gt;0,F307&gt;0),H307/E307,"")</x:f>
        <x:v>5.524395238095239</x:v>
      </x:c>
      <x:c r="K307" s="1" t="str">
        <x:f>IF(F307=0,"无浓度数据",IF(E307="","缺周表阈值","可计算"))</x:f>
        <x:v>可计算</x:v>
      </x:c>
      <x:c r="L307" s="1" t="str">
        <x:f>IF(NOT(ISNUMBER(J307)),"待定",IF(J307&gt;50,"骨架成分",IF(J307&gt;=2,"重要成分","两档成分")))</x:f>
        <x:v>重要成分</x:v>
      </x:c>
      <x:c r="M307" s="1" t="n">
        <x:f>IF(NOT(ISNUMBER(J307)),"",IF(J307&gt;=2,3,2))</x:f>
        <x:v>3</x:v>
      </x:c>
      <x:c r="N307" s="1" t="str">
        <x:f>IF(NOT(ISNUMBER(J307)),"缺少可算OAV",IF(J307&gt;=2,"最大值、中位值、低值待校准","最大值、中位值"))</x:f>
        <x:v>最大值、中位值、低值待校准</x:v>
      </x:c>
      <x:c r="O307" s="1" t="str">
        <x:f>IF(NOT(ISNUMBER(J307)),"待定",IF(J307&lt;2,"不设第三档",IF(J307&lt;=5,"中位OAV≤5；低档须低于中位浓度","低档需预试确认与中档可区分")))</x:f>
        <x:v>低档需预试确认与中档可区分</x:v>
      </x:c>
    </x:row>
    <x:row r="308" ht="23" customHeight="1">
      <x:c r="A308" s="1" t="n">
        <x:f>'浓度与阈值来源'!A308</x:f>
        <x:v>303</x:v>
      </x:c>
      <x:c r="B308" s="1" t="str">
        <x:f>IF('浓度与阈值来源'!B308="","",'浓度与阈值来源'!B308)</x:f>
        <x:v>3-甲基丁醛二乙基缩醛</x:v>
      </x:c>
      <x:c r="C308" s="1" t="str">
        <x:f>IF('浓度与阈值来源'!C308="","",'浓度与阈值来源'!C308)</x:f>
      </x:c>
      <x:c r="D308" s="1" t="str">
        <x:v>3-甲基丁醛二乙基缩醛</x:v>
      </x:c>
      <x:c r="E308" s="5" t="str">
        <x:f>IF('浓度与阈值来源'!D308&gt;0,'浓度与阈值来源'!D308,"")</x:f>
      </x:c>
      <x:c r="F308" s="6" t="n">
        <x:f>COUNT('浓度与阈值来源'!E308:DM308)</x:f>
        <x:v>2</x:v>
      </x:c>
      <x:c r="G308" s="5" t="n">
        <x:f>IF(F308=0,"",MAX('浓度与阈值来源'!E308:DM308))</x:f>
        <x:v>15690</x:v>
      </x:c>
      <x:c r="H308" s="5" t="n">
        <x:f>IF(F308=0,"",MEDIAN('浓度与阈值来源'!E308:DM308))</x:f>
        <x:v>11535</x:v>
      </x:c>
      <x:c r="I308" s="7" t="str">
        <x:f>IF(AND(ISNUMBER(E308),E308&gt;0,F308&gt;0),G308/E308,"")</x:f>
      </x:c>
      <x:c r="J308" s="7" t="str">
        <x:f>IF(AND(ISNUMBER(E308),E308&gt;0,F308&gt;0),H308/E308,"")</x:f>
      </x:c>
      <x:c r="K308" s="1" t="str">
        <x:f>IF(F308=0,"无浓度数据",IF(E308="","缺周表阈值","可计算"))</x:f>
        <x:v>缺周表阈值</x:v>
      </x:c>
      <x:c r="L308" s="1" t="str">
        <x:f>IF(NOT(ISNUMBER(J308)),"待定",IF(J308&gt;50,"骨架成分",IF(J308&gt;=2,"重要成分","两档成分")))</x:f>
        <x:v>待定</x:v>
      </x:c>
      <x:c r="M308" s="1" t="str">
        <x:f>IF(NOT(ISNUMBER(J308)),"",IF(J308&gt;=2,3,2))</x:f>
      </x:c>
      <x:c r="N308" s="1" t="str">
        <x:f>IF(NOT(ISNUMBER(J308)),"缺少可算OAV",IF(J308&gt;=2,"最大值、中位值、低值待校准","最大值、中位值"))</x:f>
        <x:v>缺少可算OAV</x:v>
      </x:c>
      <x:c r="O308" s="1" t="str">
        <x:f>IF(NOT(ISNUMBER(J308)),"待定",IF(J308&lt;2,"不设第三档",IF(J308&lt;=5,"中位OAV≤5；低档须低于中位浓度","低档需预试确认与中档可区分")))</x:f>
        <x:v>待定</x:v>
      </x:c>
    </x:row>
    <x:row r="309" ht="23" customHeight="1">
      <x:c r="A309" s="1" t="n">
        <x:f>'浓度与阈值来源'!A309</x:f>
        <x:v>304</x:v>
      </x:c>
      <x:c r="B309" s="1" t="str">
        <x:f>IF('浓度与阈值来源'!B309="","",'浓度与阈值来源'!B309)</x:f>
        <x:v>3-苯丙酸乙酯ethyl 3-phenylpropanoate</x:v>
      </x:c>
      <x:c r="C309" s="1" t="str">
        <x:f>IF('浓度与阈值来源'!C309="","",'浓度与阈值来源'!C309)</x:f>
      </x:c>
      <x:c r="D309" s="1" t="str">
        <x:v>3-苯丙酸乙酯Ethyl 3-Phenylpropanoate</x:v>
      </x:c>
      <x:c r="E309" s="5" t="n">
        <x:f>IF('浓度与阈值来源'!D309&gt;0,'浓度与阈值来源'!D309,"")</x:f>
        <x:v>125</x:v>
      </x:c>
      <x:c r="F309" s="6" t="n">
        <x:f>COUNT('浓度与阈值来源'!E309:DM309)</x:f>
        <x:v>0</x:v>
      </x:c>
      <x:c r="G309" s="5" t="str">
        <x:f>IF(F309=0,"",MAX('浓度与阈值来源'!E309:DM309))</x:f>
      </x:c>
      <x:c r="H309" s="5" t="str">
        <x:f>IF(F309=0,"",MEDIAN('浓度与阈值来源'!E309:DM309))</x:f>
      </x:c>
      <x:c r="I309" s="7" t="str">
        <x:f>IF(AND(ISNUMBER(E309),E309&gt;0,F309&gt;0),G309/E309,"")</x:f>
      </x:c>
      <x:c r="J309" s="7" t="str">
        <x:f>IF(AND(ISNUMBER(E309),E309&gt;0,F309&gt;0),H309/E309,"")</x:f>
      </x:c>
      <x:c r="K309" s="1" t="str">
        <x:f>IF(F309=0,"无浓度数据",IF(E309="","缺周表阈值","可计算"))</x:f>
        <x:v>无浓度数据</x:v>
      </x:c>
      <x:c r="L309" s="1" t="str">
        <x:f>IF(NOT(ISNUMBER(J309)),"待定",IF(J309&gt;50,"骨架成分",IF(J309&gt;=2,"重要成分","两档成分")))</x:f>
        <x:v>待定</x:v>
      </x:c>
      <x:c r="M309" s="1" t="str">
        <x:f>IF(NOT(ISNUMBER(J309)),"",IF(J309&gt;=2,3,2))</x:f>
      </x:c>
      <x:c r="N309" s="1" t="str">
        <x:f>IF(NOT(ISNUMBER(J309)),"缺少可算OAV",IF(J309&gt;=2,"最大值、中位值、低值待校准","最大值、中位值"))</x:f>
        <x:v>缺少可算OAV</x:v>
      </x:c>
      <x:c r="O309" s="1" t="str">
        <x:f>IF(NOT(ISNUMBER(J309)),"待定",IF(J309&lt;2,"不设第三档",IF(J309&lt;=5,"中位OAV≤5；低档须低于中位浓度","低档需预试确认与中档可区分")))</x:f>
        <x:v>待定</x:v>
      </x:c>
    </x:row>
    <x:row r="310" ht="23" customHeight="1">
      <x:c r="A310" s="1" t="n">
        <x:f>'浓度与阈值来源'!A310</x:f>
        <x:v>305</x:v>
      </x:c>
      <x:c r="B310" s="1" t="str">
        <x:f>IF('浓度与阈值来源'!B310="","",'浓度与阈值来源'!B310)</x:f>
        <x:v>3-苯丙酸乙酯（mg·L-1）</x:v>
      </x:c>
      <x:c r="C310" s="1" t="str">
        <x:f>IF('浓度与阈值来源'!C310="","",'浓度与阈值来源'!C310)</x:f>
      </x:c>
      <x:c r="D310" s="1" t="str">
        <x:v>3-苯丙酸乙酯（Mg·L-1）</x:v>
      </x:c>
      <x:c r="E310" s="5" t="n">
        <x:f>IF('浓度与阈值来源'!D310&gt;0,'浓度与阈值来源'!D310,"")</x:f>
        <x:v>125</x:v>
      </x:c>
      <x:c r="F310" s="6" t="n">
        <x:f>COUNT('浓度与阈值来源'!E310:DM310)</x:f>
        <x:v>4</x:v>
      </x:c>
      <x:c r="G310" s="5" t="n">
        <x:f>IF(F310=0,"",MAX('浓度与阈值来源'!E310:DM310))</x:f>
        <x:v>19.85</x:v>
      </x:c>
      <x:c r="H310" s="5" t="n">
        <x:f>IF(F310=0,"",MEDIAN('浓度与阈值来源'!E310:DM310))</x:f>
        <x:v>15.510000000000002</x:v>
      </x:c>
      <x:c r="I310" s="7" t="n">
        <x:f>IF(AND(ISNUMBER(E310),E310&gt;0,F310&gt;0),G310/E310,"")</x:f>
        <x:v>0.15880000000000002</x:v>
      </x:c>
      <x:c r="J310" s="7" t="n">
        <x:f>IF(AND(ISNUMBER(E310),E310&gt;0,F310&gt;0),H310/E310,"")</x:f>
        <x:v>0.12408000000000001</x:v>
      </x:c>
      <x:c r="K310" s="1" t="str">
        <x:f>IF(F310=0,"无浓度数据",IF(E310="","缺周表阈值","可计算"))</x:f>
        <x:v>可计算</x:v>
      </x:c>
      <x:c r="L310" s="1" t="str">
        <x:f>IF(NOT(ISNUMBER(J310)),"待定",IF(J310&gt;50,"骨架成分",IF(J310&gt;=2,"重要成分","两档成分")))</x:f>
        <x:v>两档成分</x:v>
      </x:c>
      <x:c r="M310" s="1" t="n">
        <x:f>IF(NOT(ISNUMBER(J310)),"",IF(J310&gt;=2,3,2))</x:f>
        <x:v>2</x:v>
      </x:c>
      <x:c r="N310" s="1" t="str">
        <x:f>IF(NOT(ISNUMBER(J310)),"缺少可算OAV",IF(J310&gt;=2,"最大值、中位值、低值待校准","最大值、中位值"))</x:f>
        <x:v>最大值、中位值</x:v>
      </x:c>
      <x:c r="O310" s="1" t="str">
        <x:f>IF(NOT(ISNUMBER(J310)),"待定",IF(J310&lt;2,"不设第三档",IF(J310&lt;=5,"中位OAV≤5；低档须低于中位浓度","低档需预试确认与中档可区分")))</x:f>
        <x:v>不设第三档</x:v>
      </x:c>
    </x:row>
    <x:row r="311" ht="23" customHeight="1">
      <x:c r="A311" s="1" t="n">
        <x:f>'浓度与阈值来源'!A311</x:f>
        <x:v>306</x:v>
      </x:c>
      <x:c r="B311" s="1" t="str">
        <x:f>IF('浓度与阈值来源'!B311="","",'浓度与阈值来源'!B311)</x:f>
        <x:v>3-辛醇3-octanol</x:v>
      </x:c>
      <x:c r="C311" s="1" t="str">
        <x:f>IF('浓度与阈值来源'!C311="","",'浓度与阈值来源'!C311)</x:f>
      </x:c>
      <x:c r="D311" s="1" t="str">
        <x:v>3-辛醇3-Octanol</x:v>
      </x:c>
      <x:c r="E311" s="5" t="n">
        <x:f>IF('浓度与阈值来源'!D311&gt;0,'浓度与阈值来源'!D311,"")</x:f>
        <x:v>483</x:v>
      </x:c>
      <x:c r="F311" s="6" t="n">
        <x:f>COUNT('浓度与阈值来源'!E311:DM311)</x:f>
        <x:v>0</x:v>
      </x:c>
      <x:c r="G311" s="5" t="str">
        <x:f>IF(F311=0,"",MAX('浓度与阈值来源'!E311:DM311))</x:f>
      </x:c>
      <x:c r="H311" s="5" t="str">
        <x:f>IF(F311=0,"",MEDIAN('浓度与阈值来源'!E311:DM311))</x:f>
      </x:c>
      <x:c r="I311" s="7" t="str">
        <x:f>IF(AND(ISNUMBER(E311),E311&gt;0,F311&gt;0),G311/E311,"")</x:f>
      </x:c>
      <x:c r="J311" s="7" t="str">
        <x:f>IF(AND(ISNUMBER(E311),E311&gt;0,F311&gt;0),H311/E311,"")</x:f>
      </x:c>
      <x:c r="K311" s="1" t="str">
        <x:f>IF(F311=0,"无浓度数据",IF(E311="","缺周表阈值","可计算"))</x:f>
        <x:v>无浓度数据</x:v>
      </x:c>
      <x:c r="L311" s="1" t="str">
        <x:f>IF(NOT(ISNUMBER(J311)),"待定",IF(J311&gt;50,"骨架成分",IF(J311&gt;=2,"重要成分","两档成分")))</x:f>
        <x:v>待定</x:v>
      </x:c>
      <x:c r="M311" s="1" t="str">
        <x:f>IF(NOT(ISNUMBER(J311)),"",IF(J311&gt;=2,3,2))</x:f>
      </x:c>
      <x:c r="N311" s="1" t="str">
        <x:f>IF(NOT(ISNUMBER(J311)),"缺少可算OAV",IF(J311&gt;=2,"最大值、中位值、低值待校准","最大值、中位值"))</x:f>
        <x:v>缺少可算OAV</x:v>
      </x:c>
      <x:c r="O311" s="1" t="str">
        <x:f>IF(NOT(ISNUMBER(J311)),"待定",IF(J311&lt;2,"不设第三档",IF(J311&lt;=5,"中位OAV≤5；低档须低于中位浓度","低档需预试确认与中档可区分")))</x:f>
        <x:v>待定</x:v>
      </x:c>
    </x:row>
    <x:row r="312" ht="23" customHeight="1">
      <x:c r="A312" s="1" t="n">
        <x:f>'浓度与阈值来源'!A312</x:f>
        <x:v>307</x:v>
      </x:c>
      <x:c r="B312" s="1" t="str">
        <x:f>IF('浓度与阈值来源'!B312="","",'浓度与阈值来源'!B312)</x:f>
        <x:v>3-（环戊基）丙酸乙酯</x:v>
      </x:c>
      <x:c r="C312" s="1" t="str">
        <x:f>IF('浓度与阈值来源'!C312="","",'浓度与阈值来源'!C312)</x:f>
      </x:c>
      <x:c r="D312" s="1" t="str">
        <x:v>3-（环戊基）丙酸乙酯</x:v>
      </x:c>
      <x:c r="E312" s="5" t="str">
        <x:f>IF('浓度与阈值来源'!D312&gt;0,'浓度与阈值来源'!D312,"")</x:f>
      </x:c>
      <x:c r="F312" s="6" t="n">
        <x:f>COUNT('浓度与阈值来源'!E312:DM312)</x:f>
        <x:v>1</x:v>
      </x:c>
      <x:c r="G312" s="5" t="n">
        <x:f>IF(F312=0,"",MAX('浓度与阈值来源'!E312:DM312))</x:f>
        <x:v>0.76</x:v>
      </x:c>
      <x:c r="H312" s="5" t="n">
        <x:f>IF(F312=0,"",MEDIAN('浓度与阈值来源'!E312:DM312))</x:f>
        <x:v>0.76</x:v>
      </x:c>
      <x:c r="I312" s="7" t="str">
        <x:f>IF(AND(ISNUMBER(E312),E312&gt;0,F312&gt;0),G312/E312,"")</x:f>
      </x:c>
      <x:c r="J312" s="7" t="str">
        <x:f>IF(AND(ISNUMBER(E312),E312&gt;0,F312&gt;0),H312/E312,"")</x:f>
      </x:c>
      <x:c r="K312" s="1" t="str">
        <x:f>IF(F312=0,"无浓度数据",IF(E312="","缺周表阈值","可计算"))</x:f>
        <x:v>缺周表阈值</x:v>
      </x:c>
      <x:c r="L312" s="1" t="str">
        <x:f>IF(NOT(ISNUMBER(J312)),"待定",IF(J312&gt;50,"骨架成分",IF(J312&gt;=2,"重要成分","两档成分")))</x:f>
        <x:v>待定</x:v>
      </x:c>
      <x:c r="M312" s="1" t="str">
        <x:f>IF(NOT(ISNUMBER(J312)),"",IF(J312&gt;=2,3,2))</x:f>
      </x:c>
      <x:c r="N312" s="1" t="str">
        <x:f>IF(NOT(ISNUMBER(J312)),"缺少可算OAV",IF(J312&gt;=2,"最大值、中位值、低值待校准","最大值、中位值"))</x:f>
        <x:v>缺少可算OAV</x:v>
      </x:c>
      <x:c r="O312" s="1" t="str">
        <x:f>IF(NOT(ISNUMBER(J312)),"待定",IF(J312&lt;2,"不设第三档",IF(J312&lt;=5,"中位OAV≤5；低档须低于中位浓度","低档需预试确认与中档可区分")))</x:f>
        <x:v>待定</x:v>
      </x:c>
    </x:row>
    <x:row r="313" ht="23" customHeight="1">
      <x:c r="A313" s="1" t="n">
        <x:f>'浓度与阈值来源'!A313</x:f>
        <x:v>308</x:v>
      </x:c>
      <x:c r="B313" s="1" t="str">
        <x:f>IF('浓度与阈值来源'!B313="","",'浓度与阈值来源'!B313)</x:f>
        <x:v>3－羟基－2－丁酮</x:v>
      </x:c>
      <x:c r="C313" s="1" t="str">
        <x:f>IF('浓度与阈值来源'!C313="","",'浓度与阈值来源'!C313)</x:f>
      </x:c>
      <x:c r="D313" s="1" t="str">
        <x:v>3－羟基－2－丁酮</x:v>
      </x:c>
      <x:c r="E313" s="5" t="n">
        <x:f>IF('浓度与阈值来源'!D313&gt;0,'浓度与阈值来源'!D313,"")</x:f>
        <x:v>259</x:v>
      </x:c>
      <x:c r="F313" s="6" t="n">
        <x:f>COUNT('浓度与阈值来源'!E313:DM313)</x:f>
        <x:v>9</x:v>
      </x:c>
      <x:c r="G313" s="5" t="n">
        <x:f>IF(F313=0,"",MAX('浓度与阈值来源'!E313:DM313))</x:f>
        <x:v>257200</x:v>
      </x:c>
      <x:c r="H313" s="5" t="n">
        <x:f>IF(F313=0,"",MEDIAN('浓度与阈值来源'!E313:DM313))</x:f>
        <x:v>38600</x:v>
      </x:c>
      <x:c r="I313" s="7" t="n">
        <x:f>IF(AND(ISNUMBER(E313),E313&gt;0,F313&gt;0),G313/E313,"")</x:f>
        <x:v>993.050193050193</x:v>
      </x:c>
      <x:c r="J313" s="7" t="n">
        <x:f>IF(AND(ISNUMBER(E313),E313&gt;0,F313&gt;0),H313/E313,"")</x:f>
        <x:v>149.03474903474904</x:v>
      </x:c>
      <x:c r="K313" s="1" t="str">
        <x:f>IF(F313=0,"无浓度数据",IF(E313="","缺周表阈值","可计算"))</x:f>
        <x:v>可计算</x:v>
      </x:c>
      <x:c r="L313" s="1" t="str">
        <x:f>IF(NOT(ISNUMBER(J313)),"待定",IF(J313&gt;50,"骨架成分",IF(J313&gt;=2,"重要成分","两档成分")))</x:f>
        <x:v>骨架成分</x:v>
      </x:c>
      <x:c r="M313" s="1" t="n">
        <x:f>IF(NOT(ISNUMBER(J313)),"",IF(J313&gt;=2,3,2))</x:f>
        <x:v>3</x:v>
      </x:c>
      <x:c r="N313" s="1" t="str">
        <x:f>IF(NOT(ISNUMBER(J313)),"缺少可算OAV",IF(J313&gt;=2,"最大值、中位值、低值待校准","最大值、中位值"))</x:f>
        <x:v>最大值、中位值、低值待校准</x:v>
      </x:c>
      <x:c r="O313" s="1" t="str">
        <x:f>IF(NOT(ISNUMBER(J313)),"待定",IF(J313&lt;2,"不设第三档",IF(J313&lt;=5,"中位OAV≤5；低档须低于中位浓度","低档需预试确认与中档可区分")))</x:f>
        <x:v>低档需预试确认与中档可区分</x:v>
      </x:c>
    </x:row>
    <x:row r="314" ht="23" customHeight="1">
      <x:c r="A314" s="1" t="n">
        <x:f>'浓度与阈值来源'!A314</x:f>
        <x:v>309</x:v>
      </x:c>
      <x:c r="B314" s="1" t="str">
        <x:f>IF('浓度与阈值来源'!B314="","",'浓度与阈值来源'!B314)</x:f>
        <x:v>4-乙基愈创木酚（μg·L-1）</x:v>
      </x:c>
      <x:c r="C314" s="1" t="str">
        <x:f>IF('浓度与阈值来源'!C314="","",'浓度与阈值来源'!C314)</x:f>
      </x:c>
      <x:c r="D314" s="1" t="str">
        <x:v>4-乙基愈创木酚（Μg·L-1）</x:v>
      </x:c>
      <x:c r="E314" s="5" t="str">
        <x:f>IF('浓度与阈值来源'!D314&gt;0,'浓度与阈值来源'!D314,"")</x:f>
      </x:c>
      <x:c r="F314" s="6" t="n">
        <x:f>COUNT('浓度与阈值来源'!E314:DM314)</x:f>
        <x:v>4</x:v>
      </x:c>
      <x:c r="G314" s="5" t="n">
        <x:f>IF(F314=0,"",MAX('浓度与阈值来源'!E314:DM314))</x:f>
        <x:v>1041.34</x:v>
      </x:c>
      <x:c r="H314" s="5" t="n">
        <x:f>IF(F314=0,"",MEDIAN('浓度与阈值来源'!E314:DM314))</x:f>
        <x:v>268.875</x:v>
      </x:c>
      <x:c r="I314" s="7" t="str">
        <x:f>IF(AND(ISNUMBER(E314),E314&gt;0,F314&gt;0),G314/E314,"")</x:f>
      </x:c>
      <x:c r="J314" s="7" t="str">
        <x:f>IF(AND(ISNUMBER(E314),E314&gt;0,F314&gt;0),H314/E314,"")</x:f>
      </x:c>
      <x:c r="K314" s="1" t="str">
        <x:f>IF(F314=0,"无浓度数据",IF(E314="","缺周表阈值","可计算"))</x:f>
        <x:v>缺周表阈值</x:v>
      </x:c>
      <x:c r="L314" s="1" t="str">
        <x:f>IF(NOT(ISNUMBER(J314)),"待定",IF(J314&gt;50,"骨架成分",IF(J314&gt;=2,"重要成分","两档成分")))</x:f>
        <x:v>待定</x:v>
      </x:c>
      <x:c r="M314" s="1" t="str">
        <x:f>IF(NOT(ISNUMBER(J314)),"",IF(J314&gt;=2,3,2))</x:f>
      </x:c>
      <x:c r="N314" s="1" t="str">
        <x:f>IF(NOT(ISNUMBER(J314)),"缺少可算OAV",IF(J314&gt;=2,"最大值、中位值、低值待校准","最大值、中位值"))</x:f>
        <x:v>缺少可算OAV</x:v>
      </x:c>
      <x:c r="O314" s="1" t="str">
        <x:f>IF(NOT(ISNUMBER(J314)),"待定",IF(J314&lt;2,"不设第三档",IF(J314&lt;=5,"中位OAV≤5；低档须低于中位浓度","低档需预试确认与中档可区分")))</x:f>
        <x:v>待定</x:v>
      </x:c>
    </x:row>
    <x:row r="315" ht="23" customHeight="1">
      <x:c r="A315" s="1" t="n">
        <x:f>'浓度与阈值来源'!A315</x:f>
        <x:v>310</x:v>
      </x:c>
      <x:c r="B315" s="1" t="str">
        <x:f>IF('浓度与阈值来源'!B315="","",'浓度与阈值来源'!B315)</x:f>
        <x:v>4-乙基苯酚4-ethylphenol</x:v>
      </x:c>
      <x:c r="C315" s="1" t="str">
        <x:f>IF('浓度与阈值来源'!C315="","",'浓度与阈值来源'!C315)</x:f>
      </x:c>
      <x:c r="D315" s="1" t="str">
        <x:v>4-乙基苯酚4-Ethylphenol</x:v>
      </x:c>
      <x:c r="E315" s="5" t="n">
        <x:f>IF('浓度与阈值来源'!D315&gt;0,'浓度与阈值来源'!D315,"")</x:f>
        <x:v>123</x:v>
      </x:c>
      <x:c r="F315" s="6" t="n">
        <x:f>COUNT('浓度与阈值来源'!E315:DM315)</x:f>
        <x:v>0</x:v>
      </x:c>
      <x:c r="G315" s="5" t="str">
        <x:f>IF(F315=0,"",MAX('浓度与阈值来源'!E315:DM315))</x:f>
      </x:c>
      <x:c r="H315" s="5" t="str">
        <x:f>IF(F315=0,"",MEDIAN('浓度与阈值来源'!E315:DM315))</x:f>
      </x:c>
      <x:c r="I315" s="7" t="str">
        <x:f>IF(AND(ISNUMBER(E315),E315&gt;0,F315&gt;0),G315/E315,"")</x:f>
      </x:c>
      <x:c r="J315" s="7" t="str">
        <x:f>IF(AND(ISNUMBER(E315),E315&gt;0,F315&gt;0),H315/E315,"")</x:f>
      </x:c>
      <x:c r="K315" s="1" t="str">
        <x:f>IF(F315=0,"无浓度数据",IF(E315="","缺周表阈值","可计算"))</x:f>
        <x:v>无浓度数据</x:v>
      </x:c>
      <x:c r="L315" s="1" t="str">
        <x:f>IF(NOT(ISNUMBER(J315)),"待定",IF(J315&gt;50,"骨架成分",IF(J315&gt;=2,"重要成分","两档成分")))</x:f>
        <x:v>待定</x:v>
      </x:c>
      <x:c r="M315" s="1" t="str">
        <x:f>IF(NOT(ISNUMBER(J315)),"",IF(J315&gt;=2,3,2))</x:f>
      </x:c>
      <x:c r="N315" s="1" t="str">
        <x:f>IF(NOT(ISNUMBER(J315)),"缺少可算OAV",IF(J315&gt;=2,"最大值、中位值、低值待校准","最大值、中位值"))</x:f>
        <x:v>缺少可算OAV</x:v>
      </x:c>
      <x:c r="O315" s="1" t="str">
        <x:f>IF(NOT(ISNUMBER(J315)),"待定",IF(J315&lt;2,"不设第三档",IF(J315&lt;=5,"中位OAV≤5；低档须低于中位浓度","低档需预试确认与中档可区分")))</x:f>
        <x:v>待定</x:v>
      </x:c>
    </x:row>
    <x:row r="316" ht="23" customHeight="1">
      <x:c r="A316" s="1" t="n">
        <x:f>'浓度与阈值来源'!A316</x:f>
        <x:v>311</x:v>
      </x:c>
      <x:c r="B316" s="1" t="str">
        <x:f>IF('浓度与阈值来源'!B316="","",'浓度与阈值来源'!B316)</x:f>
        <x:v>4-乙基苯酚（μg·L-1）</x:v>
      </x:c>
      <x:c r="C316" s="1" t="str">
        <x:f>IF('浓度与阈值来源'!C316="","",'浓度与阈值来源'!C316)</x:f>
      </x:c>
      <x:c r="D316" s="1" t="str">
        <x:v>4-乙基苯酚（Μg·L-1）</x:v>
      </x:c>
      <x:c r="E316" s="5" t="n">
        <x:f>IF('浓度与阈值来源'!D316&gt;0,'浓度与阈值来源'!D316,"")</x:f>
        <x:v>123</x:v>
      </x:c>
      <x:c r="F316" s="6" t="n">
        <x:f>COUNT('浓度与阈值来源'!E316:DM316)</x:f>
        <x:v>2</x:v>
      </x:c>
      <x:c r="G316" s="5" t="n">
        <x:f>IF(F316=0,"",MAX('浓度与阈值来源'!E316:DM316))</x:f>
        <x:v>886.72</x:v>
      </x:c>
      <x:c r="H316" s="5" t="n">
        <x:f>IF(F316=0,"",MEDIAN('浓度与阈值来源'!E316:DM316))</x:f>
        <x:v>790.05</x:v>
      </x:c>
      <x:c r="I316" s="7" t="n">
        <x:f>IF(AND(ISNUMBER(E316),E316&gt;0,F316&gt;0),G316/E316,"")</x:f>
        <x:v>7.2091056910569105</x:v>
      </x:c>
      <x:c r="J316" s="7" t="n">
        <x:f>IF(AND(ISNUMBER(E316),E316&gt;0,F316&gt;0),H316/E316,"")</x:f>
        <x:v>6.423170731707317</x:v>
      </x:c>
      <x:c r="K316" s="1" t="str">
        <x:f>IF(F316=0,"无浓度数据",IF(E316="","缺周表阈值","可计算"))</x:f>
        <x:v>可计算</x:v>
      </x:c>
      <x:c r="L316" s="1" t="str">
        <x:f>IF(NOT(ISNUMBER(J316)),"待定",IF(J316&gt;50,"骨架成分",IF(J316&gt;=2,"重要成分","两档成分")))</x:f>
        <x:v>重要成分</x:v>
      </x:c>
      <x:c r="M316" s="1" t="n">
        <x:f>IF(NOT(ISNUMBER(J316)),"",IF(J316&gt;=2,3,2))</x:f>
        <x:v>3</x:v>
      </x:c>
      <x:c r="N316" s="1" t="str">
        <x:f>IF(NOT(ISNUMBER(J316)),"缺少可算OAV",IF(J316&gt;=2,"最大值、中位值、低值待校准","最大值、中位值"))</x:f>
        <x:v>最大值、中位值、低值待校准</x:v>
      </x:c>
      <x:c r="O316" s="1" t="str">
        <x:f>IF(NOT(ISNUMBER(J316)),"待定",IF(J316&lt;2,"不设第三档",IF(J316&lt;=5,"中位OAV≤5；低档须低于中位浓度","低档需预试确认与中档可区分")))</x:f>
        <x:v>低档需预试确认与中档可区分</x:v>
      </x:c>
    </x:row>
    <x:row r="317" ht="23" customHeight="1">
      <x:c r="A317" s="1" t="n">
        <x:f>'浓度与阈值来源'!A317</x:f>
        <x:v>312</x:v>
      </x:c>
      <x:c r="B317" s="1" t="str">
        <x:f>IF('浓度与阈值来源'!B317="","",'浓度与阈值来源'!B317)</x:f>
        <x:v>4-甲基愈创木酚（μg·L-1）</x:v>
      </x:c>
      <x:c r="C317" s="1" t="str">
        <x:f>IF('浓度与阈值来源'!C317="","",'浓度与阈值来源'!C317)</x:f>
      </x:c>
      <x:c r="D317" s="1" t="str">
        <x:v>4-甲基愈创木酚（Μg·L-1）</x:v>
      </x:c>
      <x:c r="E317" s="5" t="n">
        <x:f>IF('浓度与阈值来源'!D317&gt;0,'浓度与阈值来源'!D317,"")</x:f>
        <x:v>315</x:v>
      </x:c>
      <x:c r="F317" s="6" t="n">
        <x:f>COUNT('浓度与阈值来源'!E317:DM317)</x:f>
        <x:v>2</x:v>
      </x:c>
      <x:c r="G317" s="5" t="n">
        <x:f>IF(F317=0,"",MAX('浓度与阈值来源'!E317:DM317))</x:f>
        <x:v>504.34</x:v>
      </x:c>
      <x:c r="H317" s="5" t="n">
        <x:f>IF(F317=0,"",MEDIAN('浓度与阈值来源'!E317:DM317))</x:f>
        <x:v>468.05999999999995</x:v>
      </x:c>
      <x:c r="I317" s="7" t="n">
        <x:f>IF(AND(ISNUMBER(E317),E317&gt;0,F317&gt;0),G317/E317,"")</x:f>
        <x:v>1.601079365079365</x:v>
      </x:c>
      <x:c r="J317" s="7" t="n">
        <x:f>IF(AND(ISNUMBER(E317),E317&gt;0,F317&gt;0),H317/E317,"")</x:f>
        <x:v>1.4859047619047618</x:v>
      </x:c>
      <x:c r="K317" s="1" t="str">
        <x:f>IF(F317=0,"无浓度数据",IF(E317="","缺周表阈值","可计算"))</x:f>
        <x:v>可计算</x:v>
      </x:c>
      <x:c r="L317" s="1" t="str">
        <x:f>IF(NOT(ISNUMBER(J317)),"待定",IF(J317&gt;50,"骨架成分",IF(J317&gt;=2,"重要成分","两档成分")))</x:f>
        <x:v>两档成分</x:v>
      </x:c>
      <x:c r="M317" s="1" t="n">
        <x:f>IF(NOT(ISNUMBER(J317)),"",IF(J317&gt;=2,3,2))</x:f>
        <x:v>2</x:v>
      </x:c>
      <x:c r="N317" s="1" t="str">
        <x:f>IF(NOT(ISNUMBER(J317)),"缺少可算OAV",IF(J317&gt;=2,"最大值、中位值、低值待校准","最大值、中位值"))</x:f>
        <x:v>最大值、中位值</x:v>
      </x:c>
      <x:c r="O317" s="1" t="str">
        <x:f>IF(NOT(ISNUMBER(J317)),"待定",IF(J317&lt;2,"不设第三档",IF(J317&lt;=5,"中位OAV≤5；低档须低于中位浓度","低档需预试确认与中档可区分")))</x:f>
        <x:v>不设第三档</x:v>
      </x:c>
    </x:row>
    <x:row r="318" ht="23" customHeight="1">
      <x:c r="A318" s="1" t="n">
        <x:f>'浓度与阈值来源'!A318</x:f>
        <x:v>313</x:v>
      </x:c>
      <x:c r="B318" s="1" t="str">
        <x:f>IF('浓度与阈值来源'!B318="","",'浓度与阈值来源'!B318)</x:f>
        <x:v>4-甲基戊酸（μg·L-1）</x:v>
      </x:c>
      <x:c r="C318" s="1" t="str">
        <x:f>IF('浓度与阈值来源'!C318="","",'浓度与阈值来源'!C318)</x:f>
      </x:c>
      <x:c r="D318" s="1" t="str">
        <x:v>4-甲基戊酸（Μg·L-1）</x:v>
      </x:c>
      <x:c r="E318" s="5" t="str">
        <x:f>IF('浓度与阈值来源'!D318&gt;0,'浓度与阈值来源'!D318,"")</x:f>
      </x:c>
      <x:c r="F318" s="6" t="n">
        <x:f>COUNT('浓度与阈值来源'!E318:DM318)</x:f>
        <x:v>2</x:v>
      </x:c>
      <x:c r="G318" s="5" t="n">
        <x:f>IF(F318=0,"",MAX('浓度与阈值来源'!E318:DM318))</x:f>
        <x:v>697.43</x:v>
      </x:c>
      <x:c r="H318" s="5" t="n">
        <x:f>IF(F318=0,"",MEDIAN('浓度与阈值来源'!E318:DM318))</x:f>
        <x:v>458.07</x:v>
      </x:c>
      <x:c r="I318" s="7" t="str">
        <x:f>IF(AND(ISNUMBER(E318),E318&gt;0,F318&gt;0),G318/E318,"")</x:f>
      </x:c>
      <x:c r="J318" s="7" t="str">
        <x:f>IF(AND(ISNUMBER(E318),E318&gt;0,F318&gt;0),H318/E318,"")</x:f>
      </x:c>
      <x:c r="K318" s="1" t="str">
        <x:f>IF(F318=0,"无浓度数据",IF(E318="","缺周表阈值","可计算"))</x:f>
        <x:v>缺周表阈值</x:v>
      </x:c>
      <x:c r="L318" s="1" t="str">
        <x:f>IF(NOT(ISNUMBER(J318)),"待定",IF(J318&gt;50,"骨架成分",IF(J318&gt;=2,"重要成分","两档成分")))</x:f>
        <x:v>待定</x:v>
      </x:c>
      <x:c r="M318" s="1" t="str">
        <x:f>IF(NOT(ISNUMBER(J318)),"",IF(J318&gt;=2,3,2))</x:f>
      </x:c>
      <x:c r="N318" s="1" t="str">
        <x:f>IF(NOT(ISNUMBER(J318)),"缺少可算OAV",IF(J318&gt;=2,"最大值、中位值、低值待校准","最大值、中位值"))</x:f>
        <x:v>缺少可算OAV</x:v>
      </x:c>
      <x:c r="O318" s="1" t="str">
        <x:f>IF(NOT(ISNUMBER(J318)),"待定",IF(J318&lt;2,"不设第三档",IF(J318&lt;=5,"中位OAV≤5；低档须低于中位浓度","低档需预试确认与中档可区分")))</x:f>
        <x:v>待定</x:v>
      </x:c>
    </x:row>
    <x:row r="319" ht="23" customHeight="1">
      <x:c r="A319" s="1" t="n">
        <x:f>'浓度与阈值来源'!A319</x:f>
        <x:v>314</x:v>
      </x:c>
      <x:c r="B319" s="1" t="str">
        <x:f>IF('浓度与阈值来源'!B319="","",'浓度与阈值来源'!B319)</x:f>
        <x:v>4-甲基苯酚4-methylphenol</x:v>
      </x:c>
      <x:c r="C319" s="1" t="str">
        <x:f>IF('浓度与阈值来源'!C319="","",'浓度与阈值来源'!C319)</x:f>
      </x:c>
      <x:c r="D319" s="1" t="str">
        <x:v>4-甲基苯酚4-Methylphenol</x:v>
      </x:c>
      <x:c r="E319" s="5" t="n">
        <x:f>IF('浓度与阈值来源'!D319&gt;0,'浓度与阈值来源'!D319,"")</x:f>
        <x:v>167</x:v>
      </x:c>
      <x:c r="F319" s="6" t="n">
        <x:f>COUNT('浓度与阈值来源'!E319:DM319)</x:f>
        <x:v>0</x:v>
      </x:c>
      <x:c r="G319" s="5" t="str">
        <x:f>IF(F319=0,"",MAX('浓度与阈值来源'!E319:DM319))</x:f>
      </x:c>
      <x:c r="H319" s="5" t="str">
        <x:f>IF(F319=0,"",MEDIAN('浓度与阈值来源'!E319:DM319))</x:f>
      </x:c>
      <x:c r="I319" s="7" t="str">
        <x:f>IF(AND(ISNUMBER(E319),E319&gt;0,F319&gt;0),G319/E319,"")</x:f>
      </x:c>
      <x:c r="J319" s="7" t="str">
        <x:f>IF(AND(ISNUMBER(E319),E319&gt;0,F319&gt;0),H319/E319,"")</x:f>
      </x:c>
      <x:c r="K319" s="1" t="str">
        <x:f>IF(F319=0,"无浓度数据",IF(E319="","缺周表阈值","可计算"))</x:f>
        <x:v>无浓度数据</x:v>
      </x:c>
      <x:c r="L319" s="1" t="str">
        <x:f>IF(NOT(ISNUMBER(J319)),"待定",IF(J319&gt;50,"骨架成分",IF(J319&gt;=2,"重要成分","两档成分")))</x:f>
        <x:v>待定</x:v>
      </x:c>
      <x:c r="M319" s="1" t="str">
        <x:f>IF(NOT(ISNUMBER(J319)),"",IF(J319&gt;=2,3,2))</x:f>
      </x:c>
      <x:c r="N319" s="1" t="str">
        <x:f>IF(NOT(ISNUMBER(J319)),"缺少可算OAV",IF(J319&gt;=2,"最大值、中位值、低值待校准","最大值、中位值"))</x:f>
        <x:v>缺少可算OAV</x:v>
      </x:c>
      <x:c r="O319" s="1" t="str">
        <x:f>IF(NOT(ISNUMBER(J319)),"待定",IF(J319&lt;2,"不设第三档",IF(J319&lt;=5,"中位OAV≤5；低档须低于中位浓度","低档需预试确认与中档可区分")))</x:f>
        <x:v>待定</x:v>
      </x:c>
    </x:row>
    <x:row r="320" ht="23" customHeight="1">
      <x:c r="A320" s="1" t="n">
        <x:f>'浓度与阈值来源'!A320</x:f>
        <x:v>315</x:v>
      </x:c>
      <x:c r="B320" s="1" t="str">
        <x:f>IF('浓度与阈值来源'!B320="","",'浓度与阈值来源'!B320)</x:f>
        <x:v>9-十六碳烯酸乙酯</x:v>
      </x:c>
      <x:c r="C320" s="1" t="str">
        <x:f>IF('浓度与阈值来源'!C320="","",'浓度与阈值来源'!C320)</x:f>
      </x:c>
      <x:c r="D320" s="1" t="str">
        <x:v>9-十六碳烯酸乙酯</x:v>
      </x:c>
      <x:c r="E320" s="5" t="str">
        <x:f>IF('浓度与阈值来源'!D320&gt;0,'浓度与阈值来源'!D320,"")</x:f>
      </x:c>
      <x:c r="F320" s="6" t="n">
        <x:f>COUNT('浓度与阈值来源'!E320:DM320)</x:f>
        <x:v>4</x:v>
      </x:c>
      <x:c r="G320" s="5" t="n">
        <x:f>IF(F320=0,"",MAX('浓度与阈值来源'!E320:DM320))</x:f>
        <x:v>112.09</x:v>
      </x:c>
      <x:c r="H320" s="5" t="n">
        <x:f>IF(F320=0,"",MEDIAN('浓度与阈值来源'!E320:DM320))</x:f>
        <x:v>99.785</x:v>
      </x:c>
      <x:c r="I320" s="7" t="str">
        <x:f>IF(AND(ISNUMBER(E320),E320&gt;0,F320&gt;0),G320/E320,"")</x:f>
      </x:c>
      <x:c r="J320" s="7" t="str">
        <x:f>IF(AND(ISNUMBER(E320),E320&gt;0,F320&gt;0),H320/E320,"")</x:f>
      </x:c>
      <x:c r="K320" s="1" t="str">
        <x:f>IF(F320=0,"无浓度数据",IF(E320="","缺周表阈值","可计算"))</x:f>
        <x:v>缺周表阈值</x:v>
      </x:c>
      <x:c r="L320" s="1" t="str">
        <x:f>IF(NOT(ISNUMBER(J320)),"待定",IF(J320&gt;50,"骨架成分",IF(J320&gt;=2,"重要成分","两档成分")))</x:f>
        <x:v>待定</x:v>
      </x:c>
      <x:c r="M320" s="1" t="str">
        <x:f>IF(NOT(ISNUMBER(J320)),"",IF(J320&gt;=2,3,2))</x:f>
      </x:c>
      <x:c r="N320" s="1" t="str">
        <x:f>IF(NOT(ISNUMBER(J320)),"缺少可算OAV",IF(J320&gt;=2,"最大值、中位值、低值待校准","最大值、中位值"))</x:f>
        <x:v>缺少可算OAV</x:v>
      </x:c>
      <x:c r="O320" s="1" t="str">
        <x:f>IF(NOT(ISNUMBER(J320)),"待定",IF(J320&lt;2,"不设第三档",IF(J320&lt;=5,"中位OAV≤5；低档须低于中位浓度","低档需预试确认与中档可区分")))</x:f>
        <x:v>待定</x:v>
      </x:c>
    </x:row>
    <x:row r="321" ht="23" customHeight="1">
      <x:c r="A321" s="1" t="n">
        <x:f>'浓度与阈值来源'!A321</x:f>
        <x:v>316</x:v>
      </x:c>
      <x:c r="B321" s="1" t="str">
        <x:f>IF('浓度与阈值来源'!B321="","",'浓度与阈值来源'!B321)</x:f>
      </x:c>
      <x:c r="C321" s="1" t="str">
        <x:f>IF('浓度与阈值来源'!C321="","",'浓度与阈值来源'!C321)</x:f>
      </x:c>
      <x:c r="D321" s="1" t="str">
        <x:v>Aceal</x:v>
      </x:c>
      <x:c r="E321" s="5" t="n">
        <x:f>IF('浓度与阈值来源'!D321&gt;0,'浓度与阈值来源'!D321,"")</x:f>
        <x:v>2090</x:v>
      </x:c>
      <x:c r="F321" s="6" t="n">
        <x:f>COUNT('浓度与阈值来源'!E321:DM321)</x:f>
        <x:v>0</x:v>
      </x:c>
      <x:c r="G321" s="5" t="str">
        <x:f>IF(F321=0,"",MAX('浓度与阈值来源'!E321:DM321))</x:f>
      </x:c>
      <x:c r="H321" s="5" t="str">
        <x:f>IF(F321=0,"",MEDIAN('浓度与阈值来源'!E321:DM321))</x:f>
      </x:c>
      <x:c r="I321" s="7" t="str">
        <x:f>IF(AND(ISNUMBER(E321),E321&gt;0,F321&gt;0),G321/E321,"")</x:f>
      </x:c>
      <x:c r="J321" s="7" t="str">
        <x:f>IF(AND(ISNUMBER(E321),E321&gt;0,F321&gt;0),H321/E321,"")</x:f>
      </x:c>
      <x:c r="K321" s="1" t="str">
        <x:f>IF(F321=0,"无浓度数据",IF(E321="","缺周表阈值","可计算"))</x:f>
        <x:v>无浓度数据</x:v>
      </x:c>
      <x:c r="L321" s="1" t="str">
        <x:f>IF(NOT(ISNUMBER(J321)),"待定",IF(J321&gt;50,"骨架成分",IF(J321&gt;=2,"重要成分","两档成分")))</x:f>
        <x:v>待定</x:v>
      </x:c>
      <x:c r="M321" s="1" t="str">
        <x:f>IF(NOT(ISNUMBER(J321)),"",IF(J321&gt;=2,3,2))</x:f>
      </x:c>
      <x:c r="N321" s="1" t="str">
        <x:f>IF(NOT(ISNUMBER(J321)),"缺少可算OAV",IF(J321&gt;=2,"最大值、中位值、低值待校准","最大值、中位值"))</x:f>
        <x:v>缺少可算OAV</x:v>
      </x:c>
      <x:c r="O321" s="1" t="str">
        <x:f>IF(NOT(ISNUMBER(J321)),"待定",IF(J321&lt;2,"不设第三档",IF(J321&lt;=5,"中位OAV≤5；低档须低于中位浓度","低档需预试确认与中档可区分")))</x:f>
        <x:v>待定</x:v>
      </x:c>
    </x:row>
    <x:row r="322" ht="23" customHeight="1">
      <x:c r="A322" s="1" t="n">
        <x:f>'浓度与阈值来源'!A322</x:f>
        <x:v>317</x:v>
      </x:c>
      <x:c r="B322" s="1" t="str">
        <x:f>IF('浓度与阈值来源'!B322="","",'浓度与阈值来源'!B322)</x:f>
      </x:c>
      <x:c r="C322" s="1" t="str">
        <x:f>IF('浓度与阈值来源'!C322="","",'浓度与阈值来源'!C322)</x:f>
      </x:c>
      <x:c r="D322" s="1" t="str">
        <x:v>Acetoin</x:v>
      </x:c>
      <x:c r="E322" s="5" t="n">
        <x:f>IF('浓度与阈值来源'!D322&gt;0,'浓度与阈值来源'!D322,"")</x:f>
        <x:v>259</x:v>
      </x:c>
      <x:c r="F322" s="6" t="n">
        <x:f>COUNT('浓度与阈值来源'!E322:DM322)</x:f>
        <x:v>0</x:v>
      </x:c>
      <x:c r="G322" s="5" t="str">
        <x:f>IF(F322=0,"",MAX('浓度与阈值来源'!E322:DM322))</x:f>
      </x:c>
      <x:c r="H322" s="5" t="str">
        <x:f>IF(F322=0,"",MEDIAN('浓度与阈值来源'!E322:DM322))</x:f>
      </x:c>
      <x:c r="I322" s="7" t="str">
        <x:f>IF(AND(ISNUMBER(E322),E322&gt;0,F322&gt;0),G322/E322,"")</x:f>
      </x:c>
      <x:c r="J322" s="7" t="str">
        <x:f>IF(AND(ISNUMBER(E322),E322&gt;0,F322&gt;0),H322/E322,"")</x:f>
      </x:c>
      <x:c r="K322" s="1" t="str">
        <x:f>IF(F322=0,"无浓度数据",IF(E322="","缺周表阈值","可计算"))</x:f>
        <x:v>无浓度数据</x:v>
      </x:c>
      <x:c r="L322" s="1" t="str">
        <x:f>IF(NOT(ISNUMBER(J322)),"待定",IF(J322&gt;50,"骨架成分",IF(J322&gt;=2,"重要成分","两档成分")))</x:f>
        <x:v>待定</x:v>
      </x:c>
      <x:c r="M322" s="1" t="str">
        <x:f>IF(NOT(ISNUMBER(J322)),"",IF(J322&gt;=2,3,2))</x:f>
      </x:c>
      <x:c r="N322" s="1" t="str">
        <x:f>IF(NOT(ISNUMBER(J322)),"缺少可算OAV",IF(J322&gt;=2,"最大值、中位值、低值待校准","最大值、中位值"))</x:f>
        <x:v>缺少可算OAV</x:v>
      </x:c>
      <x:c r="O322" s="1" t="str">
        <x:f>IF(NOT(ISNUMBER(J322)),"待定",IF(J322&lt;2,"不设第三档",IF(J322&lt;=5,"中位OAV≤5；低档须低于中位浓度","低档需预试确认与中档可区分")))</x:f>
        <x:v>待定</x:v>
      </x:c>
    </x:row>
    <x:row r="323" ht="23" customHeight="1">
      <x:c r="A323" s="1" t="n">
        <x:f>'浓度与阈值来源'!A323</x:f>
        <x:v>318</x:v>
      </x:c>
      <x:c r="B323" s="1" t="str">
        <x:f>IF('浓度与阈值来源'!B323="","",'浓度与阈值来源'!B323)</x:f>
      </x:c>
      <x:c r="C323" s="1" t="str">
        <x:f>IF('浓度与阈值来源'!C323="","",'浓度与阈值来源'!C323)</x:f>
      </x:c>
      <x:c r="D323" s="1" t="str">
        <x:v>benzene, (2,2-diethoxyethyl)-ethyl nicotinoate</x:v>
      </x:c>
      <x:c r="E323" s="5" t="str">
        <x:f>IF('浓度与阈值来源'!D323&gt;0,'浓度与阈值来源'!D323,"")</x:f>
      </x:c>
      <x:c r="F323" s="6" t="n">
        <x:f>COUNT('浓度与阈值来源'!E323:DM323)</x:f>
        <x:v>2</x:v>
      </x:c>
      <x:c r="G323" s="5" t="n">
        <x:f>IF(F323=0,"",MAX('浓度与阈值来源'!E323:DM323))</x:f>
        <x:v>1575</x:v>
      </x:c>
      <x:c r="H323" s="5" t="n">
        <x:f>IF(F323=0,"",MEDIAN('浓度与阈值来源'!E323:DM323))</x:f>
        <x:v>869</x:v>
      </x:c>
      <x:c r="I323" s="7" t="str">
        <x:f>IF(AND(ISNUMBER(E323),E323&gt;0,F323&gt;0),G323/E323,"")</x:f>
      </x:c>
      <x:c r="J323" s="7" t="str">
        <x:f>IF(AND(ISNUMBER(E323),E323&gt;0,F323&gt;0),H323/E323,"")</x:f>
      </x:c>
      <x:c r="K323" s="1" t="str">
        <x:f>IF(F323=0,"无浓度数据",IF(E323="","缺周表阈值","可计算"))</x:f>
        <x:v>缺周表阈值</x:v>
      </x:c>
      <x:c r="L323" s="1" t="str">
        <x:f>IF(NOT(ISNUMBER(J323)),"待定",IF(J323&gt;50,"骨架成分",IF(J323&gt;=2,"重要成分","两档成分")))</x:f>
        <x:v>待定</x:v>
      </x:c>
      <x:c r="M323" s="1" t="str">
        <x:f>IF(NOT(ISNUMBER(J323)),"",IF(J323&gt;=2,3,2))</x:f>
      </x:c>
      <x:c r="N323" s="1" t="str">
        <x:f>IF(NOT(ISNUMBER(J323)),"缺少可算OAV",IF(J323&gt;=2,"最大值、中位值、低值待校准","最大值、中位值"))</x:f>
        <x:v>缺少可算OAV</x:v>
      </x:c>
      <x:c r="O323" s="1" t="str">
        <x:f>IF(NOT(ISNUMBER(J323)),"待定",IF(J323&lt;2,"不设第三档",IF(J323&lt;=5,"中位OAV≤5；低档须低于中位浓度","低档需预试确认与中档可区分")))</x:f>
        <x:v>待定</x:v>
      </x:c>
    </x:row>
    <x:row r="324" ht="23" customHeight="1">
      <x:c r="A324" s="1" t="n">
        <x:f>'浓度与阈值来源'!A324</x:f>
        <x:v>319</x:v>
      </x:c>
      <x:c r="B324" s="1" t="str">
        <x:f>IF('浓度与阈值来源'!B324="","",'浓度与阈值来源'!B324)</x:f>
      </x:c>
      <x:c r="C324" s="1" t="str">
        <x:f>IF('浓度与阈值来源'!C324="","",'浓度与阈值来源'!C324)</x:f>
      </x:c>
      <x:c r="D324" s="1" t="str">
        <x:v>Cyclohexanecarboxylic</x:v>
      </x:c>
      <x:c r="E324" s="5" t="str">
        <x:f>IF('浓度与阈值来源'!D324&gt;0,'浓度与阈值来源'!D324,"")</x:f>
      </x:c>
      <x:c r="F324" s="6" t="n">
        <x:f>COUNT('浓度与阈值来源'!E324:DM324)</x:f>
        <x:v>0</x:v>
      </x:c>
      <x:c r="G324" s="5" t="str">
        <x:f>IF(F324=0,"",MAX('浓度与阈值来源'!E324:DM324))</x:f>
      </x:c>
      <x:c r="H324" s="5" t="str">
        <x:f>IF(F324=0,"",MEDIAN('浓度与阈值来源'!E324:DM324))</x:f>
      </x:c>
      <x:c r="I324" s="7" t="str">
        <x:f>IF(AND(ISNUMBER(E324),E324&gt;0,F324&gt;0),G324/E324,"")</x:f>
      </x:c>
      <x:c r="J324" s="7" t="str">
        <x:f>IF(AND(ISNUMBER(E324),E324&gt;0,F324&gt;0),H324/E324,"")</x:f>
      </x:c>
      <x:c r="K324" s="1" t="str">
        <x:f>IF(F324=0,"无浓度数据",IF(E324="","缺周表阈值","可计算"))</x:f>
        <x:v>无浓度数据</x:v>
      </x:c>
      <x:c r="L324" s="1" t="str">
        <x:f>IF(NOT(ISNUMBER(J324)),"待定",IF(J324&gt;50,"骨架成分",IF(J324&gt;=2,"重要成分","两档成分")))</x:f>
        <x:v>待定</x:v>
      </x:c>
      <x:c r="M324" s="1" t="str">
        <x:f>IF(NOT(ISNUMBER(J324)),"",IF(J324&gt;=2,3,2))</x:f>
      </x:c>
      <x:c r="N324" s="1" t="str">
        <x:f>IF(NOT(ISNUMBER(J324)),"缺少可算OAV",IF(J324&gt;=2,"最大值、中位值、低值待校准","最大值、中位值"))</x:f>
        <x:v>缺少可算OAV</x:v>
      </x:c>
      <x:c r="O324" s="1" t="str">
        <x:f>IF(NOT(ISNUMBER(J324)),"待定",IF(J324&lt;2,"不设第三档",IF(J324&lt;=5,"中位OAV≤5；低档须低于中位浓度","低档需预试确认与中档可区分")))</x:f>
        <x:v>待定</x:v>
      </x:c>
    </x:row>
    <x:row r="325" ht="23" customHeight="1">
      <x:c r="A325" s="1" t="n">
        <x:f>'浓度与阈值来源'!A325</x:f>
        <x:v>320</x:v>
      </x:c>
      <x:c r="B325" s="1" t="str">
        <x:f>IF('浓度与阈值来源'!B325="","",'浓度与阈值来源'!B325)</x:f>
      </x:c>
      <x:c r="C325" s="1" t="str">
        <x:f>IF('浓度与阈值来源'!C325="","",'浓度与阈值来源'!C325)</x:f>
      </x:c>
      <x:c r="D325" s="1" t="str">
        <x:v>Dimethyl Triasulfide</x:v>
      </x:c>
      <x:c r="E325" s="5" t="n">
        <x:f>IF('浓度与阈值来源'!D325&gt;0,'浓度与阈值来源'!D325,"")</x:f>
        <x:v>0.36</x:v>
      </x:c>
      <x:c r="F325" s="6" t="n">
        <x:f>COUNT('浓度与阈值来源'!E325:DM325)</x:f>
        <x:v>2</x:v>
      </x:c>
      <x:c r="G325" s="5" t="n">
        <x:f>IF(F325=0,"",MAX('浓度与阈值来源'!E325:DM325))</x:f>
        <x:v>139</x:v>
      </x:c>
      <x:c r="H325" s="5" t="n">
        <x:f>IF(F325=0,"",MEDIAN('浓度与阈值来源'!E325:DM325))</x:f>
        <x:v>137.5</x:v>
      </x:c>
      <x:c r="I325" s="7" t="n">
        <x:f>IF(AND(ISNUMBER(E325),E325&gt;0,F325&gt;0),G325/E325,"")</x:f>
        <x:v>386.11111111111114</x:v>
      </x:c>
      <x:c r="J325" s="7" t="n">
        <x:f>IF(AND(ISNUMBER(E325),E325&gt;0,F325&gt;0),H325/E325,"")</x:f>
        <x:v>381.94444444444446</x:v>
      </x:c>
      <x:c r="K325" s="1" t="str">
        <x:f>IF(F325=0,"无浓度数据",IF(E325="","缺周表阈值","可计算"))</x:f>
        <x:v>可计算</x:v>
      </x:c>
      <x:c r="L325" s="1" t="str">
        <x:f>IF(NOT(ISNUMBER(J325)),"待定",IF(J325&gt;50,"骨架成分",IF(J325&gt;=2,"重要成分","两档成分")))</x:f>
        <x:v>骨架成分</x:v>
      </x:c>
      <x:c r="M325" s="1" t="n">
        <x:f>IF(NOT(ISNUMBER(J325)),"",IF(J325&gt;=2,3,2))</x:f>
        <x:v>3</x:v>
      </x:c>
      <x:c r="N325" s="1" t="str">
        <x:f>IF(NOT(ISNUMBER(J325)),"缺少可算OAV",IF(J325&gt;=2,"最大值、中位值、低值待校准","最大值、中位值"))</x:f>
        <x:v>最大值、中位值、低值待校准</x:v>
      </x:c>
      <x:c r="O325" s="1" t="str">
        <x:f>IF(NOT(ISNUMBER(J325)),"待定",IF(J325&lt;2,"不设第三档",IF(J325&lt;=5,"中位OAV≤5；低档须低于中位浓度","低档需预试确认与中档可区分")))</x:f>
        <x:v>低档需预试确认与中档可区分</x:v>
      </x:c>
    </x:row>
    <x:row r="326" ht="23" customHeight="1">
      <x:c r="A326" s="1" t="n">
        <x:f>'浓度与阈值来源'!A326</x:f>
        <x:v>321</x:v>
      </x:c>
      <x:c r="B326" s="1" t="str">
        <x:f>IF('浓度与阈值来源'!B326="","",'浓度与阈值来源'!B326)</x:f>
      </x:c>
      <x:c r="C326" s="1" t="str">
        <x:f>IF('浓度与阈值来源'!C326="","",'浓度与阈值来源'!C326)</x:f>
      </x:c>
      <x:c r="D326" s="1" t="str">
        <x:v>Ethyl 7-Octanoate</x:v>
      </x:c>
      <x:c r="E326" s="5" t="n">
        <x:f>IF('浓度与阈值来源'!D326&gt;0,'浓度与阈值来源'!D326,"")</x:f>
        <x:v>12.9</x:v>
      </x:c>
      <x:c r="F326" s="6" t="n">
        <x:f>COUNT('浓度与阈值来源'!E326:DM326)</x:f>
        <x:v>6</x:v>
      </x:c>
      <x:c r="G326" s="5" t="n">
        <x:f>IF(F326=0,"",MAX('浓度与阈值来源'!E326:DM326))</x:f>
        <x:v>323</x:v>
      </x:c>
      <x:c r="H326" s="5" t="n">
        <x:f>IF(F326=0,"",MEDIAN('浓度与阈值来源'!E326:DM326))</x:f>
        <x:v>266.5</x:v>
      </x:c>
      <x:c r="I326" s="7" t="n">
        <x:f>IF(AND(ISNUMBER(E326),E326&gt;0,F326&gt;0),G326/E326,"")</x:f>
        <x:v>25.03875968992248</x:v>
      </x:c>
      <x:c r="J326" s="7" t="n">
        <x:f>IF(AND(ISNUMBER(E326),E326&gt;0,F326&gt;0),H326/E326,"")</x:f>
        <x:v>20.65891472868217</x:v>
      </x:c>
      <x:c r="K326" s="1" t="str">
        <x:f>IF(F326=0,"无浓度数据",IF(E326="","缺周表阈值","可计算"))</x:f>
        <x:v>可计算</x:v>
      </x:c>
      <x:c r="L326" s="1" t="str">
        <x:f>IF(NOT(ISNUMBER(J326)),"待定",IF(J326&gt;50,"骨架成分",IF(J326&gt;=2,"重要成分","两档成分")))</x:f>
        <x:v>重要成分</x:v>
      </x:c>
      <x:c r="M326" s="1" t="n">
        <x:f>IF(NOT(ISNUMBER(J326)),"",IF(J326&gt;=2,3,2))</x:f>
        <x:v>3</x:v>
      </x:c>
      <x:c r="N326" s="1" t="str">
        <x:f>IF(NOT(ISNUMBER(J326)),"缺少可算OAV",IF(J326&gt;=2,"最大值、中位值、低值待校准","最大值、中位值"))</x:f>
        <x:v>最大值、中位值、低值待校准</x:v>
      </x:c>
      <x:c r="O326" s="1" t="str">
        <x:f>IF(NOT(ISNUMBER(J326)),"待定",IF(J326&lt;2,"不设第三档",IF(J326&lt;=5,"中位OAV≤5；低档须低于中位浓度","低档需预试确认与中档可区分")))</x:f>
        <x:v>低档需预试确认与中档可区分</x:v>
      </x:c>
    </x:row>
    <x:row r="327" ht="23" customHeight="1">
      <x:c r="A327" s="1" t="n">
        <x:f>'浓度与阈值来源'!A327</x:f>
        <x:v>322</x:v>
      </x:c>
      <x:c r="B327" s="1" t="str">
        <x:f>IF('浓度与阈值来源'!B327="","",'浓度与阈值来源'!B327)</x:f>
      </x:c>
      <x:c r="C327" s="1" t="str">
        <x:f>IF('浓度与阈值来源'!C327="","",'浓度与阈值来源'!C327)</x:f>
      </x:c>
      <x:c r="D327" s="1" t="str">
        <x:v>Ethyl Butanedioate</x:v>
      </x:c>
      <x:c r="E327" s="5" t="str">
        <x:f>IF('浓度与阈值来源'!D327&gt;0,'浓度与阈值来源'!D327,"")</x:f>
      </x:c>
      <x:c r="F327" s="6" t="n">
        <x:f>COUNT('浓度与阈值来源'!E327:DM327)</x:f>
        <x:v>8</x:v>
      </x:c>
      <x:c r="G327" s="5" t="n">
        <x:f>IF(F327=0,"",MAX('浓度与阈值来源'!E327:DM327))</x:f>
        <x:v>188000</x:v>
      </x:c>
      <x:c r="H327" s="5" t="n">
        <x:f>IF(F327=0,"",MEDIAN('浓度与阈值来源'!E327:DM327))</x:f>
        <x:v>90950</x:v>
      </x:c>
      <x:c r="I327" s="7" t="str">
        <x:f>IF(AND(ISNUMBER(E327),E327&gt;0,F327&gt;0),G327/E327,"")</x:f>
      </x:c>
      <x:c r="J327" s="7" t="str">
        <x:f>IF(AND(ISNUMBER(E327),E327&gt;0,F327&gt;0),H327/E327,"")</x:f>
      </x:c>
      <x:c r="K327" s="1" t="str">
        <x:f>IF(F327=0,"无浓度数据",IF(E327="","缺周表阈值","可计算"))</x:f>
        <x:v>缺周表阈值</x:v>
      </x:c>
      <x:c r="L327" s="1" t="str">
        <x:f>IF(NOT(ISNUMBER(J327)),"待定",IF(J327&gt;50,"骨架成分",IF(J327&gt;=2,"重要成分","两档成分")))</x:f>
        <x:v>待定</x:v>
      </x:c>
      <x:c r="M327" s="1" t="str">
        <x:f>IF(NOT(ISNUMBER(J327)),"",IF(J327&gt;=2,3,2))</x:f>
      </x:c>
      <x:c r="N327" s="1" t="str">
        <x:f>IF(NOT(ISNUMBER(J327)),"缺少可算OAV",IF(J327&gt;=2,"最大值、中位值、低值待校准","最大值、中位值"))</x:f>
        <x:v>缺少可算OAV</x:v>
      </x:c>
      <x:c r="O327" s="1" t="str">
        <x:f>IF(NOT(ISNUMBER(J327)),"待定",IF(J327&lt;2,"不设第三档",IF(J327&lt;=5,"中位OAV≤5；低档须低于中位浓度","低档需预试确认与中档可区分")))</x:f>
        <x:v>待定</x:v>
      </x:c>
    </x:row>
    <x:row r="328" ht="23" customHeight="1">
      <x:c r="A328" s="1" t="n">
        <x:f>'浓度与阈值来源'!A328</x:f>
        <x:v>323</x:v>
      </x:c>
      <x:c r="B328" s="1" t="str">
        <x:f>IF('浓度与阈值来源'!B328="","",'浓度与阈值来源'!B328)</x:f>
      </x:c>
      <x:c r="C328" s="1" t="str">
        <x:f>IF('浓度与阈值来源'!C328="","",'浓度与阈值来源'!C328)</x:f>
      </x:c>
      <x:c r="D328" s="1" t="str">
        <x:v>Ethyl cyclopropanepropionate</x:v>
      </x:c>
      <x:c r="E328" s="5" t="str">
        <x:f>IF('浓度与阈值来源'!D328&gt;0,'浓度与阈值来源'!D328,"")</x:f>
      </x:c>
      <x:c r="F328" s="6" t="n">
        <x:f>COUNT('浓度与阈值来源'!E328:DM328)</x:f>
        <x:v>5</x:v>
      </x:c>
      <x:c r="G328" s="5" t="n">
        <x:f>IF(F328=0,"",MAX('浓度与阈值来源'!E328:DM328))</x:f>
        <x:v>830</x:v>
      </x:c>
      <x:c r="H328" s="5" t="n">
        <x:f>IF(F328=0,"",MEDIAN('浓度与阈值来源'!E328:DM328))</x:f>
        <x:v>419</x:v>
      </x:c>
      <x:c r="I328" s="7" t="str">
        <x:f>IF(AND(ISNUMBER(E328),E328&gt;0,F328&gt;0),G328/E328,"")</x:f>
      </x:c>
      <x:c r="J328" s="7" t="str">
        <x:f>IF(AND(ISNUMBER(E328),E328&gt;0,F328&gt;0),H328/E328,"")</x:f>
      </x:c>
      <x:c r="K328" s="1" t="str">
        <x:f>IF(F328=0,"无浓度数据",IF(E328="","缺周表阈值","可计算"))</x:f>
        <x:v>缺周表阈值</x:v>
      </x:c>
      <x:c r="L328" s="1" t="str">
        <x:f>IF(NOT(ISNUMBER(J328)),"待定",IF(J328&gt;50,"骨架成分",IF(J328&gt;=2,"重要成分","两档成分")))</x:f>
        <x:v>待定</x:v>
      </x:c>
      <x:c r="M328" s="1" t="str">
        <x:f>IF(NOT(ISNUMBER(J328)),"",IF(J328&gt;=2,3,2))</x:f>
      </x:c>
      <x:c r="N328" s="1" t="str">
        <x:f>IF(NOT(ISNUMBER(J328)),"缺少可算OAV",IF(J328&gt;=2,"最大值、中位值、低值待校准","最大值、中位值"))</x:f>
        <x:v>缺少可算OAV</x:v>
      </x:c>
      <x:c r="O328" s="1" t="str">
        <x:f>IF(NOT(ISNUMBER(J328)),"待定",IF(J328&lt;2,"不设第三档",IF(J328&lt;=5,"中位OAV≤5；低档须低于中位浓度","低档需预试确认与中档可区分")))</x:f>
        <x:v>待定</x:v>
      </x:c>
    </x:row>
    <x:row r="329" ht="23" customHeight="1">
      <x:c r="A329" s="1" t="n">
        <x:f>'浓度与阈值来源'!A329</x:f>
        <x:v>324</x:v>
      </x:c>
      <x:c r="B329" s="1" t="str">
        <x:f>IF('浓度与阈值来源'!B329="","",'浓度与阈值来源'!B329)</x:f>
      </x:c>
      <x:c r="C329" s="1" t="str">
        <x:f>IF('浓度与阈值来源'!C329="","",'浓度与阈值来源'!C329)</x:f>
      </x:c>
      <x:c r="D329" s="1" t="str">
        <x:v>Ethyl Isovvalerate</x:v>
      </x:c>
      <x:c r="E329" s="5" t="n">
        <x:f>IF('浓度与阈值来源'!D329&gt;0,'浓度与阈值来源'!D329,"")</x:f>
        <x:v>6.89</x:v>
      </x:c>
      <x:c r="F329" s="6" t="n">
        <x:f>COUNT('浓度与阈值来源'!E329:DM329)</x:f>
        <x:v>6</x:v>
      </x:c>
      <x:c r="G329" s="5" t="n">
        <x:f>IF(F329=0,"",MAX('浓度与阈值来源'!E329:DM329))</x:f>
        <x:v>4307</x:v>
      </x:c>
      <x:c r="H329" s="5" t="n">
        <x:f>IF(F329=0,"",MEDIAN('浓度与阈值来源'!E329:DM329))</x:f>
        <x:v>2698.5</x:v>
      </x:c>
      <x:c r="I329" s="7" t="n">
        <x:f>IF(AND(ISNUMBER(E329),E329&gt;0,F329&gt;0),G329/E329,"")</x:f>
        <x:v>625.1088534107403</x:v>
      </x:c>
      <x:c r="J329" s="7" t="n">
        <x:f>IF(AND(ISNUMBER(E329),E329&gt;0,F329&gt;0),H329/E329,"")</x:f>
        <x:v>391.6545718432511</x:v>
      </x:c>
      <x:c r="K329" s="1" t="str">
        <x:f>IF(F329=0,"无浓度数据",IF(E329="","缺周表阈值","可计算"))</x:f>
        <x:v>可计算</x:v>
      </x:c>
      <x:c r="L329" s="1" t="str">
        <x:f>IF(NOT(ISNUMBER(J329)),"待定",IF(J329&gt;50,"骨架成分",IF(J329&gt;=2,"重要成分","两档成分")))</x:f>
        <x:v>骨架成分</x:v>
      </x:c>
      <x:c r="M329" s="1" t="n">
        <x:f>IF(NOT(ISNUMBER(J329)),"",IF(J329&gt;=2,3,2))</x:f>
        <x:v>3</x:v>
      </x:c>
      <x:c r="N329" s="1" t="str">
        <x:f>IF(NOT(ISNUMBER(J329)),"缺少可算OAV",IF(J329&gt;=2,"最大值、中位值、低值待校准","最大值、中位值"))</x:f>
        <x:v>最大值、中位值、低值待校准</x:v>
      </x:c>
      <x:c r="O329" s="1" t="str">
        <x:f>IF(NOT(ISNUMBER(J329)),"待定",IF(J329&lt;2,"不设第三档",IF(J329&lt;=5,"中位OAV≤5；低档须低于中位浓度","低档需预试确认与中档可区分")))</x:f>
        <x:v>低档需预试确认与中档可区分</x:v>
      </x:c>
    </x:row>
    <x:row r="330" ht="23" customHeight="1">
      <x:c r="A330" s="1" t="n">
        <x:f>'浓度与阈值来源'!A330</x:f>
        <x:v>325</x:v>
      </x:c>
      <x:c r="B330" s="1" t="str">
        <x:f>IF('浓度与阈值来源'!B330="","",'浓度与阈值来源'!B330)</x:f>
      </x:c>
      <x:c r="C330" s="1" t="str">
        <x:f>IF('浓度与阈值来源'!C330="","",'浓度与阈值来源'!C330)</x:f>
      </x:c>
      <x:c r="D330" s="1" t="str">
        <x:v>Furfuryl Alcohol</x:v>
      </x:c>
      <x:c r="E330" s="5" t="n">
        <x:f>IF('浓度与阈值来源'!D330&gt;0,'浓度与阈值来源'!D330,"")</x:f>
        <x:v>15000</x:v>
      </x:c>
      <x:c r="F330" s="6" t="n">
        <x:f>COUNT('浓度与阈值来源'!E330:DM330)</x:f>
        <x:v>2</x:v>
      </x:c>
      <x:c r="G330" s="5" t="n">
        <x:f>IF(F330=0,"",MAX('浓度与阈值来源'!E330:DM330))</x:f>
        <x:v>2533</x:v>
      </x:c>
      <x:c r="H330" s="5" t="n">
        <x:f>IF(F330=0,"",MEDIAN('浓度与阈值来源'!E330:DM330))</x:f>
        <x:v>2519</x:v>
      </x:c>
      <x:c r="I330" s="7" t="n">
        <x:f>IF(AND(ISNUMBER(E330),E330&gt;0,F330&gt;0),G330/E330,"")</x:f>
        <x:v>0.16886666666666666</x:v>
      </x:c>
      <x:c r="J330" s="7" t="n">
        <x:f>IF(AND(ISNUMBER(E330),E330&gt;0,F330&gt;0),H330/E330,"")</x:f>
        <x:v>0.16793333333333332</x:v>
      </x:c>
      <x:c r="K330" s="1" t="str">
        <x:f>IF(F330=0,"无浓度数据",IF(E330="","缺周表阈值","可计算"))</x:f>
        <x:v>可计算</x:v>
      </x:c>
      <x:c r="L330" s="1" t="str">
        <x:f>IF(NOT(ISNUMBER(J330)),"待定",IF(J330&gt;50,"骨架成分",IF(J330&gt;=2,"重要成分","两档成分")))</x:f>
        <x:v>两档成分</x:v>
      </x:c>
      <x:c r="M330" s="1" t="n">
        <x:f>IF(NOT(ISNUMBER(J330)),"",IF(J330&gt;=2,3,2))</x:f>
        <x:v>2</x:v>
      </x:c>
      <x:c r="N330" s="1" t="str">
        <x:f>IF(NOT(ISNUMBER(J330)),"缺少可算OAV",IF(J330&gt;=2,"最大值、中位值、低值待校准","最大值、中位值"))</x:f>
        <x:v>最大值、中位值</x:v>
      </x:c>
      <x:c r="O330" s="1" t="str">
        <x:f>IF(NOT(ISNUMBER(J330)),"待定",IF(J330&lt;2,"不设第三档",IF(J330&lt;=5,"中位OAV≤5；低档须低于中位浓度","低档需预试确认与中档可区分")))</x:f>
        <x:v>不设第三档</x:v>
      </x:c>
    </x:row>
    <x:row r="331" ht="23" customHeight="1">
      <x:c r="A331" s="1" t="n">
        <x:f>'浓度与阈值来源'!A331</x:f>
        <x:v>326</x:v>
      </x:c>
      <x:c r="B331" s="1" t="str">
        <x:f>IF('浓度与阈值来源'!B331="","",'浓度与阈值来源'!B331)</x:f>
      </x:c>
      <x:c r="C331" s="1" t="str">
        <x:f>IF('浓度与阈值来源'!C331="","",'浓度与阈值来源'!C331)</x:f>
      </x:c>
      <x:c r="D331" s="1" t="str">
        <x:v>Furhral</x:v>
      </x:c>
      <x:c r="E331" s="5" t="n">
        <x:f>IF('浓度与阈值来源'!D331&gt;0,'浓度与阈值来源'!D331,"")</x:f>
        <x:v>44000</x:v>
      </x:c>
      <x:c r="F331" s="6" t="n">
        <x:f>COUNT('浓度与阈值来源'!E331:DM331)</x:f>
        <x:v>1</x:v>
      </x:c>
      <x:c r="G331" s="5" t="n">
        <x:f>IF(F331=0,"",MAX('浓度与阈值来源'!E331:DM331))</x:f>
        <x:v>22.64</x:v>
      </x:c>
      <x:c r="H331" s="5" t="n">
        <x:f>IF(F331=0,"",MEDIAN('浓度与阈值来源'!E331:DM331))</x:f>
        <x:v>22.64</x:v>
      </x:c>
      <x:c r="I331" s="7" t="n">
        <x:f>IF(AND(ISNUMBER(E331),E331&gt;0,F331&gt;0),G331/E331,"")</x:f>
        <x:v>0.0005145454545454546</x:v>
      </x:c>
      <x:c r="J331" s="7" t="n">
        <x:f>IF(AND(ISNUMBER(E331),E331&gt;0,F331&gt;0),H331/E331,"")</x:f>
        <x:v>0.0005145454545454546</x:v>
      </x:c>
      <x:c r="K331" s="1" t="str">
        <x:f>IF(F331=0,"无浓度数据",IF(E331="","缺周表阈值","可计算"))</x:f>
        <x:v>可计算</x:v>
      </x:c>
      <x:c r="L331" s="1" t="str">
        <x:f>IF(NOT(ISNUMBER(J331)),"待定",IF(J331&gt;50,"骨架成分",IF(J331&gt;=2,"重要成分","两档成分")))</x:f>
        <x:v>两档成分</x:v>
      </x:c>
      <x:c r="M331" s="1" t="n">
        <x:f>IF(NOT(ISNUMBER(J331)),"",IF(J331&gt;=2,3,2))</x:f>
        <x:v>2</x:v>
      </x:c>
      <x:c r="N331" s="1" t="str">
        <x:f>IF(NOT(ISNUMBER(J331)),"缺少可算OAV",IF(J331&gt;=2,"最大值、中位值、低值待校准","最大值、中位值"))</x:f>
        <x:v>最大值、中位值</x:v>
      </x:c>
      <x:c r="O331" s="1" t="str">
        <x:f>IF(NOT(ISNUMBER(J331)),"待定",IF(J331&lt;2,"不设第三档",IF(J331&lt;=5,"中位OAV≤5；低档须低于中位浓度","低档需预试确认与中档可区分")))</x:f>
        <x:v>不设第三档</x:v>
      </x:c>
    </x:row>
    <x:row r="332" ht="23" customHeight="1">
      <x:c r="A332" s="1" t="n">
        <x:f>'浓度与阈值来源'!A332</x:f>
        <x:v>327</x:v>
      </x:c>
      <x:c r="B332" s="1" t="str">
        <x:f>IF('浓度与阈值来源'!B332="","",'浓度与阈值来源'!B332)</x:f>
      </x:c>
      <x:c r="C332" s="1" t="str">
        <x:f>IF('浓度与阈值来源'!C332="","",'浓度与阈值来源'!C332)</x:f>
      </x:c>
      <x:c r="D332" s="1" t="str">
        <x:v>Gamma-Nonanolactone</x:v>
      </x:c>
      <x:c r="E332" s="5" t="n">
        <x:f>IF('浓度与阈值来源'!D332&gt;0,'浓度与阈值来源'!D332,"")</x:f>
        <x:v>90.7</x:v>
      </x:c>
      <x:c r="F332" s="6" t="n">
        <x:f>COUNT('浓度与阈值来源'!E332:DM332)</x:f>
        <x:v>2</x:v>
      </x:c>
      <x:c r="G332" s="5" t="n">
        <x:f>IF(F332=0,"",MAX('浓度与阈值来源'!E332:DM332))</x:f>
        <x:v>130</x:v>
      </x:c>
      <x:c r="H332" s="5" t="n">
        <x:f>IF(F332=0,"",MEDIAN('浓度与阈值来源'!E332:DM332))</x:f>
        <x:v>71.5</x:v>
      </x:c>
      <x:c r="I332" s="7" t="n">
        <x:f>IF(AND(ISNUMBER(E332),E332&gt;0,F332&gt;0),G332/E332,"")</x:f>
        <x:v>1.4332965821389194</x:v>
      </x:c>
      <x:c r="J332" s="7" t="n">
        <x:f>IF(AND(ISNUMBER(E332),E332&gt;0,F332&gt;0),H332/E332,"")</x:f>
        <x:v>0.7883131201764058</x:v>
      </x:c>
      <x:c r="K332" s="1" t="str">
        <x:f>IF(F332=0,"无浓度数据",IF(E332="","缺周表阈值","可计算"))</x:f>
        <x:v>可计算</x:v>
      </x:c>
      <x:c r="L332" s="1" t="str">
        <x:f>IF(NOT(ISNUMBER(J332)),"待定",IF(J332&gt;50,"骨架成分",IF(J332&gt;=2,"重要成分","两档成分")))</x:f>
        <x:v>两档成分</x:v>
      </x:c>
      <x:c r="M332" s="1" t="n">
        <x:f>IF(NOT(ISNUMBER(J332)),"",IF(J332&gt;=2,3,2))</x:f>
        <x:v>2</x:v>
      </x:c>
      <x:c r="N332" s="1" t="str">
        <x:f>IF(NOT(ISNUMBER(J332)),"缺少可算OAV",IF(J332&gt;=2,"最大值、中位值、低值待校准","最大值、中位值"))</x:f>
        <x:v>最大值、中位值</x:v>
      </x:c>
      <x:c r="O332" s="1" t="str">
        <x:f>IF(NOT(ISNUMBER(J332)),"待定",IF(J332&lt;2,"不设第三档",IF(J332&lt;=5,"中位OAV≤5；低档须低于中位浓度","低档需预试确认与中档可区分")))</x:f>
        <x:v>不设第三档</x:v>
      </x:c>
    </x:row>
    <x:row r="333" ht="23" customHeight="1">
      <x:c r="A333" s="1" t="n">
        <x:f>'浓度与阈值来源'!A333</x:f>
        <x:v>328</x:v>
      </x:c>
      <x:c r="B333" s="1" t="str">
        <x:f>IF('浓度与阈值来源'!B333="","",'浓度与阈值来源'!B333)</x:f>
      </x:c>
      <x:c r="C333" s="1" t="str">
        <x:f>IF('浓度与阈值来源'!C333="","",'浓度与阈值来源'!C333)</x:f>
      </x:c>
      <x:c r="D333" s="1" t="str">
        <x:v>Hepanoic Acid</x:v>
      </x:c>
      <x:c r="E333" s="5" t="str">
        <x:f>IF('浓度与阈值来源'!D333&gt;0,'浓度与阈值来源'!D333,"")</x:f>
      </x:c>
      <x:c r="F333" s="6" t="n">
        <x:f>COUNT('浓度与阈值来源'!E333:DM333)</x:f>
        <x:v>6</x:v>
      </x:c>
      <x:c r="G333" s="5" t="n">
        <x:f>IF(F333=0,"",MAX('浓度与阈值来源'!E333:DM333))</x:f>
        <x:v>9758</x:v>
      </x:c>
      <x:c r="H333" s="5" t="n">
        <x:f>IF(F333=0,"",MEDIAN('浓度与阈值来源'!E333:DM333))</x:f>
        <x:v>7120.5</x:v>
      </x:c>
      <x:c r="I333" s="7" t="str">
        <x:f>IF(AND(ISNUMBER(E333),E333&gt;0,F333&gt;0),G333/E333,"")</x:f>
      </x:c>
      <x:c r="J333" s="7" t="str">
        <x:f>IF(AND(ISNUMBER(E333),E333&gt;0,F333&gt;0),H333/E333,"")</x:f>
      </x:c>
      <x:c r="K333" s="1" t="str">
        <x:f>IF(F333=0,"无浓度数据",IF(E333="","缺周表阈值","可计算"))</x:f>
        <x:v>缺周表阈值</x:v>
      </x:c>
      <x:c r="L333" s="1" t="str">
        <x:f>IF(NOT(ISNUMBER(J333)),"待定",IF(J333&gt;50,"骨架成分",IF(J333&gt;=2,"重要成分","两档成分")))</x:f>
        <x:v>待定</x:v>
      </x:c>
      <x:c r="M333" s="1" t="str">
        <x:f>IF(NOT(ISNUMBER(J333)),"",IF(J333&gt;=2,3,2))</x:f>
      </x:c>
      <x:c r="N333" s="1" t="str">
        <x:f>IF(NOT(ISNUMBER(J333)),"缺少可算OAV",IF(J333&gt;=2,"最大值、中位值、低值待校准","最大值、中位值"))</x:f>
        <x:v>缺少可算OAV</x:v>
      </x:c>
      <x:c r="O333" s="1" t="str">
        <x:f>IF(NOT(ISNUMBER(J333)),"待定",IF(J333&lt;2,"不设第三档",IF(J333&lt;=5,"中位OAV≤5；低档须低于中位浓度","低档需预试确认与中档可区分")))</x:f>
        <x:v>待定</x:v>
      </x:c>
    </x:row>
    <x:row r="334" ht="23" customHeight="1">
      <x:c r="A334" s="1" t="n">
        <x:f>'浓度与阈值来源'!A334</x:f>
        <x:v>329</x:v>
      </x:c>
      <x:c r="B334" s="1" t="str">
        <x:f>IF('浓度与阈值来源'!B334="","",'浓度与阈值来源'!B334)</x:f>
      </x:c>
      <x:c r="C334" s="1" t="str">
        <x:f>IF('浓度与阈值来源'!C334="","",'浓度与阈值来源'!C334)</x:f>
      </x:c>
      <x:c r="D334" s="1" t="str">
        <x:v>Hexanal</x:v>
      </x:c>
      <x:c r="E334" s="5" t="n">
        <x:f>IF('浓度与阈值来源'!D334&gt;0,'浓度与阈值来源'!D334,"")</x:f>
        <x:v>25.5</x:v>
      </x:c>
      <x:c r="F334" s="6" t="n">
        <x:f>COUNT('浓度与阈值来源'!E334:DM334)</x:f>
        <x:v>0</x:v>
      </x:c>
      <x:c r="G334" s="5" t="str">
        <x:f>IF(F334=0,"",MAX('浓度与阈值来源'!E334:DM334))</x:f>
      </x:c>
      <x:c r="H334" s="5" t="str">
        <x:f>IF(F334=0,"",MEDIAN('浓度与阈值来源'!E334:DM334))</x:f>
      </x:c>
      <x:c r="I334" s="7" t="str">
        <x:f>IF(AND(ISNUMBER(E334),E334&gt;0,F334&gt;0),G334/E334,"")</x:f>
      </x:c>
      <x:c r="J334" s="7" t="str">
        <x:f>IF(AND(ISNUMBER(E334),E334&gt;0,F334&gt;0),H334/E334,"")</x:f>
      </x:c>
      <x:c r="K334" s="1" t="str">
        <x:f>IF(F334=0,"无浓度数据",IF(E334="","缺周表阈值","可计算"))</x:f>
        <x:v>无浓度数据</x:v>
      </x:c>
      <x:c r="L334" s="1" t="str">
        <x:f>IF(NOT(ISNUMBER(J334)),"待定",IF(J334&gt;50,"骨架成分",IF(J334&gt;=2,"重要成分","两档成分")))</x:f>
        <x:v>待定</x:v>
      </x:c>
      <x:c r="M334" s="1" t="str">
        <x:f>IF(NOT(ISNUMBER(J334)),"",IF(J334&gt;=2,3,2))</x:f>
      </x:c>
      <x:c r="N334" s="1" t="str">
        <x:f>IF(NOT(ISNUMBER(J334)),"缺少可算OAV",IF(J334&gt;=2,"最大值、中位值、低值待校准","最大值、中位值"))</x:f>
        <x:v>缺少可算OAV</x:v>
      </x:c>
      <x:c r="O334" s="1" t="str">
        <x:f>IF(NOT(ISNUMBER(J334)),"待定",IF(J334&lt;2,"不设第三档",IF(J334&lt;=5,"中位OAV≤5；低档须低于中位浓度","低档需预试确认与中档可区分")))</x:f>
        <x:v>待定</x:v>
      </x:c>
    </x:row>
    <x:row r="335" ht="23" customHeight="1">
      <x:c r="A335" s="1" t="n">
        <x:f>'浓度与阈值来源'!A335</x:f>
        <x:v>330</x:v>
      </x:c>
      <x:c r="B335" s="1" t="str">
        <x:f>IF('浓度与阈值来源'!B335="","",'浓度与阈值来源'!B335)</x:f>
      </x:c>
      <x:c r="C335" s="1" t="str">
        <x:f>IF('浓度与阈值来源'!C335="","",'浓度与阈值来源'!C335)</x:f>
      </x:c>
      <x:c r="D335" s="1" t="str">
        <x:v>Hexanole Acid</x:v>
      </x:c>
      <x:c r="E335" s="5" t="n">
        <x:f>IF('浓度与阈值来源'!D335&gt;0,'浓度与阈值来源'!D335,"")</x:f>
        <x:v>2520</x:v>
      </x:c>
      <x:c r="F335" s="6" t="n">
        <x:f>COUNT('浓度与阈值来源'!E335:DM335)</x:f>
        <x:v>2</x:v>
      </x:c>
      <x:c r="G335" s="5" t="n">
        <x:f>IF(F335=0,"",MAX('浓度与阈值来源'!E335:DM335))</x:f>
        <x:v>123135</x:v>
      </x:c>
      <x:c r="H335" s="5" t="n">
        <x:f>IF(F335=0,"",MEDIAN('浓度与阈值来源'!E335:DM335))</x:f>
        <x:v>102748.5</x:v>
      </x:c>
      <x:c r="I335" s="7" t="n">
        <x:f>IF(AND(ISNUMBER(E335),E335&gt;0,F335&gt;0),G335/E335,"")</x:f>
        <x:v>48.86309523809524</x:v>
      </x:c>
      <x:c r="J335" s="7" t="n">
        <x:f>IF(AND(ISNUMBER(E335),E335&gt;0,F335&gt;0),H335/E335,"")</x:f>
        <x:v>40.77321428571429</x:v>
      </x:c>
      <x:c r="K335" s="1" t="str">
        <x:f>IF(F335=0,"无浓度数据",IF(E335="","缺周表阈值","可计算"))</x:f>
        <x:v>可计算</x:v>
      </x:c>
      <x:c r="L335" s="1" t="str">
        <x:f>IF(NOT(ISNUMBER(J335)),"待定",IF(J335&gt;50,"骨架成分",IF(J335&gt;=2,"重要成分","两档成分")))</x:f>
        <x:v>重要成分</x:v>
      </x:c>
      <x:c r="M335" s="1" t="n">
        <x:f>IF(NOT(ISNUMBER(J335)),"",IF(J335&gt;=2,3,2))</x:f>
        <x:v>3</x:v>
      </x:c>
      <x:c r="N335" s="1" t="str">
        <x:f>IF(NOT(ISNUMBER(J335)),"缺少可算OAV",IF(J335&gt;=2,"最大值、中位值、低值待校准","最大值、中位值"))</x:f>
        <x:v>最大值、中位值、低值待校准</x:v>
      </x:c>
      <x:c r="O335" s="1" t="str">
        <x:f>IF(NOT(ISNUMBER(J335)),"待定",IF(J335&lt;2,"不设第三档",IF(J335&lt;=5,"中位OAV≤5；低档须低于中位浓度","低档需预试确认与中档可区分")))</x:f>
        <x:v>低档需预试确认与中档可区分</x:v>
      </x:c>
    </x:row>
    <x:row r="336" ht="23" customHeight="1">
      <x:c r="A336" s="1" t="n">
        <x:f>'浓度与阈值来源'!A336</x:f>
        <x:v>331</x:v>
      </x:c>
      <x:c r="B336" s="1" t="str">
        <x:f>IF('浓度与阈值来源'!B336="","",'浓度与阈值来源'!B336)</x:f>
      </x:c>
      <x:c r="C336" s="1" t="str">
        <x:f>IF('浓度与阈值来源'!C336="","",'浓度与阈值来源'!C336)</x:f>
      </x:c>
      <x:c r="D336" s="1" t="str">
        <x:v>Isovacetaldehyde</x:v>
      </x:c>
      <x:c r="E336" s="5" t="n">
        <x:f>IF('浓度与阈值来源'!D336&gt;0,'浓度与阈值来源'!D336,"")</x:f>
        <x:v>16.5</x:v>
      </x:c>
      <x:c r="F336" s="6" t="n">
        <x:f>COUNT('浓度与阈值来源'!E336:DM336)</x:f>
        <x:v>0</x:v>
      </x:c>
      <x:c r="G336" s="5" t="str">
        <x:f>IF(F336=0,"",MAX('浓度与阈值来源'!E336:DM336))</x:f>
      </x:c>
      <x:c r="H336" s="5" t="str">
        <x:f>IF(F336=0,"",MEDIAN('浓度与阈值来源'!E336:DM336))</x:f>
      </x:c>
      <x:c r="I336" s="7" t="str">
        <x:f>IF(AND(ISNUMBER(E336),E336&gt;0,F336&gt;0),G336/E336,"")</x:f>
      </x:c>
      <x:c r="J336" s="7" t="str">
        <x:f>IF(AND(ISNUMBER(E336),E336&gt;0,F336&gt;0),H336/E336,"")</x:f>
      </x:c>
      <x:c r="K336" s="1" t="str">
        <x:f>IF(F336=0,"无浓度数据",IF(E336="","缺周表阈值","可计算"))</x:f>
        <x:v>无浓度数据</x:v>
      </x:c>
      <x:c r="L336" s="1" t="str">
        <x:f>IF(NOT(ISNUMBER(J336)),"待定",IF(J336&gt;50,"骨架成分",IF(J336&gt;=2,"重要成分","两档成分")))</x:f>
        <x:v>待定</x:v>
      </x:c>
      <x:c r="M336" s="1" t="str">
        <x:f>IF(NOT(ISNUMBER(J336)),"",IF(J336&gt;=2,3,2))</x:f>
      </x:c>
      <x:c r="N336" s="1" t="str">
        <x:f>IF(NOT(ISNUMBER(J336)),"缺少可算OAV",IF(J336&gt;=2,"最大值、中位值、低值待校准","最大值、中位值"))</x:f>
        <x:v>缺少可算OAV</x:v>
      </x:c>
      <x:c r="O336" s="1" t="str">
        <x:f>IF(NOT(ISNUMBER(J336)),"待定",IF(J336&lt;2,"不设第三档",IF(J336&lt;=5,"中位OAV≤5；低档须低于中位浓度","低档需预试确认与中档可区分")))</x:f>
        <x:v>待定</x:v>
      </x:c>
    </x:row>
    <x:row r="337" ht="23" customHeight="1">
      <x:c r="A337" s="1" t="n">
        <x:f>'浓度与阈值来源'!A337</x:f>
        <x:v>332</x:v>
      </x:c>
      <x:c r="B337" s="1" t="str">
        <x:f>IF('浓度与阈值来源'!B337="","",'浓度与阈值来源'!B337)</x:f>
      </x:c>
      <x:c r="C337" s="1" t="str">
        <x:f>IF('浓度与阈值来源'!C337="","",'浓度与阈值来源'!C337)</x:f>
      </x:c>
      <x:c r="D337" s="1" t="str">
        <x:v>Isovalenic Acid</x:v>
      </x:c>
      <x:c r="E337" s="5" t="n">
        <x:f>IF('浓度与阈值来源'!D337&gt;0,'浓度与阈值来源'!D337,"")</x:f>
        <x:v>1050</x:v>
      </x:c>
      <x:c r="F337" s="6" t="n">
        <x:f>COUNT('浓度与阈值来源'!E337:DM337)</x:f>
        <x:v>2</x:v>
      </x:c>
      <x:c r="G337" s="5" t="n">
        <x:f>IF(F337=0,"",MAX('浓度与阈值来源'!E337:DM337))</x:f>
        <x:v>4507</x:v>
      </x:c>
      <x:c r="H337" s="5" t="n">
        <x:f>IF(F337=0,"",MEDIAN('浓度与阈值来源'!E337:DM337))</x:f>
        <x:v>3815</x:v>
      </x:c>
      <x:c r="I337" s="7" t="n">
        <x:f>IF(AND(ISNUMBER(E337),E337&gt;0,F337&gt;0),G337/E337,"")</x:f>
        <x:v>4.292380952380952</x:v>
      </x:c>
      <x:c r="J337" s="7" t="n">
        <x:f>IF(AND(ISNUMBER(E337),E337&gt;0,F337&gt;0),H337/E337,"")</x:f>
        <x:v>3.6333333333333333</x:v>
      </x:c>
      <x:c r="K337" s="1" t="str">
        <x:f>IF(F337=0,"无浓度数据",IF(E337="","缺周表阈值","可计算"))</x:f>
        <x:v>可计算</x:v>
      </x:c>
      <x:c r="L337" s="1" t="str">
        <x:f>IF(NOT(ISNUMBER(J337)),"待定",IF(J337&gt;50,"骨架成分",IF(J337&gt;=2,"重要成分","两档成分")))</x:f>
        <x:v>重要成分</x:v>
      </x:c>
      <x:c r="M337" s="1" t="n">
        <x:f>IF(NOT(ISNUMBER(J337)),"",IF(J337&gt;=2,3,2))</x:f>
        <x:v>3</x:v>
      </x:c>
      <x:c r="N337" s="1" t="str">
        <x:f>IF(NOT(ISNUMBER(J337)),"缺少可算OAV",IF(J337&gt;=2,"最大值、中位值、低值待校准","最大值、中位值"))</x:f>
        <x:v>最大值、中位值、低值待校准</x:v>
      </x:c>
      <x:c r="O337" s="1" t="str">
        <x:f>IF(NOT(ISNUMBER(J337)),"待定",IF(J337&lt;2,"不设第三档",IF(J337&lt;=5,"中位OAV≤5；低档须低于中位浓度","低档需预试确认与中档可区分")))</x:f>
        <x:v>中位OAV≤5；低档须低于中位浓度</x:v>
      </x:c>
    </x:row>
    <x:row r="338" ht="23" customHeight="1">
      <x:c r="A338" s="1" t="n">
        <x:f>'浓度与阈值来源'!A338</x:f>
        <x:v>333</x:v>
      </x:c>
      <x:c r="B338" s="1" t="str">
        <x:f>IF('浓度与阈值来源'!B338="","",'浓度与阈值来源'!B338)</x:f>
      </x:c>
      <x:c r="C338" s="1" t="str">
        <x:f>IF('浓度与阈值来源'!C338="","",'浓度与阈值来源'!C338)</x:f>
      </x:c>
      <x:c r="D338" s="1" t="str">
        <x:v>Nominal</x:v>
      </x:c>
      <x:c r="E338" s="5" t="str">
        <x:f>IF('浓度与阈值来源'!D338&gt;0,'浓度与阈值来源'!D338,"")</x:f>
      </x:c>
      <x:c r="F338" s="6" t="n">
        <x:f>COUNT('浓度与阈值来源'!E338:DM338)</x:f>
        <x:v>6</x:v>
      </x:c>
      <x:c r="G338" s="5" t="n">
        <x:f>IF(F338=0,"",MAX('浓度与阈值来源'!E338:DM338))</x:f>
        <x:v>1301</x:v>
      </x:c>
      <x:c r="H338" s="5" t="n">
        <x:f>IF(F338=0,"",MEDIAN('浓度与阈值来源'!E338:DM338))</x:f>
        <x:v>1075</x:v>
      </x:c>
      <x:c r="I338" s="7" t="str">
        <x:f>IF(AND(ISNUMBER(E338),E338&gt;0,F338&gt;0),G338/E338,"")</x:f>
      </x:c>
      <x:c r="J338" s="7" t="str">
        <x:f>IF(AND(ISNUMBER(E338),E338&gt;0,F338&gt;0),H338/E338,"")</x:f>
      </x:c>
      <x:c r="K338" s="1" t="str">
        <x:f>IF(F338=0,"无浓度数据",IF(E338="","缺周表阈值","可计算"))</x:f>
        <x:v>缺周表阈值</x:v>
      </x:c>
      <x:c r="L338" s="1" t="str">
        <x:f>IF(NOT(ISNUMBER(J338)),"待定",IF(J338&gt;50,"骨架成分",IF(J338&gt;=2,"重要成分","两档成分")))</x:f>
        <x:v>待定</x:v>
      </x:c>
      <x:c r="M338" s="1" t="str">
        <x:f>IF(NOT(ISNUMBER(J338)),"",IF(J338&gt;=2,3,2))</x:f>
      </x:c>
      <x:c r="N338" s="1" t="str">
        <x:f>IF(NOT(ISNUMBER(J338)),"缺少可算OAV",IF(J338&gt;=2,"最大值、中位值、低值待校准","最大值、中位值"))</x:f>
        <x:v>缺少可算OAV</x:v>
      </x:c>
      <x:c r="O338" s="1" t="str">
        <x:f>IF(NOT(ISNUMBER(J338)),"待定",IF(J338&lt;2,"不设第三档",IF(J338&lt;=5,"中位OAV≤5；低档须低于中位浓度","低档需预试确认与中档可区分")))</x:f>
        <x:v>待定</x:v>
      </x:c>
    </x:row>
    <x:row r="339" ht="23" customHeight="1">
      <x:c r="A339" s="1" t="n">
        <x:f>'浓度与阈值来源'!A339</x:f>
        <x:v>334</x:v>
      </x:c>
      <x:c r="B339" s="1" t="str">
        <x:f>IF('浓度与阈值来源'!B339="","",'浓度与阈值来源'!B339)</x:f>
      </x:c>
      <x:c r="C339" s="1" t="str">
        <x:f>IF('浓度与阈值来源'!C339="","",'浓度与阈值来源'!C339)</x:f>
      </x:c>
      <x:c r="D339" s="1" t="str">
        <x:v>Purfural</x:v>
      </x:c>
      <x:c r="E339" s="5" t="n">
        <x:f>IF('浓度与阈值来源'!D339&gt;0,'浓度与阈值来源'!D339,"")</x:f>
        <x:v>44000</x:v>
      </x:c>
      <x:c r="F339" s="6" t="n">
        <x:f>COUNT('浓度与阈值来源'!E339:DM339)</x:f>
        <x:v>0</x:v>
      </x:c>
      <x:c r="G339" s="5" t="str">
        <x:f>IF(F339=0,"",MAX('浓度与阈值来源'!E339:DM339))</x:f>
      </x:c>
      <x:c r="H339" s="5" t="str">
        <x:f>IF(F339=0,"",MEDIAN('浓度与阈值来源'!E339:DM339))</x:f>
      </x:c>
      <x:c r="I339" s="7" t="str">
        <x:f>IF(AND(ISNUMBER(E339),E339&gt;0,F339&gt;0),G339/E339,"")</x:f>
      </x:c>
      <x:c r="J339" s="7" t="str">
        <x:f>IF(AND(ISNUMBER(E339),E339&gt;0,F339&gt;0),H339/E339,"")</x:f>
      </x:c>
      <x:c r="K339" s="1" t="str">
        <x:f>IF(F339=0,"无浓度数据",IF(E339="","缺周表阈值","可计算"))</x:f>
        <x:v>无浓度数据</x:v>
      </x:c>
      <x:c r="L339" s="1" t="str">
        <x:f>IF(NOT(ISNUMBER(J339)),"待定",IF(J339&gt;50,"骨架成分",IF(J339&gt;=2,"重要成分","两档成分")))</x:f>
        <x:v>待定</x:v>
      </x:c>
      <x:c r="M339" s="1" t="str">
        <x:f>IF(NOT(ISNUMBER(J339)),"",IF(J339&gt;=2,3,2))</x:f>
      </x:c>
      <x:c r="N339" s="1" t="str">
        <x:f>IF(NOT(ISNUMBER(J339)),"缺少可算OAV",IF(J339&gt;=2,"最大值、中位值、低值待校准","最大值、中位值"))</x:f>
        <x:v>缺少可算OAV</x:v>
      </x:c>
      <x:c r="O339" s="1" t="str">
        <x:f>IF(NOT(ISNUMBER(J339)),"待定",IF(J339&lt;2,"不设第三档",IF(J339&lt;=5,"中位OAV≤5；低档须低于中位浓度","低档需预试确认与中档可区分")))</x:f>
        <x:v>待定</x:v>
      </x:c>
    </x:row>
    <x:row r="340" ht="23" customHeight="1">
      <x:c r="A340" s="1" t="n">
        <x:f>'浓度与阈值来源'!A340</x:f>
        <x:v>335</x:v>
      </x:c>
      <x:c r="B340" s="1" t="str">
        <x:f>IF('浓度与阈值来源'!B340="","",'浓度与阈值来源'!B340)</x:f>
      </x:c>
      <x:c r="C340" s="1" t="str">
        <x:f>IF('浓度与阈值来源'!C340="","",'浓度与阈值来源'!C340)</x:f>
      </x:c>
      <x:c r="D340" s="1" t="str">
        <x:v>Sum</x:v>
      </x:c>
      <x:c r="E340" s="5" t="str">
        <x:f>IF('浓度与阈值来源'!D340&gt;0,'浓度与阈值来源'!D340,"")</x:f>
      </x:c>
      <x:c r="F340" s="6" t="n">
        <x:f>COUNT('浓度与阈值来源'!E340:DM340)</x:f>
        <x:v>5</x:v>
      </x:c>
      <x:c r="G340" s="5" t="n">
        <x:f>IF(F340=0,"",MAX('浓度与阈值来源'!E340:DM340))</x:f>
        <x:v>84.16</x:v>
      </x:c>
      <x:c r="H340" s="5" t="n">
        <x:f>IF(F340=0,"",MEDIAN('浓度与阈值来源'!E340:DM340))</x:f>
        <x:v>2.88</x:v>
      </x:c>
      <x:c r="I340" s="7" t="str">
        <x:f>IF(AND(ISNUMBER(E340),E340&gt;0,F340&gt;0),G340/E340,"")</x:f>
      </x:c>
      <x:c r="J340" s="7" t="str">
        <x:f>IF(AND(ISNUMBER(E340),E340&gt;0,F340&gt;0),H340/E340,"")</x:f>
      </x:c>
      <x:c r="K340" s="1" t="str">
        <x:f>IF(F340=0,"无浓度数据",IF(E340="","缺周表阈值","可计算"))</x:f>
        <x:v>缺周表阈值</x:v>
      </x:c>
      <x:c r="L340" s="1" t="str">
        <x:f>IF(NOT(ISNUMBER(J340)),"待定",IF(J340&gt;50,"骨架成分",IF(J340&gt;=2,"重要成分","两档成分")))</x:f>
        <x:v>待定</x:v>
      </x:c>
      <x:c r="M340" s="1" t="str">
        <x:f>IF(NOT(ISNUMBER(J340)),"",IF(J340&gt;=2,3,2))</x:f>
      </x:c>
      <x:c r="N340" s="1" t="str">
        <x:f>IF(NOT(ISNUMBER(J340)),"缺少可算OAV",IF(J340&gt;=2,"最大值、中位值、低值待校准","最大值、中位值"))</x:f>
        <x:v>缺少可算OAV</x:v>
      </x:c>
      <x:c r="O340" s="1" t="str">
        <x:f>IF(NOT(ISNUMBER(J340)),"待定",IF(J340&lt;2,"不设第三档",IF(J340&lt;=5,"中位OAV≤5；低档须低于中位浓度","低档需预试确认与中档可区分")))</x:f>
        <x:v>待定</x:v>
      </x:c>
    </x:row>
    <x:row r="341" ht="23" customHeight="1">
      <x:c r="A341" s="1" t="n">
        <x:f>'浓度与阈值来源'!A341</x:f>
        <x:v>336</x:v>
      </x:c>
      <x:c r="B341" s="1" t="str">
        <x:f>IF('浓度与阈值来源'!B341="","",'浓度与阈值来源'!B341)</x:f>
      </x:c>
      <x:c r="C341" s="1" t="str">
        <x:f>IF('浓度与阈值来源'!C341="","",'浓度与阈值来源'!C341)</x:f>
      </x:c>
      <x:c r="D341" s="1" t="str">
        <x:v>Total Sum</x:v>
      </x:c>
      <x:c r="E341" s="5" t="str">
        <x:f>IF('浓度与阈值来源'!D341&gt;0,'浓度与阈值来源'!D341,"")</x:f>
      </x:c>
      <x:c r="F341" s="6" t="n">
        <x:f>COUNT('浓度与阈值来源'!E341:DM341)</x:f>
        <x:v>5</x:v>
      </x:c>
      <x:c r="G341" s="5" t="n">
        <x:f>IF(F341=0,"",MAX('浓度与阈值来源'!E341:DM341))</x:f>
        <x:v>15138.07</x:v>
      </x:c>
      <x:c r="H341" s="5" t="n">
        <x:f>IF(F341=0,"",MEDIAN('浓度与阈值来源'!E341:DM341))</x:f>
        <x:v>7314.51</x:v>
      </x:c>
      <x:c r="I341" s="7" t="str">
        <x:f>IF(AND(ISNUMBER(E341),E341&gt;0,F341&gt;0),G341/E341,"")</x:f>
      </x:c>
      <x:c r="J341" s="7" t="str">
        <x:f>IF(AND(ISNUMBER(E341),E341&gt;0,F341&gt;0),H341/E341,"")</x:f>
      </x:c>
      <x:c r="K341" s="1" t="str">
        <x:f>IF(F341=0,"无浓度数据",IF(E341="","缺周表阈值","可计算"))</x:f>
        <x:v>缺周表阈值</x:v>
      </x:c>
      <x:c r="L341" s="1" t="str">
        <x:f>IF(NOT(ISNUMBER(J341)),"待定",IF(J341&gt;50,"骨架成分",IF(J341&gt;=2,"重要成分","两档成分")))</x:f>
        <x:v>待定</x:v>
      </x:c>
      <x:c r="M341" s="1" t="str">
        <x:f>IF(NOT(ISNUMBER(J341)),"",IF(J341&gt;=2,3,2))</x:f>
      </x:c>
      <x:c r="N341" s="1" t="str">
        <x:f>IF(NOT(ISNUMBER(J341)),"缺少可算OAV",IF(J341&gt;=2,"最大值、中位值、低值待校准","最大值、中位值"))</x:f>
        <x:v>缺少可算OAV</x:v>
      </x:c>
      <x:c r="O341" s="1" t="str">
        <x:f>IF(NOT(ISNUMBER(J341)),"待定",IF(J341&lt;2,"不设第三档",IF(J341&lt;=5,"中位OAV≤5；低档须低于中位浓度","低档需预试确认与中档可区分")))</x:f>
        <x:v>待定</x:v>
      </x:c>
    </x:row>
    <x:row r="342" ht="23" customHeight="1">
      <x:c r="A342" s="1" t="n">
        <x:f>'浓度与阈值来源'!A342</x:f>
        <x:v>337</x:v>
      </x:c>
      <x:c r="B342" s="1" t="str">
        <x:f>IF('浓度与阈值来源'!B342="","",'浓度与阈值来源'!B342)</x:f>
      </x:c>
      <x:c r="C342" s="1" t="str">
        <x:f>IF('浓度与阈值来源'!C342="","",'浓度与阈值来源'!C342)</x:f>
      </x:c>
      <x:c r="D342" s="1" t="str">
        <x:v>Trimethyl-Pyrazine</x:v>
      </x:c>
      <x:c r="E342" s="5" t="n">
        <x:f>IF('浓度与阈值来源'!D342&gt;0,'浓度与阈值来源'!D342,"")</x:f>
        <x:v>730</x:v>
      </x:c>
      <x:c r="F342" s="6" t="n">
        <x:f>COUNT('浓度与阈值来源'!E342:DM342)</x:f>
        <x:v>0</x:v>
      </x:c>
      <x:c r="G342" s="5" t="str">
        <x:f>IF(F342=0,"",MAX('浓度与阈值来源'!E342:DM342))</x:f>
      </x:c>
      <x:c r="H342" s="5" t="str">
        <x:f>IF(F342=0,"",MEDIAN('浓度与阈值来源'!E342:DM342))</x:f>
      </x:c>
      <x:c r="I342" s="7" t="str">
        <x:f>IF(AND(ISNUMBER(E342),E342&gt;0,F342&gt;0),G342/E342,"")</x:f>
      </x:c>
      <x:c r="J342" s="7" t="str">
        <x:f>IF(AND(ISNUMBER(E342),E342&gt;0,F342&gt;0),H342/E342,"")</x:f>
      </x:c>
      <x:c r="K342" s="1" t="str">
        <x:f>IF(F342=0,"无浓度数据",IF(E342="","缺周表阈值","可计算"))</x:f>
        <x:v>无浓度数据</x:v>
      </x:c>
      <x:c r="L342" s="1" t="str">
        <x:f>IF(NOT(ISNUMBER(J342)),"待定",IF(J342&gt;50,"骨架成分",IF(J342&gt;=2,"重要成分","两档成分")))</x:f>
        <x:v>待定</x:v>
      </x:c>
      <x:c r="M342" s="1" t="str">
        <x:f>IF(NOT(ISNUMBER(J342)),"",IF(J342&gt;=2,3,2))</x:f>
      </x:c>
      <x:c r="N342" s="1" t="str">
        <x:f>IF(NOT(ISNUMBER(J342)),"缺少可算OAV",IF(J342&gt;=2,"最大值、中位值、低值待校准","最大值、中位值"))</x:f>
        <x:v>缺少可算OAV</x:v>
      </x:c>
      <x:c r="O342" s="1" t="str">
        <x:f>IF(NOT(ISNUMBER(J342)),"待定",IF(J342&lt;2,"不设第三档",IF(J342&lt;=5,"中位OAV≤5；低档须低于中位浓度","低档需预试确认与中档可区分")))</x:f>
        <x:v>待定</x:v>
      </x:c>
    </x:row>
    <x:row r="343" ht="23" customHeight="1">
      <x:c r="A343" s="1" t="n">
        <x:f>'浓度与阈值来源'!A343</x:f>
        <x:v>338</x:v>
      </x:c>
      <x:c r="B343" s="1" t="str">
        <x:f>IF('浓度与阈值来源'!B343="","",'浓度与阈值来源'!B343)</x:f>
      </x:c>
      <x:c r="C343" s="1" t="str">
        <x:f>IF('浓度与阈值来源'!C343="","",'浓度与阈值来源'!C343)</x:f>
      </x:c>
      <x:c r="D343" s="1" t="str">
        <x:v>unknown</x:v>
      </x:c>
      <x:c r="E343" s="5" t="str">
        <x:f>IF('浓度与阈值来源'!D343&gt;0,'浓度与阈值来源'!D343,"")</x:f>
      </x:c>
      <x:c r="F343" s="6" t="n">
        <x:f>COUNT('浓度与阈值来源'!E343:DM343)</x:f>
        <x:v>1</x:v>
      </x:c>
      <x:c r="G343" s="5" t="n">
        <x:f>IF(F343=0,"",MAX('浓度与阈值来源'!E343:DM343))</x:f>
        <x:v>1.5</x:v>
      </x:c>
      <x:c r="H343" s="5" t="n">
        <x:f>IF(F343=0,"",MEDIAN('浓度与阈值来源'!E343:DM343))</x:f>
        <x:v>1.5</x:v>
      </x:c>
      <x:c r="I343" s="7" t="str">
        <x:f>IF(AND(ISNUMBER(E343),E343&gt;0,F343&gt;0),G343/E343,"")</x:f>
      </x:c>
      <x:c r="J343" s="7" t="str">
        <x:f>IF(AND(ISNUMBER(E343),E343&gt;0,F343&gt;0),H343/E343,"")</x:f>
      </x:c>
      <x:c r="K343" s="1" t="str">
        <x:f>IF(F343=0,"无浓度数据",IF(E343="","缺周表阈值","可计算"))</x:f>
        <x:v>缺周表阈值</x:v>
      </x:c>
      <x:c r="L343" s="1" t="str">
        <x:f>IF(NOT(ISNUMBER(J343)),"待定",IF(J343&gt;50,"骨架成分",IF(J343&gt;=2,"重要成分","两档成分")))</x:f>
        <x:v>待定</x:v>
      </x:c>
      <x:c r="M343" s="1" t="str">
        <x:f>IF(NOT(ISNUMBER(J343)),"",IF(J343&gt;=2,3,2))</x:f>
      </x:c>
      <x:c r="N343" s="1" t="str">
        <x:f>IF(NOT(ISNUMBER(J343)),"缺少可算OAV",IF(J343&gt;=2,"最大值、中位值、低值待校准","最大值、中位值"))</x:f>
        <x:v>缺少可算OAV</x:v>
      </x:c>
      <x:c r="O343" s="1" t="str">
        <x:f>IF(NOT(ISNUMBER(J343)),"待定",IF(J343&lt;2,"不设第三档",IF(J343&lt;=5,"中位OAV≤5；低档须低于中位浓度","低档需预试确认与中档可区分")))</x:f>
        <x:v>待定</x:v>
      </x:c>
    </x:row>
    <x:row r="344" ht="23" customHeight="1">
      <x:c r="A344" s="1" t="n">
        <x:f>'浓度与阈值来源'!A344</x:f>
        <x:v>339</x:v>
      </x:c>
      <x:c r="B344" s="1" t="str">
        <x:f>IF('浓度与阈值来源'!B344="","",'浓度与阈值来源'!B344)</x:f>
        <x:v>β－苯乙醇</x:v>
      </x:c>
      <x:c r="C344" s="1" t="str">
        <x:f>IF('浓度与阈值来源'!C344="","",'浓度与阈值来源'!C344)</x:f>
      </x:c>
      <x:c r="D344" s="1" t="str">
        <x:v>Β－苯乙醇</x:v>
      </x:c>
      <x:c r="E344" s="5" t="n">
        <x:f>IF('浓度与阈值来源'!D344&gt;0,'浓度与阈值来源'!D344,"")</x:f>
        <x:v>28900</x:v>
      </x:c>
      <x:c r="F344" s="6" t="n">
        <x:f>COUNT('浓度与阈值来源'!E344:DM344)</x:f>
        <x:v>9</x:v>
      </x:c>
      <x:c r="G344" s="5" t="n">
        <x:f>IF(F344=0,"",MAX('浓度与阈值来源'!E344:DM344))</x:f>
        <x:v>5600</x:v>
      </x:c>
      <x:c r="H344" s="5" t="n">
        <x:f>IF(F344=0,"",MEDIAN('浓度与阈值来源'!E344:DM344))</x:f>
        <x:v>1300</x:v>
      </x:c>
      <x:c r="I344" s="7" t="n">
        <x:f>IF(AND(ISNUMBER(E344),E344&gt;0,F344&gt;0),G344/E344,"")</x:f>
        <x:v>0.19377162629757785</x:v>
      </x:c>
      <x:c r="J344" s="7" t="n">
        <x:f>IF(AND(ISNUMBER(E344),E344&gt;0,F344&gt;0),H344/E344,"")</x:f>
        <x:v>0.04498269896193772</x:v>
      </x:c>
      <x:c r="K344" s="1" t="str">
        <x:f>IF(F344=0,"无浓度数据",IF(E344="","缺周表阈值","可计算"))</x:f>
        <x:v>可计算</x:v>
      </x:c>
      <x:c r="L344" s="1" t="str">
        <x:f>IF(NOT(ISNUMBER(J344)),"待定",IF(J344&gt;50,"骨架成分",IF(J344&gt;=2,"重要成分","两档成分")))</x:f>
        <x:v>两档成分</x:v>
      </x:c>
      <x:c r="M344" s="1" t="n">
        <x:f>IF(NOT(ISNUMBER(J344)),"",IF(J344&gt;=2,3,2))</x:f>
        <x:v>2</x:v>
      </x:c>
      <x:c r="N344" s="1" t="str">
        <x:f>IF(NOT(ISNUMBER(J344)),"缺少可算OAV",IF(J344&gt;=2,"最大值、中位值、低值待校准","最大值、中位值"))</x:f>
        <x:v>最大值、中位值</x:v>
      </x:c>
      <x:c r="O344" s="1" t="str">
        <x:f>IF(NOT(ISNUMBER(J344)),"待定",IF(J344&lt;2,"不设第三档",IF(J344&lt;=5,"中位OAV≤5；低档须低于中位浓度","低档需预试确认与中档可区分")))</x:f>
        <x:v>不设第三档</x:v>
      </x:c>
    </x:row>
    <x:row r="345" ht="23" customHeight="1">
      <x:c r="A345" s="1" t="n">
        <x:f>'浓度与阈值来源'!A345</x:f>
        <x:v>340</x:v>
      </x:c>
      <x:c r="B345" s="1" t="str">
        <x:f>IF('浓度与阈值来源'!B345="","",'浓度与阈值来源'!B345)</x:f>
        <x:v>丁二酸二乙酯（mg·L-1）</x:v>
      </x:c>
      <x:c r="C345" s="1" t="str">
        <x:f>IF('浓度与阈值来源'!C345="","",'浓度与阈值来源'!C345)</x:f>
      </x:c>
      <x:c r="D345" s="1" t="str">
        <x:v>丁二酸二乙酯（Mg·L-1）</x:v>
      </x:c>
      <x:c r="E345" s="5" t="n">
        <x:f>IF('浓度与阈值来源'!D345&gt;0,'浓度与阈值来源'!D345,"")</x:f>
        <x:v>353193</x:v>
      </x:c>
      <x:c r="F345" s="6" t="n">
        <x:f>COUNT('浓度与阈值来源'!E345:DM345)</x:f>
        <x:v>2</x:v>
      </x:c>
      <x:c r="G345" s="5" t="n">
        <x:f>IF(F345=0,"",MAX('浓度与阈值来源'!E345:DM345))</x:f>
        <x:v>20.85</x:v>
      </x:c>
      <x:c r="H345" s="5" t="n">
        <x:f>IF(F345=0,"",MEDIAN('浓度与阈值来源'!E345:DM345))</x:f>
        <x:v>20.105</x:v>
      </x:c>
      <x:c r="I345" s="7" t="n">
        <x:f>IF(AND(ISNUMBER(E345),E345&gt;0,F345&gt;0),G345/E345,"")</x:f>
        <x:v>0.0000590328800400914</x:v>
      </x:c>
      <x:c r="J345" s="7" t="n">
        <x:f>IF(AND(ISNUMBER(E345),E345&gt;0,F345&gt;0),H345/E345,"")</x:f>
        <x:v>0.00005692355171251978</x:v>
      </x:c>
      <x:c r="K345" s="1" t="str">
        <x:f>IF(F345=0,"无浓度数据",IF(E345="","缺周表阈值","可计算"))</x:f>
        <x:v>可计算</x:v>
      </x:c>
      <x:c r="L345" s="1" t="str">
        <x:f>IF(NOT(ISNUMBER(J345)),"待定",IF(J345&gt;50,"骨架成分",IF(J345&gt;=2,"重要成分","两档成分")))</x:f>
        <x:v>两档成分</x:v>
      </x:c>
      <x:c r="M345" s="1" t="n">
        <x:f>IF(NOT(ISNUMBER(J345)),"",IF(J345&gt;=2,3,2))</x:f>
        <x:v>2</x:v>
      </x:c>
      <x:c r="N345" s="1" t="str">
        <x:f>IF(NOT(ISNUMBER(J345)),"缺少可算OAV",IF(J345&gt;=2,"最大值、中位值、低值待校准","最大值、中位值"))</x:f>
        <x:v>最大值、中位值</x:v>
      </x:c>
      <x:c r="O345" s="1" t="str">
        <x:f>IF(NOT(ISNUMBER(J345)),"待定",IF(J345&lt;2,"不设第三档",IF(J345&lt;=5,"中位OAV≤5；低档须低于中位浓度","低档需预试确认与中档可区分")))</x:f>
        <x:v>不设第三档</x:v>
      </x:c>
    </x:row>
    <x:row r="346" ht="23" customHeight="1">
      <x:c r="A346" s="1" t="n">
        <x:f>'浓度与阈值来源'!A346</x:f>
        <x:v>341</x:v>
      </x:c>
      <x:c r="B346" s="1" t="str">
        <x:f>IF('浓度与阈值来源'!B346="","",'浓度与阈值来源'!B346)</x:f>
        <x:v>丁酸-3 甲基丁酯（mg·L-1）</x:v>
      </x:c>
      <x:c r="C346" s="1" t="str">
        <x:f>IF('浓度与阈值来源'!C346="","",'浓度与阈值来源'!C346)</x:f>
      </x:c>
      <x:c r="D346" s="1" t="str">
        <x:v>丁酸-3 甲基丁酯（Mg·L-1）</x:v>
      </x:c>
      <x:c r="E346" s="5" t="str">
        <x:f>IF('浓度与阈值来源'!D346&gt;0,'浓度与阈值来源'!D346,"")</x:f>
      </x:c>
      <x:c r="F346" s="6" t="n">
        <x:f>COUNT('浓度与阈值来源'!E346:DM346)</x:f>
        <x:v>2</x:v>
      </x:c>
      <x:c r="G346" s="5" t="n">
        <x:f>IF(F346=0,"",MAX('浓度与阈值来源'!E346:DM346))</x:f>
        <x:v>2.58</x:v>
      </x:c>
      <x:c r="H346" s="5" t="n">
        <x:f>IF(F346=0,"",MEDIAN('浓度与阈值来源'!E346:DM346))</x:f>
        <x:v>2.0700000000000003</x:v>
      </x:c>
      <x:c r="I346" s="7" t="str">
        <x:f>IF(AND(ISNUMBER(E346),E346&gt;0,F346&gt;0),G346/E346,"")</x:f>
      </x:c>
      <x:c r="J346" s="7" t="str">
        <x:f>IF(AND(ISNUMBER(E346),E346&gt;0,F346&gt;0),H346/E346,"")</x:f>
      </x:c>
      <x:c r="K346" s="1" t="str">
        <x:f>IF(F346=0,"无浓度数据",IF(E346="","缺周表阈值","可计算"))</x:f>
        <x:v>缺周表阈值</x:v>
      </x:c>
      <x:c r="L346" s="1" t="str">
        <x:f>IF(NOT(ISNUMBER(J346)),"待定",IF(J346&gt;50,"骨架成分",IF(J346&gt;=2,"重要成分","两档成分")))</x:f>
        <x:v>待定</x:v>
      </x:c>
      <x:c r="M346" s="1" t="str">
        <x:f>IF(NOT(ISNUMBER(J346)),"",IF(J346&gt;=2,3,2))</x:f>
      </x:c>
      <x:c r="N346" s="1" t="str">
        <x:f>IF(NOT(ISNUMBER(J346)),"缺少可算OAV",IF(J346&gt;=2,"最大值、中位值、低值待校准","最大值、中位值"))</x:f>
        <x:v>缺少可算OAV</x:v>
      </x:c>
      <x:c r="O346" s="1" t="str">
        <x:f>IF(NOT(ISNUMBER(J346)),"待定",IF(J346&lt;2,"不设第三档",IF(J346&lt;=5,"中位OAV≤5；低档须低于中位浓度","低档需预试确认与中档可区分")))</x:f>
        <x:v>待定</x:v>
      </x:c>
    </x:row>
    <x:row r="347" ht="23" customHeight="1">
      <x:c r="A347" s="1" t="n">
        <x:f>'浓度与阈值来源'!A347</x:f>
        <x:v>342</x:v>
      </x:c>
      <x:c r="B347" s="1" t="str">
        <x:f>IF('浓度与阈值来源'!B347="","",'浓度与阈值来源'!B347)</x:f>
        <x:v>丁酸异丁酯3-</x:v>
      </x:c>
      <x:c r="C347" s="1" t="str">
        <x:f>IF('浓度与阈值来源'!C347="","",'浓度与阈值来源'!C347)</x:f>
      </x:c>
      <x:c r="D347" s="1" t="str">
        <x:v>丁酸异丁酯3-</x:v>
      </x:c>
      <x:c r="E347" s="5" t="str">
        <x:f>IF('浓度与阈值来源'!D347&gt;0,'浓度与阈值来源'!D347,"")</x:f>
      </x:c>
      <x:c r="F347" s="6" t="n">
        <x:f>COUNT('浓度与阈值来源'!E347:DM347)</x:f>
        <x:v>4</x:v>
      </x:c>
      <x:c r="G347" s="5" t="n">
        <x:f>IF(F347=0,"",MAX('浓度与阈值来源'!E347:DM347))</x:f>
        <x:v>3555</x:v>
      </x:c>
      <x:c r="H347" s="5" t="n">
        <x:f>IF(F347=0,"",MEDIAN('浓度与阈值来源'!E347:DM347))</x:f>
        <x:v>794.5</x:v>
      </x:c>
      <x:c r="I347" s="7" t="str">
        <x:f>IF(AND(ISNUMBER(E347),E347&gt;0,F347&gt;0),G347/E347,"")</x:f>
      </x:c>
      <x:c r="J347" s="7" t="str">
        <x:f>IF(AND(ISNUMBER(E347),E347&gt;0,F347&gt;0),H347/E347,"")</x:f>
      </x:c>
      <x:c r="K347" s="1" t="str">
        <x:f>IF(F347=0,"无浓度数据",IF(E347="","缺周表阈值","可计算"))</x:f>
        <x:v>缺周表阈值</x:v>
      </x:c>
      <x:c r="L347" s="1" t="str">
        <x:f>IF(NOT(ISNUMBER(J347)),"待定",IF(J347&gt;50,"骨架成分",IF(J347&gt;=2,"重要成分","两档成分")))</x:f>
        <x:v>待定</x:v>
      </x:c>
      <x:c r="M347" s="1" t="str">
        <x:f>IF(NOT(ISNUMBER(J347)),"",IF(J347&gt;=2,3,2))</x:f>
      </x:c>
      <x:c r="N347" s="1" t="str">
        <x:f>IF(NOT(ISNUMBER(J347)),"缺少可算OAV",IF(J347&gt;=2,"最大值、中位值、低值待校准","最大值、中位值"))</x:f>
        <x:v>缺少可算OAV</x:v>
      </x:c>
      <x:c r="O347" s="1" t="str">
        <x:f>IF(NOT(ISNUMBER(J347)),"待定",IF(J347&lt;2,"不设第三档",IF(J347&lt;=5,"中位OAV≤5；低档须低于中位浓度","低档需预试确认与中档可区分")))</x:f>
        <x:v>待定</x:v>
      </x:c>
    </x:row>
    <x:row r="348" ht="23" customHeight="1">
      <x:c r="A348" s="1" t="n">
        <x:f>'浓度与阈值来源'!A348</x:f>
        <x:v>343</x:v>
      </x:c>
      <x:c r="B348" s="1" t="str">
        <x:f>IF('浓度与阈值来源'!B348="","",'浓度与阈值来源'!B348)</x:f>
        <x:v>乙烯二乙酯</x:v>
      </x:c>
      <x:c r="C348" s="1" t="str">
        <x:f>IF('浓度与阈值来源'!C348="","",'浓度与阈值来源'!C348)</x:f>
      </x:c>
      <x:c r="D348" s="1" t="str">
        <x:v>乙烯二乙酯</x:v>
      </x:c>
      <x:c r="E348" s="5" t="str">
        <x:f>IF('浓度与阈值来源'!D348&gt;0,'浓度与阈值来源'!D348,"")</x:f>
      </x:c>
      <x:c r="F348" s="6" t="n">
        <x:f>COUNT('浓度与阈值来源'!E348:DM348)</x:f>
        <x:v>1</x:v>
      </x:c>
      <x:c r="G348" s="5" t="n">
        <x:f>IF(F348=0,"",MAX('浓度与阈值来源'!E348:DM348))</x:f>
        <x:v>56.94</x:v>
      </x:c>
      <x:c r="H348" s="5" t="n">
        <x:f>IF(F348=0,"",MEDIAN('浓度与阈值来源'!E348:DM348))</x:f>
        <x:v>56.94</x:v>
      </x:c>
      <x:c r="I348" s="7" t="str">
        <x:f>IF(AND(ISNUMBER(E348),E348&gt;0,F348&gt;0),G348/E348,"")</x:f>
      </x:c>
      <x:c r="J348" s="7" t="str">
        <x:f>IF(AND(ISNUMBER(E348),E348&gt;0,F348&gt;0),H348/E348,"")</x:f>
      </x:c>
      <x:c r="K348" s="1" t="str">
        <x:f>IF(F348=0,"无浓度数据",IF(E348="","缺周表阈值","可计算"))</x:f>
        <x:v>缺周表阈值</x:v>
      </x:c>
      <x:c r="L348" s="1" t="str">
        <x:f>IF(NOT(ISNUMBER(J348)),"待定",IF(J348&gt;50,"骨架成分",IF(J348&gt;=2,"重要成分","两档成分")))</x:f>
        <x:v>待定</x:v>
      </x:c>
      <x:c r="M348" s="1" t="str">
        <x:f>IF(NOT(ISNUMBER(J348)),"",IF(J348&gt;=2,3,2))</x:f>
      </x:c>
      <x:c r="N348" s="1" t="str">
        <x:f>IF(NOT(ISNUMBER(J348)),"缺少可算OAV",IF(J348&gt;=2,"最大值、中位值、低值待校准","最大值、中位值"))</x:f>
        <x:v>缺少可算OAV</x:v>
      </x:c>
      <x:c r="O348" s="1" t="str">
        <x:f>IF(NOT(ISNUMBER(J348)),"待定",IF(J348&lt;2,"不设第三档",IF(J348&lt;=5,"中位OAV≤5；低档须低于中位浓度","低档需预试确认与中档可区分")))</x:f>
        <x:v>待定</x:v>
      </x:c>
    </x:row>
    <x:row r="349" ht="23" customHeight="1">
      <x:c r="A349" s="1" t="n">
        <x:f>'浓度与阈值来源'!A349</x:f>
        <x:v>344</x:v>
      </x:c>
      <x:c r="B349" s="1" t="str">
        <x:f>IF('浓度与阈值来源'!B349="","",'浓度与阈值来源'!B349)</x:f>
        <x:v>乙缩醛（mg·L-1）</x:v>
      </x:c>
      <x:c r="C349" s="1" t="str">
        <x:f>IF('浓度与阈值来源'!C349="","",'浓度与阈值来源'!C349)</x:f>
      </x:c>
      <x:c r="D349" s="1" t="str">
        <x:v>乙缩醛（Mg·L-1）</x:v>
      </x:c>
      <x:c r="E349" s="5" t="n">
        <x:f>IF('浓度与阈值来源'!D349&gt;0,'浓度与阈值来源'!D349,"")</x:f>
        <x:v>2090</x:v>
      </x:c>
      <x:c r="F349" s="6" t="n">
        <x:f>COUNT('浓度与阈值来源'!E349:DM349)</x:f>
        <x:v>2</x:v>
      </x:c>
      <x:c r="G349" s="5" t="n">
        <x:f>IF(F349=0,"",MAX('浓度与阈值来源'!E349:DM349))</x:f>
        <x:v>47.06</x:v>
      </x:c>
      <x:c r="H349" s="5" t="n">
        <x:f>IF(F349=0,"",MEDIAN('浓度与阈值来源'!E349:DM349))</x:f>
        <x:v>38.7</x:v>
      </x:c>
      <x:c r="I349" s="7" t="n">
        <x:f>IF(AND(ISNUMBER(E349),E349&gt;0,F349&gt;0),G349/E349,"")</x:f>
        <x:v>0.022516746411483254</x:v>
      </x:c>
      <x:c r="J349" s="7" t="n">
        <x:f>IF(AND(ISNUMBER(E349),E349&gt;0,F349&gt;0),H349/E349,"")</x:f>
        <x:v>0.018516746411483254</x:v>
      </x:c>
      <x:c r="K349" s="1" t="str">
        <x:f>IF(F349=0,"无浓度数据",IF(E349="","缺周表阈值","可计算"))</x:f>
        <x:v>可计算</x:v>
      </x:c>
      <x:c r="L349" s="1" t="str">
        <x:f>IF(NOT(ISNUMBER(J349)),"待定",IF(J349&gt;50,"骨架成分",IF(J349&gt;=2,"重要成分","两档成分")))</x:f>
        <x:v>两档成分</x:v>
      </x:c>
      <x:c r="M349" s="1" t="n">
        <x:f>IF(NOT(ISNUMBER(J349)),"",IF(J349&gt;=2,3,2))</x:f>
        <x:v>2</x:v>
      </x:c>
      <x:c r="N349" s="1" t="str">
        <x:f>IF(NOT(ISNUMBER(J349)),"缺少可算OAV",IF(J349&gt;=2,"最大值、中位值、低值待校准","最大值、中位值"))</x:f>
        <x:v>最大值、中位值</x:v>
      </x:c>
      <x:c r="O349" s="1" t="str">
        <x:f>IF(NOT(ISNUMBER(J349)),"待定",IF(J349&lt;2,"不设第三档",IF(J349&lt;=5,"中位OAV≤5；低档须低于中位浓度","低档需预试确认与中档可区分")))</x:f>
        <x:v>不设第三档</x:v>
      </x:c>
    </x:row>
    <x:row r="350" ht="23" customHeight="1">
      <x:c r="A350" s="1" t="n">
        <x:f>'浓度与阈值来源'!A350</x:f>
        <x:v>345</x:v>
      </x:c>
      <x:c r="B350" s="1" t="str">
        <x:f>IF('浓度与阈值来源'!B350="","",'浓度与阈值来源'!B350)</x:f>
        <x:v>乙酸乙酯（g·L-1）</x:v>
      </x:c>
      <x:c r="C350" s="1" t="str">
        <x:f>IF('浓度与阈值来源'!C350="","",'浓度与阈值来源'!C350)</x:f>
      </x:c>
      <x:c r="D350" s="1" t="str">
        <x:v>乙酸乙酯（G·L-1）</x:v>
      </x:c>
      <x:c r="E350" s="5" t="n">
        <x:f>IF('浓度与阈值来源'!D350&gt;0,'浓度与阈值来源'!D350,"")</x:f>
        <x:v>32552</x:v>
      </x:c>
      <x:c r="F350" s="6" t="n">
        <x:f>COUNT('浓度与阈值来源'!E350:DM350)</x:f>
        <x:v>4</x:v>
      </x:c>
      <x:c r="G350" s="5" t="n">
        <x:f>IF(F350=0,"",MAX('浓度与阈值来源'!E350:DM350))</x:f>
        <x:v>10.42</x:v>
      </x:c>
      <x:c r="H350" s="5" t="n">
        <x:f>IF(F350=0,"",MEDIAN('浓度与阈值来源'!E350:DM350))</x:f>
        <x:v>8.09</x:v>
      </x:c>
      <x:c r="I350" s="7" t="n">
        <x:f>IF(AND(ISNUMBER(E350),E350&gt;0,F350&gt;0),G350/E350,"")</x:f>
        <x:v>0.00032010321946424183</x:v>
      </x:c>
      <x:c r="J350" s="7" t="n">
        <x:f>IF(AND(ISNUMBER(E350),E350&gt;0,F350&gt;0),H350/E350,"")</x:f>
        <x:v>0.0002485254362251167</x:v>
      </x:c>
      <x:c r="K350" s="1" t="str">
        <x:f>IF(F350=0,"无浓度数据",IF(E350="","缺周表阈值","可计算"))</x:f>
        <x:v>可计算</x:v>
      </x:c>
      <x:c r="L350" s="1" t="str">
        <x:f>IF(NOT(ISNUMBER(J350)),"待定",IF(J350&gt;50,"骨架成分",IF(J350&gt;=2,"重要成分","两档成分")))</x:f>
        <x:v>两档成分</x:v>
      </x:c>
      <x:c r="M350" s="1" t="n">
        <x:f>IF(NOT(ISNUMBER(J350)),"",IF(J350&gt;=2,3,2))</x:f>
        <x:v>2</x:v>
      </x:c>
      <x:c r="N350" s="1" t="str">
        <x:f>IF(NOT(ISNUMBER(J350)),"缺少可算OAV",IF(J350&gt;=2,"最大值、中位值、低值待校准","最大值、中位值"))</x:f>
        <x:v>最大值、中位值</x:v>
      </x:c>
      <x:c r="O350" s="1" t="str">
        <x:f>IF(NOT(ISNUMBER(J350)),"待定",IF(J350&lt;2,"不设第三档",IF(J350&lt;=5,"中位OAV≤5；低档须低于中位浓度","低档需预试确认与中档可区分")))</x:f>
        <x:v>不设第三档</x:v>
      </x:c>
    </x:row>
    <x:row r="351" ht="23" customHeight="1">
      <x:c r="A351" s="1" t="n">
        <x:f>'浓度与阈值来源'!A351</x:f>
        <x:v>346</x:v>
      </x:c>
      <x:c r="B351" s="1" t="str">
        <x:f>IF('浓度与阈值来源'!B351="","",'浓度与阈值来源'!B351)</x:f>
        <x:v>乙酸已酯</x:v>
      </x:c>
      <x:c r="C351" s="1" t="str">
        <x:f>IF('浓度与阈值来源'!C351="","",'浓度与阈值来源'!C351)</x:f>
      </x:c>
      <x:c r="D351" s="1" t="str">
        <x:v>乙酸已酯</x:v>
      </x:c>
      <x:c r="E351" s="5" t="n">
        <x:f>IF('浓度与阈值来源'!D351&gt;0,'浓度与阈值来源'!D351,"")</x:f>
        <x:v>5560</x:v>
      </x:c>
      <x:c r="F351" s="6" t="n">
        <x:f>COUNT('浓度与阈值来源'!E351:DM351)</x:f>
        <x:v>2</x:v>
      </x:c>
      <x:c r="G351" s="5" t="n">
        <x:f>IF(F351=0,"",MAX('浓度与阈值来源'!E351:DM351))</x:f>
        <x:v>1194.25</x:v>
      </x:c>
      <x:c r="H351" s="5" t="n">
        <x:f>IF(F351=0,"",MEDIAN('浓度与阈值来源'!E351:DM351))</x:f>
        <x:v>1082.3899999999999</x:v>
      </x:c>
      <x:c r="I351" s="7" t="n">
        <x:f>IF(AND(ISNUMBER(E351),E351&gt;0,F351&gt;0),G351/E351,"")</x:f>
        <x:v>0.2147931654676259</x:v>
      </x:c>
      <x:c r="J351" s="7" t="n">
        <x:f>IF(AND(ISNUMBER(E351),E351&gt;0,F351&gt;0),H351/E351,"")</x:f>
        <x:v>0.19467446043165465</x:v>
      </x:c>
      <x:c r="K351" s="1" t="str">
        <x:f>IF(F351=0,"无浓度数据",IF(E351="","缺周表阈值","可计算"))</x:f>
        <x:v>可计算</x:v>
      </x:c>
      <x:c r="L351" s="1" t="str">
        <x:f>IF(NOT(ISNUMBER(J351)),"待定",IF(J351&gt;50,"骨架成分",IF(J351&gt;=2,"重要成分","两档成分")))</x:f>
        <x:v>两档成分</x:v>
      </x:c>
      <x:c r="M351" s="1" t="n">
        <x:f>IF(NOT(ISNUMBER(J351)),"",IF(J351&gt;=2,3,2))</x:f>
        <x:v>2</x:v>
      </x:c>
      <x:c r="N351" s="1" t="str">
        <x:f>IF(NOT(ISNUMBER(J351)),"缺少可算OAV",IF(J351&gt;=2,"最大值、中位值、低值待校准","最大值、中位值"))</x:f>
        <x:v>最大值、中位值</x:v>
      </x:c>
      <x:c r="O351" s="1" t="str">
        <x:f>IF(NOT(ISNUMBER(J351)),"待定",IF(J351&lt;2,"不设第三档",IF(J351&lt;=5,"中位OAV≤5；低档须低于中位浓度","低档需预试确认与中档可区分")))</x:f>
        <x:v>不设第三档</x:v>
      </x:c>
    </x:row>
    <x:row r="352" ht="23" customHeight="1">
      <x:c r="A352" s="1" t="n">
        <x:f>'浓度与阈值来源'!A352</x:f>
        <x:v>347</x:v>
      </x:c>
      <x:c r="B352" s="1" t="str">
        <x:f>IF('浓度与阈值来源'!B352="","",'浓度与阈值来源'!B352)</x:f>
        <x:v>乳酸乙酯（g·L-1）</x:v>
      </x:c>
      <x:c r="C352" s="1" t="str">
        <x:f>IF('浓度与阈值来源'!C352="","",'浓度与阈值来源'!C352)</x:f>
      </x:c>
      <x:c r="D352" s="1" t="str">
        <x:v>乳酸乙酯（G·L-1）</x:v>
      </x:c>
      <x:c r="E352" s="5" t="n">
        <x:f>IF('浓度与阈值来源'!D352&gt;0,'浓度与阈值来源'!D352,"")</x:f>
        <x:v>100000</x:v>
      </x:c>
      <x:c r="F352" s="6" t="n">
        <x:f>COUNT('浓度与阈值来源'!E352:DM352)</x:f>
        <x:v>2</x:v>
      </x:c>
      <x:c r="G352" s="5" t="n">
        <x:f>IF(F352=0,"",MAX('浓度与阈值来源'!E352:DM352))</x:f>
        <x:v>1.53</x:v>
      </x:c>
      <x:c r="H352" s="5" t="n">
        <x:f>IF(F352=0,"",MEDIAN('浓度与阈值来源'!E352:DM352))</x:f>
        <x:v>1.48</x:v>
      </x:c>
      <x:c r="I352" s="7" t="n">
        <x:f>IF(AND(ISNUMBER(E352),E352&gt;0,F352&gt;0),G352/E352,"")</x:f>
        <x:v>0.0000153</x:v>
      </x:c>
      <x:c r="J352" s="7" t="n">
        <x:f>IF(AND(ISNUMBER(E352),E352&gt;0,F352&gt;0),H352/E352,"")</x:f>
        <x:v>0.0000148</x:v>
      </x:c>
      <x:c r="K352" s="1" t="str">
        <x:f>IF(F352=0,"无浓度数据",IF(E352="","缺周表阈值","可计算"))</x:f>
        <x:v>可计算</x:v>
      </x:c>
      <x:c r="L352" s="1" t="str">
        <x:f>IF(NOT(ISNUMBER(J352)),"待定",IF(J352&gt;50,"骨架成分",IF(J352&gt;=2,"重要成分","两档成分")))</x:f>
        <x:v>两档成分</x:v>
      </x:c>
      <x:c r="M352" s="1" t="n">
        <x:f>IF(NOT(ISNUMBER(J352)),"",IF(J352&gt;=2,3,2))</x:f>
        <x:v>2</x:v>
      </x:c>
      <x:c r="N352" s="1" t="str">
        <x:f>IF(NOT(ISNUMBER(J352)),"缺少可算OAV",IF(J352&gt;=2,"最大值、中位值、低值待校准","最大值、中位值"))</x:f>
        <x:v>最大值、中位值</x:v>
      </x:c>
      <x:c r="O352" s="1" t="str">
        <x:f>IF(NOT(ISNUMBER(J352)),"待定",IF(J352&lt;2,"不设第三档",IF(J352&lt;=5,"中位OAV≤5；低档须低于中位浓度","低档需预试确认与中档可区分")))</x:f>
        <x:v>不设第三档</x:v>
      </x:c>
    </x:row>
    <x:row r="353" ht="23" customHeight="1">
      <x:c r="A353" s="1" t="n">
        <x:f>'浓度与阈值来源'!A353</x:f>
        <x:v>348</x:v>
      </x:c>
      <x:c r="B353" s="1" t="str">
        <x:f>IF('浓度与阈值来源'!B353="","",'浓度与阈值来源'!B353)</x:f>
        <x:v>十五酸乙酯</x:v>
      </x:c>
      <x:c r="C353" s="1" t="str">
        <x:f>IF('浓度与阈值来源'!C353="","",'浓度与阈值来源'!C353)</x:f>
      </x:c>
      <x:c r="D353" s="1" t="str">
        <x:v>十五酸乙酯</x:v>
      </x:c>
      <x:c r="E353" s="5" t="str">
        <x:f>IF('浓度与阈值来源'!D353&gt;0,'浓度与阈值来源'!D353,"")</x:f>
      </x:c>
      <x:c r="F353" s="6" t="n">
        <x:f>COUNT('浓度与阈值来源'!E353:DM353)</x:f>
        <x:v>4</x:v>
      </x:c>
      <x:c r="G353" s="5" t="n">
        <x:f>IF(F353=0,"",MAX('浓度与阈值来源'!E353:DM353))</x:f>
        <x:v>60.94</x:v>
      </x:c>
      <x:c r="H353" s="5" t="n">
        <x:f>IF(F353=0,"",MEDIAN('浓度与阈值来源'!E353:DM353))</x:f>
        <x:v>49.144999999999996</x:v>
      </x:c>
      <x:c r="I353" s="7" t="str">
        <x:f>IF(AND(ISNUMBER(E353),E353&gt;0,F353&gt;0),G353/E353,"")</x:f>
      </x:c>
      <x:c r="J353" s="7" t="str">
        <x:f>IF(AND(ISNUMBER(E353),E353&gt;0,F353&gt;0),H353/E353,"")</x:f>
      </x:c>
      <x:c r="K353" s="1" t="str">
        <x:f>IF(F353=0,"无浓度数据",IF(E353="","缺周表阈值","可计算"))</x:f>
        <x:v>缺周表阈值</x:v>
      </x:c>
      <x:c r="L353" s="1" t="str">
        <x:f>IF(NOT(ISNUMBER(J353)),"待定",IF(J353&gt;50,"骨架成分",IF(J353&gt;=2,"重要成分","两档成分")))</x:f>
        <x:v>待定</x:v>
      </x:c>
      <x:c r="M353" s="1" t="str">
        <x:f>IF(NOT(ISNUMBER(J353)),"",IF(J353&gt;=2,3,2))</x:f>
      </x:c>
      <x:c r="N353" s="1" t="str">
        <x:f>IF(NOT(ISNUMBER(J353)),"缺少可算OAV",IF(J353&gt;=2,"最大值、中位值、低值待校准","最大值、中位值"))</x:f>
        <x:v>缺少可算OAV</x:v>
      </x:c>
      <x:c r="O353" s="1" t="str">
        <x:f>IF(NOT(ISNUMBER(J353)),"待定",IF(J353&lt;2,"不设第三档",IF(J353&lt;=5,"中位OAV≤5；低档须低于中位浓度","低档需预试确认与中档可区分")))</x:f>
        <x:v>待定</x:v>
      </x:c>
    </x:row>
    <x:row r="354" ht="23" customHeight="1">
      <x:c r="A354" s="1" t="n">
        <x:f>'浓度与阈值来源'!A354</x:f>
        <x:v>349</x:v>
      </x:c>
      <x:c r="B354" s="1" t="str">
        <x:f>IF('浓度与阈值来源'!B354="","",'浓度与阈值来源'!B354)</x:f>
        <x:v>反-2,4-癸二烯醛</x:v>
      </x:c>
      <x:c r="C354" s="1" t="str">
        <x:f>IF('浓度与阈值来源'!C354="","",'浓度与阈值来源'!C354)</x:f>
      </x:c>
      <x:c r="D354" s="1" t="str">
        <x:v>反-2,4-癸二烯醛</x:v>
      </x:c>
      <x:c r="E354" s="5" t="str">
        <x:f>IF('浓度与阈值来源'!D354&gt;0,'浓度与阈值来源'!D354,"")</x:f>
      </x:c>
      <x:c r="F354" s="6" t="n">
        <x:f>COUNT('浓度与阈值来源'!E354:DM354)</x:f>
        <x:v>2</x:v>
      </x:c>
      <x:c r="G354" s="5" t="n">
        <x:f>IF(F354=0,"",MAX('浓度与阈值来源'!E354:DM354))</x:f>
        <x:v>588</x:v>
      </x:c>
      <x:c r="H354" s="5" t="n">
        <x:f>IF(F354=0,"",MEDIAN('浓度与阈值来源'!E354:DM354))</x:f>
        <x:v>444</x:v>
      </x:c>
      <x:c r="I354" s="7" t="str">
        <x:f>IF(AND(ISNUMBER(E354),E354&gt;0,F354&gt;0),G354/E354,"")</x:f>
      </x:c>
      <x:c r="J354" s="7" t="str">
        <x:f>IF(AND(ISNUMBER(E354),E354&gt;0,F354&gt;0),H354/E354,"")</x:f>
      </x:c>
      <x:c r="K354" s="1" t="str">
        <x:f>IF(F354=0,"无浓度数据",IF(E354="","缺周表阈值","可计算"))</x:f>
        <x:v>缺周表阈值</x:v>
      </x:c>
      <x:c r="L354" s="1" t="str">
        <x:f>IF(NOT(ISNUMBER(J354)),"待定",IF(J354&gt;50,"骨架成分",IF(J354&gt;=2,"重要成分","两档成分")))</x:f>
        <x:v>待定</x:v>
      </x:c>
      <x:c r="M354" s="1" t="str">
        <x:f>IF(NOT(ISNUMBER(J354)),"",IF(J354&gt;=2,3,2))</x:f>
      </x:c>
      <x:c r="N354" s="1" t="str">
        <x:f>IF(NOT(ISNUMBER(J354)),"缺少可算OAV",IF(J354&gt;=2,"最大值、中位值、低值待校准","最大值、中位值"))</x:f>
        <x:v>缺少可算OAV</x:v>
      </x:c>
      <x:c r="O354" s="1" t="str">
        <x:f>IF(NOT(ISNUMBER(J354)),"待定",IF(J354&lt;2,"不设第三档",IF(J354&lt;=5,"中位OAV≤5；低档须低于中位浓度","低档需预试确认与中档可区分")))</x:f>
        <x:v>待定</x:v>
      </x:c>
    </x:row>
    <x:row r="355" ht="23" customHeight="1">
      <x:c r="A355" s="1" t="n">
        <x:f>'浓度与阈值来源'!A355</x:f>
        <x:v>350</x:v>
      </x:c>
      <x:c r="B355" s="1" t="str">
        <x:f>IF('浓度与阈值来源'!B355="","",'浓度与阈值来源'!B355)</x:f>
        <x:v>反油酸乙酯</x:v>
      </x:c>
      <x:c r="C355" s="1" t="str">
        <x:f>IF('浓度与阈值来源'!C355="","",'浓度与阈值来源'!C355)</x:f>
      </x:c>
      <x:c r="D355" s="1" t="str">
        <x:v>反油酸乙酯</x:v>
      </x:c>
      <x:c r="E355" s="5" t="str">
        <x:f>IF('浓度与阈值来源'!D355&gt;0,'浓度与阈值来源'!D355,"")</x:f>
      </x:c>
      <x:c r="F355" s="6" t="n">
        <x:f>COUNT('浓度与阈值来源'!E355:DM355)</x:f>
        <x:v>4</x:v>
      </x:c>
      <x:c r="G355" s="5" t="n">
        <x:f>IF(F355=0,"",MAX('浓度与阈值来源'!E355:DM355))</x:f>
        <x:v>367.3</x:v>
      </x:c>
      <x:c r="H355" s="5" t="n">
        <x:f>IF(F355=0,"",MEDIAN('浓度与阈值来源'!E355:DM355))</x:f>
        <x:v>265.58000000000004</x:v>
      </x:c>
      <x:c r="I355" s="7" t="str">
        <x:f>IF(AND(ISNUMBER(E355),E355&gt;0,F355&gt;0),G355/E355,"")</x:f>
      </x:c>
      <x:c r="J355" s="7" t="str">
        <x:f>IF(AND(ISNUMBER(E355),E355&gt;0,F355&gt;0),H355/E355,"")</x:f>
      </x:c>
      <x:c r="K355" s="1" t="str">
        <x:f>IF(F355=0,"无浓度数据",IF(E355="","缺周表阈值","可计算"))</x:f>
        <x:v>缺周表阈值</x:v>
      </x:c>
      <x:c r="L355" s="1" t="str">
        <x:f>IF(NOT(ISNUMBER(J355)),"待定",IF(J355&gt;50,"骨架成分",IF(J355&gt;=2,"重要成分","两档成分")))</x:f>
        <x:v>待定</x:v>
      </x:c>
      <x:c r="M355" s="1" t="str">
        <x:f>IF(NOT(ISNUMBER(J355)),"",IF(J355&gt;=2,3,2))</x:f>
      </x:c>
      <x:c r="N355" s="1" t="str">
        <x:f>IF(NOT(ISNUMBER(J355)),"缺少可算OAV",IF(J355&gt;=2,"最大值、中位值、低值待校准","最大值、中位值"))</x:f>
        <x:v>缺少可算OAV</x:v>
      </x:c>
      <x:c r="O355" s="1" t="str">
        <x:f>IF(NOT(ISNUMBER(J355)),"待定",IF(J355&lt;2,"不设第三档",IF(J355&lt;=5,"中位OAV≤5；低档须低于中位浓度","低档需预试确认与中档可区分")))</x:f>
        <x:v>待定</x:v>
      </x:c>
    </x:row>
    <x:row r="356" ht="23" customHeight="1">
      <x:c r="A356" s="1" t="n">
        <x:f>'浓度与阈值来源'!A356</x:f>
        <x:v>351</x:v>
      </x:c>
      <x:c r="B356" s="1" t="str">
        <x:f>IF('浓度与阈值来源'!B356="","",'浓度与阈值来源'!B356)</x:f>
        <x:v>己酸-2-甲基丙酯（mg·L-1）</x:v>
      </x:c>
      <x:c r="C356" s="1" t="str">
        <x:f>IF('浓度与阈值来源'!C356="","",'浓度与阈值来源'!C356)</x:f>
      </x:c>
      <x:c r="D356" s="1" t="str">
        <x:v>己酸-2-甲基丙酯（Mg·L-1）</x:v>
      </x:c>
      <x:c r="E356" s="5" t="str">
        <x:f>IF('浓度与阈值来源'!D356&gt;0,'浓度与阈值来源'!D356,"")</x:f>
      </x:c>
      <x:c r="F356" s="6" t="n">
        <x:f>COUNT('浓度与阈值来源'!E356:DM356)</x:f>
        <x:v>2</x:v>
      </x:c>
      <x:c r="G356" s="5" t="n">
        <x:f>IF(F356=0,"",MAX('浓度与阈值来源'!E356:DM356))</x:f>
        <x:v>10.86</x:v>
      </x:c>
      <x:c r="H356" s="5" t="n">
        <x:f>IF(F356=0,"",MEDIAN('浓度与阈值来源'!E356:DM356))</x:f>
        <x:v>8.675</x:v>
      </x:c>
      <x:c r="I356" s="7" t="str">
        <x:f>IF(AND(ISNUMBER(E356),E356&gt;0,F356&gt;0),G356/E356,"")</x:f>
      </x:c>
      <x:c r="J356" s="7" t="str">
        <x:f>IF(AND(ISNUMBER(E356),E356&gt;0,F356&gt;0),H356/E356,"")</x:f>
      </x:c>
      <x:c r="K356" s="1" t="str">
        <x:f>IF(F356=0,"无浓度数据",IF(E356="","缺周表阈值","可计算"))</x:f>
        <x:v>缺周表阈值</x:v>
      </x:c>
      <x:c r="L356" s="1" t="str">
        <x:f>IF(NOT(ISNUMBER(J356)),"待定",IF(J356&gt;50,"骨架成分",IF(J356&gt;=2,"重要成分","两档成分")))</x:f>
        <x:v>待定</x:v>
      </x:c>
      <x:c r="M356" s="1" t="str">
        <x:f>IF(NOT(ISNUMBER(J356)),"",IF(J356&gt;=2,3,2))</x:f>
      </x:c>
      <x:c r="N356" s="1" t="str">
        <x:f>IF(NOT(ISNUMBER(J356)),"缺少可算OAV",IF(J356&gt;=2,"最大值、中位值、低值待校准","最大值、中位值"))</x:f>
        <x:v>缺少可算OAV</x:v>
      </x:c>
      <x:c r="O356" s="1" t="str">
        <x:f>IF(NOT(ISNUMBER(J356)),"待定",IF(J356&lt;2,"不设第三档",IF(J356&lt;=5,"中位OAV≤5；低档须低于中位浓度","低档需预试确认与中档可区分")))</x:f>
        <x:v>待定</x:v>
      </x:c>
    </x:row>
    <x:row r="357" ht="23" customHeight="1">
      <x:c r="A357" s="1" t="n">
        <x:f>'浓度与阈值来源'!A357</x:f>
        <x:v>352</x:v>
      </x:c>
      <x:c r="B357" s="1" t="str">
        <x:f>IF('浓度与阈值来源'!B357="","",'浓度与阈值来源'!B357)</x:f>
        <x:v>己酸-2-糠酯</x:v>
      </x:c>
      <x:c r="C357" s="1" t="str">
        <x:f>IF('浓度与阈值来源'!C357="","",'浓度与阈值来源'!C357)</x:f>
      </x:c>
      <x:c r="D357" s="1" t="str">
        <x:v>己酸-2-糠酯</x:v>
      </x:c>
      <x:c r="E357" s="5" t="str">
        <x:f>IF('浓度与阈值来源'!D357&gt;0,'浓度与阈值来源'!D357,"")</x:f>
      </x:c>
      <x:c r="F357" s="6" t="n">
        <x:f>COUNT('浓度与阈值来源'!E357:DM357)</x:f>
        <x:v>11</x:v>
      </x:c>
      <x:c r="G357" s="5" t="n">
        <x:f>IF(F357=0,"",MAX('浓度与阈值来源'!E357:DM357))</x:f>
        <x:v>1245.05</x:v>
      </x:c>
      <x:c r="H357" s="5" t="n">
        <x:f>IF(F357=0,"",MEDIAN('浓度与阈值来源'!E357:DM357))</x:f>
        <x:v>139.23</x:v>
      </x:c>
      <x:c r="I357" s="7" t="str">
        <x:f>IF(AND(ISNUMBER(E357),E357&gt;0,F357&gt;0),G357/E357,"")</x:f>
      </x:c>
      <x:c r="J357" s="7" t="str">
        <x:f>IF(AND(ISNUMBER(E357),E357&gt;0,F357&gt;0),H357/E357,"")</x:f>
      </x:c>
      <x:c r="K357" s="1" t="str">
        <x:f>IF(F357=0,"无浓度数据",IF(E357="","缺周表阈值","可计算"))</x:f>
        <x:v>缺周表阈值</x:v>
      </x:c>
      <x:c r="L357" s="1" t="str">
        <x:f>IF(NOT(ISNUMBER(J357)),"待定",IF(J357&gt;50,"骨架成分",IF(J357&gt;=2,"重要成分","两档成分")))</x:f>
        <x:v>待定</x:v>
      </x:c>
      <x:c r="M357" s="1" t="str">
        <x:f>IF(NOT(ISNUMBER(J357)),"",IF(J357&gt;=2,3,2))</x:f>
      </x:c>
      <x:c r="N357" s="1" t="str">
        <x:f>IF(NOT(ISNUMBER(J357)),"缺少可算OAV",IF(J357&gt;=2,"最大值、中位值、低值待校准","最大值、中位值"))</x:f>
        <x:v>缺少可算OAV</x:v>
      </x:c>
      <x:c r="O357" s="1" t="str">
        <x:f>IF(NOT(ISNUMBER(J357)),"待定",IF(J357&lt;2,"不设第三档",IF(J357&lt;=5,"中位OAV≤5；低档须低于中位浓度","低档需预试确认与中档可区分")))</x:f>
        <x:v>待定</x:v>
      </x:c>
    </x:row>
    <x:row r="358" ht="23" customHeight="1">
      <x:c r="A358" s="1" t="n">
        <x:f>'浓度与阈值来源'!A358</x:f>
        <x:v>353</x:v>
      </x:c>
      <x:c r="B358" s="1" t="str">
        <x:f>IF('浓度与阈值来源'!B358="","",'浓度与阈值来源'!B358)</x:f>
        <x:v>己酸丁酯（mg·L-1）</x:v>
      </x:c>
      <x:c r="C358" s="1" t="str">
        <x:f>IF('浓度与阈值来源'!C358="","",'浓度与阈值来源'!C358)</x:f>
      </x:c>
      <x:c r="D358" s="1" t="str">
        <x:v>己酸丁酯（Mg·L-1）</x:v>
      </x:c>
      <x:c r="E358" s="5" t="n">
        <x:f>IF('浓度与阈值来源'!D358&gt;0,'浓度与阈值来源'!D358,"")</x:f>
        <x:v>677.84</x:v>
      </x:c>
      <x:c r="F358" s="6" t="n">
        <x:f>COUNT('浓度与阈值来源'!E358:DM358)</x:f>
        <x:v>2</x:v>
      </x:c>
      <x:c r="G358" s="5" t="n">
        <x:f>IF(F358=0,"",MAX('浓度与阈值来源'!E358:DM358))</x:f>
        <x:v>95.51</x:v>
      </x:c>
      <x:c r="H358" s="5" t="n">
        <x:f>IF(F358=0,"",MEDIAN('浓度与阈值来源'!E358:DM358))</x:f>
        <x:v>78.64</x:v>
      </x:c>
      <x:c r="I358" s="7" t="n">
        <x:f>IF(AND(ISNUMBER(E358),E358&gt;0,F358&gt;0),G358/E358,"")</x:f>
        <x:v>0.14090345804319604</x:v>
      </x:c>
      <x:c r="J358" s="7" t="n">
        <x:f>IF(AND(ISNUMBER(E358),E358&gt;0,F358&gt;0),H358/E358,"")</x:f>
        <x:v>0.11601557889767496</x:v>
      </x:c>
      <x:c r="K358" s="1" t="str">
        <x:f>IF(F358=0,"无浓度数据",IF(E358="","缺周表阈值","可计算"))</x:f>
        <x:v>可计算</x:v>
      </x:c>
      <x:c r="L358" s="1" t="str">
        <x:f>IF(NOT(ISNUMBER(J358)),"待定",IF(J358&gt;50,"骨架成分",IF(J358&gt;=2,"重要成分","两档成分")))</x:f>
        <x:v>两档成分</x:v>
      </x:c>
      <x:c r="M358" s="1" t="n">
        <x:f>IF(NOT(ISNUMBER(J358)),"",IF(J358&gt;=2,3,2))</x:f>
        <x:v>2</x:v>
      </x:c>
      <x:c r="N358" s="1" t="str">
        <x:f>IF(NOT(ISNUMBER(J358)),"缺少可算OAV",IF(J358&gt;=2,"最大值、中位值、低值待校准","最大值、中位值"))</x:f>
        <x:v>最大值、中位值</x:v>
      </x:c>
      <x:c r="O358" s="1" t="str">
        <x:f>IF(NOT(ISNUMBER(J358)),"待定",IF(J358&lt;2,"不设第三档",IF(J358&lt;=5,"中位OAV≤5；低档须低于中位浓度","低档需预试确认与中档可区分")))</x:f>
        <x:v>不设第三档</x:v>
      </x:c>
    </x:row>
    <x:row r="359" ht="23" customHeight="1">
      <x:c r="A359" s="1" t="n">
        <x:f>'浓度与阈值来源'!A359</x:f>
        <x:v>354</x:v>
      </x:c>
      <x:c r="B359" s="1" t="str">
        <x:f>IF('浓度与阈值来源'!B359="","",'浓度与阈值来源'!B359)</x:f>
        <x:v>己酸（mg·L-1）</x:v>
      </x:c>
      <x:c r="C359" s="1" t="str">
        <x:f>IF('浓度与阈值来源'!C359="","",'浓度与阈值来源'!C359)</x:f>
      </x:c>
      <x:c r="D359" s="1" t="str">
        <x:v>己酸（Mg·L-1）</x:v>
      </x:c>
      <x:c r="E359" s="5" t="n">
        <x:f>IF('浓度与阈值来源'!D359&gt;0,'浓度与阈值来源'!D359,"")</x:f>
        <x:v>2520</x:v>
      </x:c>
      <x:c r="F359" s="6" t="n">
        <x:f>COUNT('浓度与阈值来源'!E359:DM359)</x:f>
        <x:v>4</x:v>
      </x:c>
      <x:c r="G359" s="5" t="n">
        <x:f>IF(F359=0,"",MAX('浓度与阈值来源'!E359:DM359))</x:f>
        <x:v>458.57</x:v>
      </x:c>
      <x:c r="H359" s="5" t="n">
        <x:f>IF(F359=0,"",MEDIAN('浓度与阈值来源'!E359:DM359))</x:f>
        <x:v>355.615</x:v>
      </x:c>
      <x:c r="I359" s="7" t="n">
        <x:f>IF(AND(ISNUMBER(E359),E359&gt;0,F359&gt;0),G359/E359,"")</x:f>
        <x:v>0.18197222222222223</x:v>
      </x:c>
      <x:c r="J359" s="7" t="n">
        <x:f>IF(AND(ISNUMBER(E359),E359&gt;0,F359&gt;0),H359/E359,"")</x:f>
        <x:v>0.1411170634920635</x:v>
      </x:c>
      <x:c r="K359" s="1" t="str">
        <x:f>IF(F359=0,"无浓度数据",IF(E359="","缺周表阈值","可计算"))</x:f>
        <x:v>可计算</x:v>
      </x:c>
      <x:c r="L359" s="1" t="str">
        <x:f>IF(NOT(ISNUMBER(J359)),"待定",IF(J359&gt;50,"骨架成分",IF(J359&gt;=2,"重要成分","两档成分")))</x:f>
        <x:v>两档成分</x:v>
      </x:c>
      <x:c r="M359" s="1" t="n">
        <x:f>IF(NOT(ISNUMBER(J359)),"",IF(J359&gt;=2,3,2))</x:f>
        <x:v>2</x:v>
      </x:c>
      <x:c r="N359" s="1" t="str">
        <x:f>IF(NOT(ISNUMBER(J359)),"缺少可算OAV",IF(J359&gt;=2,"最大值、中位值、低值待校准","最大值、中位值"))</x:f>
        <x:v>最大值、中位值</x:v>
      </x:c>
      <x:c r="O359" s="1" t="str">
        <x:f>IF(NOT(ISNUMBER(J359)),"待定",IF(J359&lt;2,"不设第三档",IF(J359&lt;=5,"中位OAV≤5；低档须低于中位浓度","低档需预试确认与中档可区分")))</x:f>
        <x:v>不设第三档</x:v>
      </x:c>
    </x:row>
    <x:row r="360" ht="23" customHeight="1">
      <x:c r="A360" s="1" t="n">
        <x:f>'浓度与阈值来源'!A360</x:f>
        <x:v>355</x:v>
      </x:c>
      <x:c r="B360" s="1" t="str">
        <x:f>IF('浓度与阈值来源'!B360="","",'浓度与阈值来源'!B360)</x:f>
        <x:v>庚酸（mg·L-1）</x:v>
      </x:c>
      <x:c r="C360" s="1" t="str">
        <x:f>IF('浓度与阈值来源'!C360="","",'浓度与阈值来源'!C360)</x:f>
      </x:c>
      <x:c r="D360" s="1" t="str">
        <x:v>庚酸（Mg·L-1）</x:v>
      </x:c>
      <x:c r="E360" s="5" t="str">
        <x:f>IF('浓度与阈值来源'!D360&gt;0,'浓度与阈值来源'!D360,"")</x:f>
      </x:c>
      <x:c r="F360" s="6" t="n">
        <x:f>COUNT('浓度与阈值来源'!E360:DM360)</x:f>
        <x:v>2</x:v>
      </x:c>
      <x:c r="G360" s="5" t="n">
        <x:f>IF(F360=0,"",MAX('浓度与阈值来源'!E360:DM360))</x:f>
        <x:v>8.86</x:v>
      </x:c>
      <x:c r="H360" s="5" t="n">
        <x:f>IF(F360=0,"",MEDIAN('浓度与阈值来源'!E360:DM360))</x:f>
        <x:v>8.025</x:v>
      </x:c>
      <x:c r="I360" s="7" t="str">
        <x:f>IF(AND(ISNUMBER(E360),E360&gt;0,F360&gt;0),G360/E360,"")</x:f>
      </x:c>
      <x:c r="J360" s="7" t="str">
        <x:f>IF(AND(ISNUMBER(E360),E360&gt;0,F360&gt;0),H360/E360,"")</x:f>
      </x:c>
      <x:c r="K360" s="1" t="str">
        <x:f>IF(F360=0,"无浓度数据",IF(E360="","缺周表阈值","可计算"))</x:f>
        <x:v>缺周表阈值</x:v>
      </x:c>
      <x:c r="L360" s="1" t="str">
        <x:f>IF(NOT(ISNUMBER(J360)),"待定",IF(J360&gt;50,"骨架成分",IF(J360&gt;=2,"重要成分","两档成分")))</x:f>
        <x:v>待定</x:v>
      </x:c>
      <x:c r="M360" s="1" t="str">
        <x:f>IF(NOT(ISNUMBER(J360)),"",IF(J360&gt;=2,3,2))</x:f>
      </x:c>
      <x:c r="N360" s="1" t="str">
        <x:f>IF(NOT(ISNUMBER(J360)),"缺少可算OAV",IF(J360&gt;=2,"最大值、中位值、低值待校准","最大值、中位值"))</x:f>
        <x:v>缺少可算OAV</x:v>
      </x:c>
      <x:c r="O360" s="1" t="str">
        <x:f>IF(NOT(ISNUMBER(J360)),"待定",IF(J360&lt;2,"不设第三档",IF(J360&lt;=5,"中位OAV≤5；低档须低于中位浓度","低档需预试确认与中档可区分")))</x:f>
        <x:v>待定</x:v>
      </x:c>
    </x:row>
    <x:row r="361" ht="23" customHeight="1">
      <x:c r="A361" s="1" t="n">
        <x:f>'浓度与阈值来源'!A361</x:f>
        <x:v>356</x:v>
      </x:c>
      <x:c r="B361" s="1" t="str">
        <x:f>IF('浓度与阈值来源'!B361="","",'浓度与阈值来源'!B361)</x:f>
        <x:v>异丁醇2-methyl-1-propanol</x:v>
      </x:c>
      <x:c r="C361" s="1" t="str">
        <x:f>IF('浓度与阈值来源'!C361="","",'浓度与阈值来源'!C361)</x:f>
      </x:c>
      <x:c r="D361" s="1" t="str">
        <x:v>异丁醇2-Methyl-1-Propanol</x:v>
      </x:c>
      <x:c r="E361" s="5" t="n">
        <x:f>IF('浓度与阈值来源'!D361&gt;0,'浓度与阈值来源'!D361,"")</x:f>
        <x:v>28300</x:v>
      </x:c>
      <x:c r="F361" s="6" t="n">
        <x:f>COUNT('浓度与阈值来源'!E361:DM361)</x:f>
        <x:v>0</x:v>
      </x:c>
      <x:c r="G361" s="5" t="str">
        <x:f>IF(F361=0,"",MAX('浓度与阈值来源'!E361:DM361))</x:f>
      </x:c>
      <x:c r="H361" s="5" t="str">
        <x:f>IF(F361=0,"",MEDIAN('浓度与阈值来源'!E361:DM361))</x:f>
      </x:c>
      <x:c r="I361" s="7" t="str">
        <x:f>IF(AND(ISNUMBER(E361),E361&gt;0,F361&gt;0),G361/E361,"")</x:f>
      </x:c>
      <x:c r="J361" s="7" t="str">
        <x:f>IF(AND(ISNUMBER(E361),E361&gt;0,F361&gt;0),H361/E361,"")</x:f>
      </x:c>
      <x:c r="K361" s="1" t="str">
        <x:f>IF(F361=0,"无浓度数据",IF(E361="","缺周表阈值","可计算"))</x:f>
        <x:v>无浓度数据</x:v>
      </x:c>
      <x:c r="L361" s="1" t="str">
        <x:f>IF(NOT(ISNUMBER(J361)),"待定",IF(J361&gt;50,"骨架成分",IF(J361&gt;=2,"重要成分","两档成分")))</x:f>
        <x:v>待定</x:v>
      </x:c>
      <x:c r="M361" s="1" t="str">
        <x:f>IF(NOT(ISNUMBER(J361)),"",IF(J361&gt;=2,3,2))</x:f>
      </x:c>
      <x:c r="N361" s="1" t="str">
        <x:f>IF(NOT(ISNUMBER(J361)),"缺少可算OAV",IF(J361&gt;=2,"最大值、中位值、低值待校准","最大值、中位值"))</x:f>
        <x:v>缺少可算OAV</x:v>
      </x:c>
      <x:c r="O361" s="1" t="str">
        <x:f>IF(NOT(ISNUMBER(J361)),"待定",IF(J361&lt;2,"不设第三档",IF(J361&lt;=5,"中位OAV≤5；低档须低于中位浓度","低档需预试确认与中档可区分")))</x:f>
        <x:v>待定</x:v>
      </x:c>
    </x:row>
    <x:row r="362" ht="23" customHeight="1">
      <x:c r="A362" s="1" t="n">
        <x:f>'浓度与阈值来源'!A362</x:f>
        <x:v>357</x:v>
      </x:c>
      <x:c r="B362" s="1" t="str">
        <x:f>IF('浓度与阈值来源'!B362="","",'浓度与阈值来源'!B362)</x:f>
        <x:v>异戊醇3-methyl-1-butanol</x:v>
      </x:c>
      <x:c r="C362" s="1" t="str">
        <x:f>IF('浓度与阈值来源'!C362="","",'浓度与阈值来源'!C362)</x:f>
      </x:c>
      <x:c r="D362" s="1" t="str">
        <x:v>异戊醇3-Methyl-1-Butanol</x:v>
      </x:c>
      <x:c r="E362" s="5" t="n">
        <x:f>IF('浓度与阈值来源'!D362&gt;0,'浓度与阈值来源'!D362,"")</x:f>
        <x:v>179191</x:v>
      </x:c>
      <x:c r="F362" s="6" t="n">
        <x:f>COUNT('浓度与阈值来源'!E362:DM362)</x:f>
        <x:v>0</x:v>
      </x:c>
      <x:c r="G362" s="5" t="str">
        <x:f>IF(F362=0,"",MAX('浓度与阈值来源'!E362:DM362))</x:f>
      </x:c>
      <x:c r="H362" s="5" t="str">
        <x:f>IF(F362=0,"",MEDIAN('浓度与阈值来源'!E362:DM362))</x:f>
      </x:c>
      <x:c r="I362" s="7" t="str">
        <x:f>IF(AND(ISNUMBER(E362),E362&gt;0,F362&gt;0),G362/E362,"")</x:f>
      </x:c>
      <x:c r="J362" s="7" t="str">
        <x:f>IF(AND(ISNUMBER(E362),E362&gt;0,F362&gt;0),H362/E362,"")</x:f>
      </x:c>
      <x:c r="K362" s="1" t="str">
        <x:f>IF(F362=0,"无浓度数据",IF(E362="","缺周表阈值","可计算"))</x:f>
        <x:v>无浓度数据</x:v>
      </x:c>
      <x:c r="L362" s="1" t="str">
        <x:f>IF(NOT(ISNUMBER(J362)),"待定",IF(J362&gt;50,"骨架成分",IF(J362&gt;=2,"重要成分","两档成分")))</x:f>
        <x:v>待定</x:v>
      </x:c>
      <x:c r="M362" s="1" t="str">
        <x:f>IF(NOT(ISNUMBER(J362)),"",IF(J362&gt;=2,3,2))</x:f>
      </x:c>
      <x:c r="N362" s="1" t="str">
        <x:f>IF(NOT(ISNUMBER(J362)),"缺少可算OAV",IF(J362&gt;=2,"最大值、中位值、低值待校准","最大值、中位值"))</x:f>
        <x:v>缺少可算OAV</x:v>
      </x:c>
      <x:c r="O362" s="1" t="str">
        <x:f>IF(NOT(ISNUMBER(J362)),"待定",IF(J362&lt;2,"不设第三档",IF(J362&lt;=5,"中位OAV≤5；低档须低于中位浓度","低档需预试确认与中档可区分")))</x:f>
        <x:v>待定</x:v>
      </x:c>
    </x:row>
    <x:row r="363" ht="23" customHeight="1">
      <x:c r="A363" s="1" t="n">
        <x:f>'浓度与阈值来源'!A363</x:f>
        <x:v>358</x:v>
      </x:c>
      <x:c r="B363" s="1" t="str">
        <x:f>IF('浓度与阈值来源'!B363="","",'浓度与阈值来源'!B363)</x:f>
        <x:v>异戊醛3-methylbutanal</x:v>
      </x:c>
      <x:c r="C363" s="1" t="str">
        <x:f>IF('浓度与阈值来源'!C363="","",'浓度与阈值来源'!C363)</x:f>
      </x:c>
      <x:c r="D363" s="1" t="str">
        <x:v>异戊醛3-Methylbutanal</x:v>
      </x:c>
      <x:c r="E363" s="5" t="n">
        <x:f>IF('浓度与阈值来源'!D363&gt;0,'浓度与阈值来源'!D363,"")</x:f>
        <x:v>16.5</x:v>
      </x:c>
      <x:c r="F363" s="6" t="n">
        <x:f>COUNT('浓度与阈值来源'!E363:DM363)</x:f>
        <x:v>0</x:v>
      </x:c>
      <x:c r="G363" s="5" t="str">
        <x:f>IF(F363=0,"",MAX('浓度与阈值来源'!E363:DM363))</x:f>
      </x:c>
      <x:c r="H363" s="5" t="str">
        <x:f>IF(F363=0,"",MEDIAN('浓度与阈值来源'!E363:DM363))</x:f>
      </x:c>
      <x:c r="I363" s="7" t="str">
        <x:f>IF(AND(ISNUMBER(E363),E363&gt;0,F363&gt;0),G363/E363,"")</x:f>
      </x:c>
      <x:c r="J363" s="7" t="str">
        <x:f>IF(AND(ISNUMBER(E363),E363&gt;0,F363&gt;0),H363/E363,"")</x:f>
      </x:c>
      <x:c r="K363" s="1" t="str">
        <x:f>IF(F363=0,"无浓度数据",IF(E363="","缺周表阈值","可计算"))</x:f>
        <x:v>无浓度数据</x:v>
      </x:c>
      <x:c r="L363" s="1" t="str">
        <x:f>IF(NOT(ISNUMBER(J363)),"待定",IF(J363&gt;50,"骨架成分",IF(J363&gt;=2,"重要成分","两档成分")))</x:f>
        <x:v>待定</x:v>
      </x:c>
      <x:c r="M363" s="1" t="str">
        <x:f>IF(NOT(ISNUMBER(J363)),"",IF(J363&gt;=2,3,2))</x:f>
      </x:c>
      <x:c r="N363" s="1" t="str">
        <x:f>IF(NOT(ISNUMBER(J363)),"缺少可算OAV",IF(J363&gt;=2,"最大值、中位值、低值待校准","最大值、中位值"))</x:f>
        <x:v>缺少可算OAV</x:v>
      </x:c>
      <x:c r="O363" s="1" t="str">
        <x:f>IF(NOT(ISNUMBER(J363)),"待定",IF(J363&lt;2,"不设第三档",IF(J363&lt;=5,"中位OAV≤5；低档须低于中位浓度","低档需预试确认与中档可区分")))</x:f>
        <x:v>待定</x:v>
      </x:c>
    </x:row>
    <x:row r="364" ht="23" customHeight="1">
      <x:c r="A364" s="1" t="n">
        <x:f>'浓度与阈值来源'!A364</x:f>
        <x:v>359</x:v>
      </x:c>
      <x:c r="B364" s="1" t="str">
        <x:f>IF('浓度与阈值来源'!B364="","",'浓度与阈值来源'!B364)</x:f>
        <x:v>异戊醛二乙缩醛</x:v>
      </x:c>
      <x:c r="C364" s="1" t="str">
        <x:f>IF('浓度与阈值来源'!C364="","",'浓度与阈值来源'!C364)</x:f>
      </x:c>
      <x:c r="D364" s="1" t="str">
        <x:v>异戊醛二乙缩醛</x:v>
      </x:c>
      <x:c r="E364" s="5" t="str">
        <x:f>IF('浓度与阈值来源'!D364&gt;0,'浓度与阈值来源'!D364,"")</x:f>
      </x:c>
      <x:c r="F364" s="6" t="n">
        <x:f>COUNT('浓度与阈值来源'!E364:DM364)</x:f>
        <x:v>4</x:v>
      </x:c>
      <x:c r="G364" s="5" t="n">
        <x:f>IF(F364=0,"",MAX('浓度与阈值来源'!E364:DM364))</x:f>
        <x:v>1974.01</x:v>
      </x:c>
      <x:c r="H364" s="5" t="n">
        <x:f>IF(F364=0,"",MEDIAN('浓度与阈值来源'!E364:DM364))</x:f>
        <x:v>1461.54</x:v>
      </x:c>
      <x:c r="I364" s="7" t="str">
        <x:f>IF(AND(ISNUMBER(E364),E364&gt;0,F364&gt;0),G364/E364,"")</x:f>
      </x:c>
      <x:c r="J364" s="7" t="str">
        <x:f>IF(AND(ISNUMBER(E364),E364&gt;0,F364&gt;0),H364/E364,"")</x:f>
      </x:c>
      <x:c r="K364" s="1" t="str">
        <x:f>IF(F364=0,"无浓度数据",IF(E364="","缺周表阈值","可计算"))</x:f>
        <x:v>缺周表阈值</x:v>
      </x:c>
      <x:c r="L364" s="1" t="str">
        <x:f>IF(NOT(ISNUMBER(J364)),"待定",IF(J364&gt;50,"骨架成分",IF(J364&gt;=2,"重要成分","两档成分")))</x:f>
        <x:v>待定</x:v>
      </x:c>
      <x:c r="M364" s="1" t="str">
        <x:f>IF(NOT(ISNUMBER(J364)),"",IF(J364&gt;=2,3,2))</x:f>
      </x:c>
      <x:c r="N364" s="1" t="str">
        <x:f>IF(NOT(ISNUMBER(J364)),"缺少可算OAV",IF(J364&gt;=2,"最大值、中位值、低值待校准","最大值、中位值"))</x:f>
        <x:v>缺少可算OAV</x:v>
      </x:c>
      <x:c r="O364" s="1" t="str">
        <x:f>IF(NOT(ISNUMBER(J364)),"待定",IF(J364&lt;2,"不设第三档",IF(J364&lt;=5,"中位OAV≤5；低档须低于中位浓度","低档需预试确认与中档可区分")))</x:f>
        <x:v>待定</x:v>
      </x:c>
    </x:row>
    <x:row r="365" ht="23" customHeight="1">
      <x:c r="A365" s="1" t="n">
        <x:f>'浓度与阈值来源'!A365</x:f>
        <x:v>360</x:v>
      </x:c>
      <x:c r="B365" s="1" t="str">
        <x:f>IF('浓度与阈值来源'!B365="","",'浓度与阈值来源'!B365)</x:f>
        <x:v>戊酮-2</x:v>
      </x:c>
      <x:c r="C365" s="1" t="str">
        <x:f>IF('浓度与阈值来源'!C365="","",'浓度与阈值来源'!C365)</x:f>
      </x:c>
      <x:c r="D365" s="1" t="str">
        <x:v>戊酮-2</x:v>
      </x:c>
      <x:c r="E365" s="5" t="str">
        <x:f>IF('浓度与阈值来源'!D365&gt;0,'浓度与阈值来源'!D365,"")</x:f>
      </x:c>
      <x:c r="F365" s="6" t="n">
        <x:f>COUNT('浓度与阈值来源'!E365:DM365)</x:f>
        <x:v>3</x:v>
      </x:c>
      <x:c r="G365" s="5" t="n">
        <x:f>IF(F365=0,"",MAX('浓度与阈值来源'!E365:DM365))</x:f>
        <x:v>112300</x:v>
      </x:c>
      <x:c r="H365" s="5" t="n">
        <x:f>IF(F365=0,"",MEDIAN('浓度与阈值来源'!E365:DM365))</x:f>
        <x:v>11100</x:v>
      </x:c>
      <x:c r="I365" s="7" t="str">
        <x:f>IF(AND(ISNUMBER(E365),E365&gt;0,F365&gt;0),G365/E365,"")</x:f>
      </x:c>
      <x:c r="J365" s="7" t="str">
        <x:f>IF(AND(ISNUMBER(E365),E365&gt;0,F365&gt;0),H365/E365,"")</x:f>
      </x:c>
      <x:c r="K365" s="1" t="str">
        <x:f>IF(F365=0,"无浓度数据",IF(E365="","缺周表阈值","可计算"))</x:f>
        <x:v>缺周表阈值</x:v>
      </x:c>
      <x:c r="L365" s="1" t="str">
        <x:f>IF(NOT(ISNUMBER(J365)),"待定",IF(J365&gt;50,"骨架成分",IF(J365&gt;=2,"重要成分","两档成分")))</x:f>
        <x:v>待定</x:v>
      </x:c>
      <x:c r="M365" s="1" t="str">
        <x:f>IF(NOT(ISNUMBER(J365)),"",IF(J365&gt;=2,3,2))</x:f>
      </x:c>
      <x:c r="N365" s="1" t="str">
        <x:f>IF(NOT(ISNUMBER(J365)),"缺少可算OAV",IF(J365&gt;=2,"最大值、中位值、低值待校准","最大值、中位值"))</x:f>
        <x:v>缺少可算OAV</x:v>
      </x:c>
      <x:c r="O365" s="1" t="str">
        <x:f>IF(NOT(ISNUMBER(J365)),"待定",IF(J365&lt;2,"不设第三档",IF(J365&lt;=5,"中位OAV≤5；低档须低于中位浓度","低档需预试确认与中档可区分")))</x:f>
        <x:v>待定</x:v>
      </x:c>
    </x:row>
    <x:row r="366" ht="23" customHeight="1">
      <x:c r="A366" s="1" t="n">
        <x:f>'浓度与阈值来源'!A366</x:f>
        <x:v>361</x:v>
      </x:c>
      <x:c r="B366" s="1" t="str">
        <x:f>IF('浓度与阈值来源'!B366="","",'浓度与阈值来源'!B366)</x:f>
        <x:v>戊酸乙酯（mg·L-1）</x:v>
      </x:c>
      <x:c r="C366" s="1" t="str">
        <x:f>IF('浓度与阈值来源'!C366="","",'浓度与阈值来源'!C366)</x:f>
      </x:c>
      <x:c r="D366" s="1" t="str">
        <x:v>戊酸乙酯（Mg·L-1）</x:v>
      </x:c>
      <x:c r="E366" s="5" t="n">
        <x:f>IF('浓度与阈值来源'!D366&gt;0,'浓度与阈值来源'!D366,"")</x:f>
        <x:v>26.8</x:v>
      </x:c>
      <x:c r="F366" s="6" t="n">
        <x:f>COUNT('浓度与阈值来源'!E366:DM366)</x:f>
        <x:v>2</x:v>
      </x:c>
      <x:c r="G366" s="5" t="n">
        <x:f>IF(F366=0,"",MAX('浓度与阈值来源'!E366:DM366))</x:f>
        <x:v>168.36</x:v>
      </x:c>
      <x:c r="H366" s="5" t="n">
        <x:f>IF(F366=0,"",MEDIAN('浓度与阈值来源'!E366:DM366))</x:f>
        <x:v>137.10500000000002</x:v>
      </x:c>
      <x:c r="I366" s="7" t="n">
        <x:f>IF(AND(ISNUMBER(E366),E366&gt;0,F366&gt;0),G366/E366,"")</x:f>
        <x:v>6.282089552238807</x:v>
      </x:c>
      <x:c r="J366" s="7" t="n">
        <x:f>IF(AND(ISNUMBER(E366),E366&gt;0,F366&gt;0),H366/E366,"")</x:f>
        <x:v>5.115858208955224</x:v>
      </x:c>
      <x:c r="K366" s="1" t="str">
        <x:f>IF(F366=0,"无浓度数据",IF(E366="","缺周表阈值","可计算"))</x:f>
        <x:v>可计算</x:v>
      </x:c>
      <x:c r="L366" s="1" t="str">
        <x:f>IF(NOT(ISNUMBER(J366)),"待定",IF(J366&gt;50,"骨架成分",IF(J366&gt;=2,"重要成分","两档成分")))</x:f>
        <x:v>重要成分</x:v>
      </x:c>
      <x:c r="M366" s="1" t="n">
        <x:f>IF(NOT(ISNUMBER(J366)),"",IF(J366&gt;=2,3,2))</x:f>
        <x:v>3</x:v>
      </x:c>
      <x:c r="N366" s="1" t="str">
        <x:f>IF(NOT(ISNUMBER(J366)),"缺少可算OAV",IF(J366&gt;=2,"最大值、中位值、低值待校准","最大值、中位值"))</x:f>
        <x:v>最大值、中位值、低值待校准</x:v>
      </x:c>
      <x:c r="O366" s="1" t="str">
        <x:f>IF(NOT(ISNUMBER(J366)),"待定",IF(J366&lt;2,"不设第三档",IF(J366&lt;=5,"中位OAV≤5；低档须低于中位浓度","低档需预试确认与中档可区分")))</x:f>
        <x:v>低档需预试确认与中档可区分</x:v>
      </x:c>
    </x:row>
    <x:row r="367" ht="23" customHeight="1">
      <x:c r="A367" s="1" t="n">
        <x:f>'浓度与阈值来源'!A367</x:f>
        <x:v>362</x:v>
      </x:c>
      <x:c r="B367" s="1" t="str">
        <x:f>IF('浓度与阈值来源'!B367="","",'浓度与阈值来源'!B367)</x:f>
        <x:v>正丁醇1-butanol</x:v>
      </x:c>
      <x:c r="C367" s="1" t="str">
        <x:f>IF('浓度与阈值来源'!C367="","",'浓度与阈值来源'!C367)</x:f>
      </x:c>
      <x:c r="D367" s="1" t="str">
        <x:v>正丁醇1-Butanol</x:v>
      </x:c>
      <x:c r="E367" s="5" t="n">
        <x:f>IF('浓度与阈值来源'!D367&gt;0,'浓度与阈值来源'!D367,"")</x:f>
        <x:v>2733</x:v>
      </x:c>
      <x:c r="F367" s="6" t="n">
        <x:f>COUNT('浓度与阈值来源'!E367:DM367)</x:f>
        <x:v>0</x:v>
      </x:c>
      <x:c r="G367" s="5" t="str">
        <x:f>IF(F367=0,"",MAX('浓度与阈值来源'!E367:DM367))</x:f>
      </x:c>
      <x:c r="H367" s="5" t="str">
        <x:f>IF(F367=0,"",MEDIAN('浓度与阈值来源'!E367:DM367))</x:f>
      </x:c>
      <x:c r="I367" s="7" t="str">
        <x:f>IF(AND(ISNUMBER(E367),E367&gt;0,F367&gt;0),G367/E367,"")</x:f>
      </x:c>
      <x:c r="J367" s="7" t="str">
        <x:f>IF(AND(ISNUMBER(E367),E367&gt;0,F367&gt;0),H367/E367,"")</x:f>
      </x:c>
      <x:c r="K367" s="1" t="str">
        <x:f>IF(F367=0,"无浓度数据",IF(E367="","缺周表阈值","可计算"))</x:f>
        <x:v>无浓度数据</x:v>
      </x:c>
      <x:c r="L367" s="1" t="str">
        <x:f>IF(NOT(ISNUMBER(J367)),"待定",IF(J367&gt;50,"骨架成分",IF(J367&gt;=2,"重要成分","两档成分")))</x:f>
        <x:v>待定</x:v>
      </x:c>
      <x:c r="M367" s="1" t="str">
        <x:f>IF(NOT(ISNUMBER(J367)),"",IF(J367&gt;=2,3,2))</x:f>
      </x:c>
      <x:c r="N367" s="1" t="str">
        <x:f>IF(NOT(ISNUMBER(J367)),"缺少可算OAV",IF(J367&gt;=2,"最大值、中位值、低值待校准","最大值、中位值"))</x:f>
        <x:v>缺少可算OAV</x:v>
      </x:c>
      <x:c r="O367" s="1" t="str">
        <x:f>IF(NOT(ISNUMBER(J367)),"待定",IF(J367&lt;2,"不设第三档",IF(J367&lt;=5,"中位OAV≤5；低档须低于中位浓度","低档需预试确认与中档可区分")))</x:f>
        <x:v>待定</x:v>
      </x:c>
    </x:row>
    <x:row r="368" ht="23" customHeight="1">
      <x:c r="A368" s="1" t="n">
        <x:f>'浓度与阈值来源'!A368</x:f>
        <x:v>363</x:v>
      </x:c>
      <x:c r="B368" s="1" t="str">
        <x:f>IF('浓度与阈值来源'!B368="","",'浓度与阈值来源'!B368)</x:f>
        <x:v>正丙醇1-propanol</x:v>
      </x:c>
      <x:c r="C368" s="1" t="str">
        <x:f>IF('浓度与阈值来源'!C368="","",'浓度与阈值来源'!C368)</x:f>
      </x:c>
      <x:c r="D368" s="1" t="str">
        <x:v>正丙醇1-Propanol</x:v>
      </x:c>
      <x:c r="E368" s="5" t="n">
        <x:f>IF('浓度与阈值来源'!D368&gt;0,'浓度与阈值来源'!D368,"")</x:f>
        <x:v>109000</x:v>
      </x:c>
      <x:c r="F368" s="6" t="n">
        <x:f>COUNT('浓度与阈值来源'!E368:DM368)</x:f>
        <x:v>0</x:v>
      </x:c>
      <x:c r="G368" s="5" t="str">
        <x:f>IF(F368=0,"",MAX('浓度与阈值来源'!E368:DM368))</x:f>
      </x:c>
      <x:c r="H368" s="5" t="str">
        <x:f>IF(F368=0,"",MEDIAN('浓度与阈值来源'!E368:DM368))</x:f>
      </x:c>
      <x:c r="I368" s="7" t="str">
        <x:f>IF(AND(ISNUMBER(E368),E368&gt;0,F368&gt;0),G368/E368,"")</x:f>
      </x:c>
      <x:c r="J368" s="7" t="str">
        <x:f>IF(AND(ISNUMBER(E368),E368&gt;0,F368&gt;0),H368/E368,"")</x:f>
      </x:c>
      <x:c r="K368" s="1" t="str">
        <x:f>IF(F368=0,"无浓度数据",IF(E368="","缺周表阈值","可计算"))</x:f>
        <x:v>无浓度数据</x:v>
      </x:c>
      <x:c r="L368" s="1" t="str">
        <x:f>IF(NOT(ISNUMBER(J368)),"待定",IF(J368&gt;50,"骨架成分",IF(J368&gt;=2,"重要成分","两档成分")))</x:f>
        <x:v>待定</x:v>
      </x:c>
      <x:c r="M368" s="1" t="str">
        <x:f>IF(NOT(ISNUMBER(J368)),"",IF(J368&gt;=2,3,2))</x:f>
      </x:c>
      <x:c r="N368" s="1" t="str">
        <x:f>IF(NOT(ISNUMBER(J368)),"缺少可算OAV",IF(J368&gt;=2,"最大值、中位值、低值待校准","最大值、中位值"))</x:f>
        <x:v>缺少可算OAV</x:v>
      </x:c>
      <x:c r="O368" s="1" t="str">
        <x:f>IF(NOT(ISNUMBER(J368)),"待定",IF(J368&lt;2,"不设第三档",IF(J368&lt;=5,"中位OAV≤5；低档须低于中位浓度","低档需预试确认与中档可区分")))</x:f>
        <x:v>待定</x:v>
      </x:c>
    </x:row>
    <x:row r="369" ht="23" customHeight="1">
      <x:c r="A369" s="1" t="n">
        <x:f>'浓度与阈值来源'!A369</x:f>
        <x:v>364</x:v>
      </x:c>
      <x:c r="B369" s="1" t="str">
        <x:f>IF('浓度与阈值来源'!B369="","",'浓度与阈值来源'!B369)</x:f>
        <x:v>正己醇1-hexanol</x:v>
      </x:c>
      <x:c r="C369" s="1" t="str">
        <x:f>IF('浓度与阈值来源'!C369="","",'浓度与阈值来源'!C369)</x:f>
      </x:c>
      <x:c r="D369" s="1" t="str">
        <x:v>正己醇1-Hexanol</x:v>
      </x:c>
      <x:c r="E369" s="5" t="n">
        <x:f>IF('浓度与阈值来源'!D369&gt;0,'浓度与阈值来源'!D369,"")</x:f>
        <x:v>5370</x:v>
      </x:c>
      <x:c r="F369" s="6" t="n">
        <x:f>COUNT('浓度与阈值来源'!E369:DM369)</x:f>
        <x:v>0</x:v>
      </x:c>
      <x:c r="G369" s="5" t="str">
        <x:f>IF(F369=0,"",MAX('浓度与阈值来源'!E369:DM369))</x:f>
      </x:c>
      <x:c r="H369" s="5" t="str">
        <x:f>IF(F369=0,"",MEDIAN('浓度与阈值来源'!E369:DM369))</x:f>
      </x:c>
      <x:c r="I369" s="7" t="str">
        <x:f>IF(AND(ISNUMBER(E369),E369&gt;0,F369&gt;0),G369/E369,"")</x:f>
      </x:c>
      <x:c r="J369" s="7" t="str">
        <x:f>IF(AND(ISNUMBER(E369),E369&gt;0,F369&gt;0),H369/E369,"")</x:f>
      </x:c>
      <x:c r="K369" s="1" t="str">
        <x:f>IF(F369=0,"无浓度数据",IF(E369="","缺周表阈值","可计算"))</x:f>
        <x:v>无浓度数据</x:v>
      </x:c>
      <x:c r="L369" s="1" t="str">
        <x:f>IF(NOT(ISNUMBER(J369)),"待定",IF(J369&gt;50,"骨架成分",IF(J369&gt;=2,"重要成分","两档成分")))</x:f>
        <x:v>待定</x:v>
      </x:c>
      <x:c r="M369" s="1" t="str">
        <x:f>IF(NOT(ISNUMBER(J369)),"",IF(J369&gt;=2,3,2))</x:f>
      </x:c>
      <x:c r="N369" s="1" t="str">
        <x:f>IF(NOT(ISNUMBER(J369)),"缺少可算OAV",IF(J369&gt;=2,"最大值、中位值、低值待校准","最大值、中位值"))</x:f>
        <x:v>缺少可算OAV</x:v>
      </x:c>
      <x:c r="O369" s="1" t="str">
        <x:f>IF(NOT(ISNUMBER(J369)),"待定",IF(J369&lt;2,"不设第三档",IF(J369&lt;=5,"中位OAV≤5；低档须低于中位浓度","低档需预试确认与中档可区分")))</x:f>
        <x:v>待定</x:v>
      </x:c>
    </x:row>
    <x:row r="370" ht="23" customHeight="1">
      <x:c r="A370" s="1" t="n">
        <x:f>'浓度与阈值来源'!A370</x:f>
        <x:v>365</x:v>
      </x:c>
      <x:c r="B370" s="1" t="str">
        <x:f>IF('浓度与阈值来源'!B370="","",'浓度与阈值来源'!B370)</x:f>
        <x:v>正辛醇1-octanol</x:v>
      </x:c>
      <x:c r="C370" s="1" t="str">
        <x:f>IF('浓度与阈值来源'!C370="","",'浓度与阈值来源'!C370)</x:f>
      </x:c>
      <x:c r="D370" s="1" t="str">
        <x:v>正辛醇1-Octanol</x:v>
      </x:c>
      <x:c r="E370" s="5" t="str">
        <x:f>IF('浓度与阈值来源'!D370&gt;0,'浓度与阈值来源'!D370,"")</x:f>
      </x:c>
      <x:c r="F370" s="6" t="n">
        <x:f>COUNT('浓度与阈值来源'!E370:DM370)</x:f>
        <x:v>0</x:v>
      </x:c>
      <x:c r="G370" s="5" t="str">
        <x:f>IF(F370=0,"",MAX('浓度与阈值来源'!E370:DM370))</x:f>
      </x:c>
      <x:c r="H370" s="5" t="str">
        <x:f>IF(F370=0,"",MEDIAN('浓度与阈值来源'!E370:DM370))</x:f>
      </x:c>
      <x:c r="I370" s="7" t="str">
        <x:f>IF(AND(ISNUMBER(E370),E370&gt;0,F370&gt;0),G370/E370,"")</x:f>
      </x:c>
      <x:c r="J370" s="7" t="str">
        <x:f>IF(AND(ISNUMBER(E370),E370&gt;0,F370&gt;0),H370/E370,"")</x:f>
      </x:c>
      <x:c r="K370" s="1" t="str">
        <x:f>IF(F370=0,"无浓度数据",IF(E370="","缺周表阈值","可计算"))</x:f>
        <x:v>无浓度数据</x:v>
      </x:c>
      <x:c r="L370" s="1" t="str">
        <x:f>IF(NOT(ISNUMBER(J370)),"待定",IF(J370&gt;50,"骨架成分",IF(J370&gt;=2,"重要成分","两档成分")))</x:f>
        <x:v>待定</x:v>
      </x:c>
      <x:c r="M370" s="1" t="str">
        <x:f>IF(NOT(ISNUMBER(J370)),"",IF(J370&gt;=2,3,2))</x:f>
      </x:c>
      <x:c r="N370" s="1" t="str">
        <x:f>IF(NOT(ISNUMBER(J370)),"缺少可算OAV",IF(J370&gt;=2,"最大值、中位值、低值待校准","最大值、中位值"))</x:f>
        <x:v>缺少可算OAV</x:v>
      </x:c>
      <x:c r="O370" s="1" t="str">
        <x:f>IF(NOT(ISNUMBER(J370)),"待定",IF(J370&lt;2,"不设第三档",IF(J370&lt;=5,"中位OAV≤5；低档须低于中位浓度","低档需预试确认与中档可区分")))</x:f>
        <x:v>待定</x:v>
      </x:c>
    </x:row>
    <x:row r="371" ht="23" customHeight="1">
      <x:c r="A371" s="1" t="n">
        <x:f>'浓度与阈值来源'!A371</x:f>
        <x:v>366</x:v>
      </x:c>
      <x:c r="B371" s="1" t="str">
        <x:f>IF('浓度与阈值来源'!B371="","",'浓度与阈值来源'!B371)</x:f>
        <x:v>甲醚</x:v>
      </x:c>
      <x:c r="C371" s="1" t="str">
        <x:f>IF('浓度与阈值来源'!C371="","",'浓度与阈值来源'!C371)</x:f>
      </x:c>
      <x:c r="D371" s="1" t="str">
        <x:v>甲醚</x:v>
      </x:c>
      <x:c r="E371" s="5" t="str">
        <x:f>IF('浓度与阈值来源'!D371&gt;0,'浓度与阈值来源'!D371,"")</x:f>
      </x:c>
      <x:c r="F371" s="6" t="n">
        <x:f>COUNT('浓度与阈值来源'!E371:DM371)</x:f>
        <x:v>4</x:v>
      </x:c>
      <x:c r="G371" s="5" t="n">
        <x:f>IF(F371=0,"",MAX('浓度与阈值来源'!E371:DM371))</x:f>
        <x:v>2300.02</x:v>
      </x:c>
      <x:c r="H371" s="5" t="n">
        <x:f>IF(F371=0,"",MEDIAN('浓度与阈值来源'!E371:DM371))</x:f>
        <x:v>1187.8449999999998</x:v>
      </x:c>
      <x:c r="I371" s="7" t="str">
        <x:f>IF(AND(ISNUMBER(E371),E371&gt;0,F371&gt;0),G371/E371,"")</x:f>
      </x:c>
      <x:c r="J371" s="7" t="str">
        <x:f>IF(AND(ISNUMBER(E371),E371&gt;0,F371&gt;0),H371/E371,"")</x:f>
      </x:c>
      <x:c r="K371" s="1" t="str">
        <x:f>IF(F371=0,"无浓度数据",IF(E371="","缺周表阈值","可计算"))</x:f>
        <x:v>缺周表阈值</x:v>
      </x:c>
      <x:c r="L371" s="1" t="str">
        <x:f>IF(NOT(ISNUMBER(J371)),"待定",IF(J371&gt;50,"骨架成分",IF(J371&gt;=2,"重要成分","两档成分")))</x:f>
        <x:v>待定</x:v>
      </x:c>
      <x:c r="M371" s="1" t="str">
        <x:f>IF(NOT(ISNUMBER(J371)),"",IF(J371&gt;=2,3,2))</x:f>
      </x:c>
      <x:c r="N371" s="1" t="str">
        <x:f>IF(NOT(ISNUMBER(J371)),"缺少可算OAV",IF(J371&gt;=2,"最大值、中位值、低值待校准","最大值、中位值"))</x:f>
        <x:v>缺少可算OAV</x:v>
      </x:c>
      <x:c r="O371" s="1" t="str">
        <x:f>IF(NOT(ISNUMBER(J371)),"待定",IF(J371&lt;2,"不设第三档",IF(J371&lt;=5,"中位OAV≤5；低档须低于中位浓度","低档需预试确认与中档可区分")))</x:f>
        <x:v>待定</x:v>
      </x:c>
    </x:row>
    <x:row r="372" ht="23" customHeight="1">
      <x:c r="A372" s="1" t="n">
        <x:f>'浓度与阈值来源'!A372</x:f>
        <x:v>367</x:v>
      </x:c>
      <x:c r="B372" s="1" t="str">
        <x:f>IF('浓度与阈值来源'!B372="","",'浓度与阈值来源'!B372)</x:f>
        <x:v>苯乙烯</x:v>
      </x:c>
      <x:c r="C372" s="1" t="str">
        <x:f>IF('浓度与阈值来源'!C372="","",'浓度与阈值来源'!C372)</x:f>
      </x:c>
      <x:c r="D372" s="1" t="str">
        <x:v>苯乙烯</x:v>
      </x:c>
      <x:c r="E372" s="5" t="str">
        <x:f>IF('浓度与阈值来源'!D372&gt;0,'浓度与阈值来源'!D372,"")</x:f>
      </x:c>
      <x:c r="F372" s="6" t="n">
        <x:f>COUNT('浓度与阈值来源'!E372:DM372)</x:f>
        <x:v>1</x:v>
      </x:c>
      <x:c r="G372" s="5" t="n">
        <x:f>IF(F372=0,"",MAX('浓度与阈值来源'!E372:DM372))</x:f>
        <x:v>26.77</x:v>
      </x:c>
      <x:c r="H372" s="5" t="n">
        <x:f>IF(F372=0,"",MEDIAN('浓度与阈值来源'!E372:DM372))</x:f>
        <x:v>26.77</x:v>
      </x:c>
      <x:c r="I372" s="7" t="str">
        <x:f>IF(AND(ISNUMBER(E372),E372&gt;0,F372&gt;0),G372/E372,"")</x:f>
      </x:c>
      <x:c r="J372" s="7" t="str">
        <x:f>IF(AND(ISNUMBER(E372),E372&gt;0,F372&gt;0),H372/E372,"")</x:f>
      </x:c>
      <x:c r="K372" s="1" t="str">
        <x:f>IF(F372=0,"无浓度数据",IF(E372="","缺周表阈值","可计算"))</x:f>
        <x:v>缺周表阈值</x:v>
      </x:c>
      <x:c r="L372" s="1" t="str">
        <x:f>IF(NOT(ISNUMBER(J372)),"待定",IF(J372&gt;50,"骨架成分",IF(J372&gt;=2,"重要成分","两档成分")))</x:f>
        <x:v>待定</x:v>
      </x:c>
      <x:c r="M372" s="1" t="str">
        <x:f>IF(NOT(ISNUMBER(J372)),"",IF(J372&gt;=2,3,2))</x:f>
      </x:c>
      <x:c r="N372" s="1" t="str">
        <x:f>IF(NOT(ISNUMBER(J372)),"缺少可算OAV",IF(J372&gt;=2,"最大值、中位值、低值待校准","最大值、中位值"))</x:f>
        <x:v>缺少可算OAV</x:v>
      </x:c>
      <x:c r="O372" s="1" t="str">
        <x:f>IF(NOT(ISNUMBER(J372)),"待定",IF(J372&lt;2,"不设第三档",IF(J372&lt;=5,"中位OAV≤5；低档须低于中位浓度","低档需预试确认与中档可区分")))</x:f>
        <x:v>待定</x:v>
      </x:c>
    </x:row>
    <x:row r="373" ht="23" customHeight="1">
      <x:c r="A373" s="1" t="n">
        <x:f>'浓度与阈值来源'!A373</x:f>
        <x:v>368</x:v>
      </x:c>
      <x:c r="B373" s="1" t="str">
        <x:f>IF('浓度与阈值来源'!B373="","",'浓度与阈值来源'!B373)</x:f>
        <x:v>苯乙醛二乙缩醛</x:v>
      </x:c>
      <x:c r="C373" s="1" t="str">
        <x:f>IF('浓度与阈值来源'!C373="","",'浓度与阈值来源'!C373)</x:f>
      </x:c>
      <x:c r="D373" s="1" t="str">
        <x:v>苯乙醛二乙缩醛</x:v>
      </x:c>
      <x:c r="E373" s="5" t="str">
        <x:f>IF('浓度与阈值来源'!D373&gt;0,'浓度与阈值来源'!D373,"")</x:f>
      </x:c>
      <x:c r="F373" s="6" t="n">
        <x:f>COUNT('浓度与阈值来源'!E373:DM373)</x:f>
        <x:v>4</x:v>
      </x:c>
      <x:c r="G373" s="5" t="n">
        <x:f>IF(F373=0,"",MAX('浓度与阈值来源'!E373:DM373))</x:f>
        <x:v>230.21</x:v>
      </x:c>
      <x:c r="H373" s="5" t="n">
        <x:f>IF(F373=0,"",MEDIAN('浓度与阈值来源'!E373:DM373))</x:f>
        <x:v>142.195</x:v>
      </x:c>
      <x:c r="I373" s="7" t="str">
        <x:f>IF(AND(ISNUMBER(E373),E373&gt;0,F373&gt;0),G373/E373,"")</x:f>
      </x:c>
      <x:c r="J373" s="7" t="str">
        <x:f>IF(AND(ISNUMBER(E373),E373&gt;0,F373&gt;0),H373/E373,"")</x:f>
      </x:c>
      <x:c r="K373" s="1" t="str">
        <x:f>IF(F373=0,"无浓度数据",IF(E373="","缺周表阈值","可计算"))</x:f>
        <x:v>缺周表阈值</x:v>
      </x:c>
      <x:c r="L373" s="1" t="str">
        <x:f>IF(NOT(ISNUMBER(J373)),"待定",IF(J373&gt;50,"骨架成分",IF(J373&gt;=2,"重要成分","两档成分")))</x:f>
        <x:v>待定</x:v>
      </x:c>
      <x:c r="M373" s="1" t="str">
        <x:f>IF(NOT(ISNUMBER(J373)),"",IF(J373&gt;=2,3,2))</x:f>
      </x:c>
      <x:c r="N373" s="1" t="str">
        <x:f>IF(NOT(ISNUMBER(J373)),"缺少可算OAV",IF(J373&gt;=2,"最大值、中位值、低值待校准","最大值、中位值"))</x:f>
        <x:v>缺少可算OAV</x:v>
      </x:c>
      <x:c r="O373" s="1" t="str">
        <x:f>IF(NOT(ISNUMBER(J373)),"待定",IF(J373&lt;2,"不设第三档",IF(J373&lt;=5,"中位OAV≤5；低档须低于中位浓度","低档需预试确认与中档可区分")))</x:f>
        <x:v>待定</x:v>
      </x:c>
    </x:row>
    <x:row r="374" ht="23" customHeight="1">
      <x:c r="A374" s="1" t="n">
        <x:f>'浓度与阈值来源'!A374</x:f>
        <x:v>369</x:v>
      </x:c>
      <x:c r="B374" s="1" t="str">
        <x:f>IF('浓度与阈值来源'!B374="","",'浓度与阈值来源'!B374)</x:f>
        <x:v>辛酸-3-甲基丁</x:v>
      </x:c>
      <x:c r="C374" s="1" t="str">
        <x:f>IF('浓度与阈值来源'!C374="","",'浓度与阈值来源'!C374)</x:f>
      </x:c>
      <x:c r="D374" s="1" t="str">
        <x:v>辛酸-3-甲基丁</x:v>
      </x:c>
      <x:c r="E374" s="5" t="str">
        <x:f>IF('浓度与阈值来源'!D374&gt;0,'浓度与阈值来源'!D374,"")</x:f>
      </x:c>
      <x:c r="F374" s="6" t="n">
        <x:f>COUNT('浓度与阈值来源'!E374:DM374)</x:f>
        <x:v>2</x:v>
      </x:c>
      <x:c r="G374" s="5" t="n">
        <x:f>IF(F374=0,"",MAX('浓度与阈值来源'!E374:DM374))</x:f>
        <x:v>1142.68</x:v>
      </x:c>
      <x:c r="H374" s="5" t="n">
        <x:f>IF(F374=0,"",MEDIAN('浓度与阈值来源'!E374:DM374))</x:f>
        <x:v>802.085</x:v>
      </x:c>
      <x:c r="I374" s="7" t="str">
        <x:f>IF(AND(ISNUMBER(E374),E374&gt;0,F374&gt;0),G374/E374,"")</x:f>
      </x:c>
      <x:c r="J374" s="7" t="str">
        <x:f>IF(AND(ISNUMBER(E374),E374&gt;0,F374&gt;0),H374/E374,"")</x:f>
      </x:c>
      <x:c r="K374" s="1" t="str">
        <x:f>IF(F374=0,"无浓度数据",IF(E374="","缺周表阈值","可计算"))</x:f>
        <x:v>缺周表阈值</x:v>
      </x:c>
      <x:c r="L374" s="1" t="str">
        <x:f>IF(NOT(ISNUMBER(J374)),"待定",IF(J374&gt;50,"骨架成分",IF(J374&gt;=2,"重要成分","两档成分")))</x:f>
        <x:v>待定</x:v>
      </x:c>
      <x:c r="M374" s="1" t="str">
        <x:f>IF(NOT(ISNUMBER(J374)),"",IF(J374&gt;=2,3,2))</x:f>
      </x:c>
      <x:c r="N374" s="1" t="str">
        <x:f>IF(NOT(ISNUMBER(J374)),"缺少可算OAV",IF(J374&gt;=2,"最大值、中位值、低值待校准","最大值、中位值"))</x:f>
        <x:v>缺少可算OAV</x:v>
      </x:c>
      <x:c r="O374" s="1" t="str">
        <x:f>IF(NOT(ISNUMBER(J374)),"待定",IF(J374&lt;2,"不设第三档",IF(J374&lt;=5,"中位OAV≤5；低档须低于中位浓度","低档需预试确认与中档可区分")))</x:f>
        <x:v>待定</x:v>
      </x:c>
    </x:row>
    <x:row r="375" ht="23" customHeight="1">
      <x:c r="A375" s="1" t="n">
        <x:f>'浓度与阈值来源'!A375</x:f>
        <x:v>370</x:v>
      </x:c>
      <x:c r="B375" s="1" t="str">
        <x:f>IF('浓度与阈值来源'!B375="","",'浓度与阈值来源'!B375)</x:f>
        <x:v>辛酸-3-甲基丁酯（μg·L-1）</x:v>
      </x:c>
      <x:c r="C375" s="1" t="str">
        <x:f>IF('浓度与阈值来源'!C375="","",'浓度与阈值来源'!C375)</x:f>
      </x:c>
      <x:c r="D375" s="1" t="str">
        <x:v>辛酸-3-甲基丁酯（Μg·L-1）</x:v>
      </x:c>
      <x:c r="E375" s="5" t="str">
        <x:f>IF('浓度与阈值来源'!D375&gt;0,'浓度与阈值来源'!D375,"")</x:f>
      </x:c>
      <x:c r="F375" s="6" t="n">
        <x:f>COUNT('浓度与阈值来源'!E375:DM375)</x:f>
        <x:v>2</x:v>
      </x:c>
      <x:c r="G375" s="5" t="n">
        <x:f>IF(F375=0,"",MAX('浓度与阈值来源'!E375:DM375))</x:f>
        <x:v>495.85</x:v>
      </x:c>
      <x:c r="H375" s="5" t="n">
        <x:f>IF(F375=0,"",MEDIAN('浓度与阈值来源'!E375:DM375))</x:f>
        <x:v>384.065</x:v>
      </x:c>
      <x:c r="I375" s="7" t="str">
        <x:f>IF(AND(ISNUMBER(E375),E375&gt;0,F375&gt;0),G375/E375,"")</x:f>
      </x:c>
      <x:c r="J375" s="7" t="str">
        <x:f>IF(AND(ISNUMBER(E375),E375&gt;0,F375&gt;0),H375/E375,"")</x:f>
      </x:c>
      <x:c r="K375" s="1" t="str">
        <x:f>IF(F375=0,"无浓度数据",IF(E375="","缺周表阈值","可计算"))</x:f>
        <x:v>缺周表阈值</x:v>
      </x:c>
      <x:c r="L375" s="1" t="str">
        <x:f>IF(NOT(ISNUMBER(J375)),"待定",IF(J375&gt;50,"骨架成分",IF(J375&gt;=2,"重要成分","两档成分")))</x:f>
        <x:v>待定</x:v>
      </x:c>
      <x:c r="M375" s="1" t="str">
        <x:f>IF(NOT(ISNUMBER(J375)),"",IF(J375&gt;=2,3,2))</x:f>
      </x:c>
      <x:c r="N375" s="1" t="str">
        <x:f>IF(NOT(ISNUMBER(J375)),"缺少可算OAV",IF(J375&gt;=2,"最大值、中位值、低值待校准","最大值、中位值"))</x:f>
        <x:v>缺少可算OAV</x:v>
      </x:c>
      <x:c r="O375" s="1" t="str">
        <x:f>IF(NOT(ISNUMBER(J375)),"待定",IF(J375&lt;2,"不设第三档",IF(J375&lt;=5,"中位OAV≤5；低档须低于中位浓度","低档需预试确认与中档可区分")))</x:f>
        <x:v>待定</x:v>
      </x:c>
    </x:row>
    <x:row r="376" ht="23" customHeight="1">
      <x:c r="A376" s="1" t="n">
        <x:f>'浓度与阈值来源'!A376</x:f>
        <x:v>371</x:v>
      </x:c>
      <x:c r="B376" s="1" t="str">
        <x:f>IF('浓度与阈值来源'!B376="","",'浓度与阈值来源'!B376)</x:f>
        <x:v>辛酸乙酯（mg·L-1）</x:v>
      </x:c>
      <x:c r="C376" s="1" t="str">
        <x:f>IF('浓度与阈值来源'!C376="","",'浓度与阈值来源'!C376)</x:f>
      </x:c>
      <x:c r="D376" s="1" t="str">
        <x:v>辛酸乙酯（Mg·L-1）</x:v>
      </x:c>
      <x:c r="E376" s="5" t="n">
        <x:f>IF('浓度与阈值来源'!D376&gt;0,'浓度与阈值来源'!D376,"")</x:f>
        <x:v>12.9</x:v>
      </x:c>
      <x:c r="F376" s="6" t="n">
        <x:f>COUNT('浓度与阈值来源'!E376:DM376)</x:f>
        <x:v>2</x:v>
      </x:c>
      <x:c r="G376" s="5" t="n">
        <x:f>IF(F376=0,"",MAX('浓度与阈值来源'!E376:DM376))</x:f>
        <x:v>203.76</x:v>
      </x:c>
      <x:c r="H376" s="5" t="n">
        <x:f>IF(F376=0,"",MEDIAN('浓度与阈值来源'!E376:DM376))</x:f>
        <x:v>162.51</x:v>
      </x:c>
      <x:c r="I376" s="7" t="n">
        <x:f>IF(AND(ISNUMBER(E376),E376&gt;0,F376&gt;0),G376/E376,"")</x:f>
        <x:v>15.795348837209302</x:v>
      </x:c>
      <x:c r="J376" s="7" t="n">
        <x:f>IF(AND(ISNUMBER(E376),E376&gt;0,F376&gt;0),H376/E376,"")</x:f>
        <x:v>12.597674418604651</x:v>
      </x:c>
      <x:c r="K376" s="1" t="str">
        <x:f>IF(F376=0,"无浓度数据",IF(E376="","缺周表阈值","可计算"))</x:f>
        <x:v>可计算</x:v>
      </x:c>
      <x:c r="L376" s="1" t="str">
        <x:f>IF(NOT(ISNUMBER(J376)),"待定",IF(J376&gt;50,"骨架成分",IF(J376&gt;=2,"重要成分","两档成分")))</x:f>
        <x:v>重要成分</x:v>
      </x:c>
      <x:c r="M376" s="1" t="n">
        <x:f>IF(NOT(ISNUMBER(J376)),"",IF(J376&gt;=2,3,2))</x:f>
        <x:v>3</x:v>
      </x:c>
      <x:c r="N376" s="1" t="str">
        <x:f>IF(NOT(ISNUMBER(J376)),"缺少可算OAV",IF(J376&gt;=2,"最大值、中位值、低值待校准","最大值、中位值"))</x:f>
        <x:v>最大值、中位值、低值待校准</x:v>
      </x:c>
      <x:c r="O376" s="1" t="str">
        <x:f>IF(NOT(ISNUMBER(J376)),"待定",IF(J376&lt;2,"不设第三档",IF(J376&lt;=5,"中位OAV≤5；低档须低于中位浓度","低档需预试确认与中档可区分")))</x:f>
        <x:v>低档需预试确认与中档可区分</x:v>
      </x:c>
    </x:row>
    <x:row r="377" ht="23" customHeight="1">
      <x:c r="A377" s="1" t="n">
        <x:f>'浓度与阈值来源'!A377</x:f>
        <x:v>372</x:v>
      </x:c>
      <x:c r="B377" s="1" t="str">
        <x:f>IF('浓度与阈值来源'!B377="","",'浓度与阈值来源'!B377)</x:f>
        <x:v>辛酸（mg·L-1）</x:v>
      </x:c>
      <x:c r="C377" s="1" t="str">
        <x:f>IF('浓度与阈值来源'!C377="","",'浓度与阈值来源'!C377)</x:f>
      </x:c>
      <x:c r="D377" s="1" t="str">
        <x:v>辛酸（Mg·L-1）</x:v>
      </x:c>
      <x:c r="E377" s="5" t="n">
        <x:f>IF('浓度与阈值来源'!D377&gt;0,'浓度与阈值来源'!D377,"")</x:f>
        <x:v>2700</x:v>
      </x:c>
      <x:c r="F377" s="6" t="n">
        <x:f>COUNT('浓度与阈值来源'!E377:DM377)</x:f>
        <x:v>2</x:v>
      </x:c>
      <x:c r="G377" s="5" t="n">
        <x:f>IF(F377=0,"",MAX('浓度与阈值来源'!E377:DM377))</x:f>
        <x:v>38.28</x:v>
      </x:c>
      <x:c r="H377" s="5" t="n">
        <x:f>IF(F377=0,"",MEDIAN('浓度与阈值来源'!E377:DM377))</x:f>
        <x:v>27.14</x:v>
      </x:c>
      <x:c r="I377" s="7" t="n">
        <x:f>IF(AND(ISNUMBER(E377),E377&gt;0,F377&gt;0),G377/E377,"")</x:f>
        <x:v>0.014177777777777779</x:v>
      </x:c>
      <x:c r="J377" s="7" t="n">
        <x:f>IF(AND(ISNUMBER(E377),E377&gt;0,F377&gt;0),H377/E377,"")</x:f>
        <x:v>0.010051851851851852</x:v>
      </x:c>
      <x:c r="K377" s="1" t="str">
        <x:f>IF(F377=0,"无浓度数据",IF(E377="","缺周表阈值","可计算"))</x:f>
        <x:v>可计算</x:v>
      </x:c>
      <x:c r="L377" s="1" t="str">
        <x:f>IF(NOT(ISNUMBER(J377)),"待定",IF(J377&gt;50,"骨架成分",IF(J377&gt;=2,"重要成分","两档成分")))</x:f>
        <x:v>两档成分</x:v>
      </x:c>
      <x:c r="M377" s="1" t="n">
        <x:f>IF(NOT(ISNUMBER(J377)),"",IF(J377&gt;=2,3,2))</x:f>
        <x:v>2</x:v>
      </x:c>
      <x:c r="N377" s="1" t="str">
        <x:f>IF(NOT(ISNUMBER(J377)),"缺少可算OAV",IF(J377&gt;=2,"最大值、中位值、低值待校准","最大值、中位值"))</x:f>
        <x:v>最大值、中位值</x:v>
      </x:c>
      <x:c r="O377" s="1" t="str">
        <x:f>IF(NOT(ISNUMBER(J377)),"待定",IF(J377&lt;2,"不设第三档",IF(J377&lt;=5,"中位OAV≤5；低档须低于中位浓度","低档需预试确认与中档可区分")))</x:f>
        <x:v>不设第三档</x:v>
      </x:c>
    </x:row>
    <x:row r="378" ht="23" customHeight="1">
      <x:c r="A378" s="1" t="n">
        <x:f>'浓度与阈值来源'!A378</x:f>
        <x:v>373</x:v>
      </x:c>
      <x:c r="B378" s="1" t="str">
        <x:f>IF('浓度与阈值来源'!B378="","",'浓度与阈值来源'!B378)</x:f>
        <x:v>（2，2-二乙氧基乙基）-苯</x:v>
      </x:c>
      <x:c r="C378" s="1" t="str">
        <x:f>IF('浓度与阈值来源'!C378="","",'浓度与阈值来源'!C378)</x:f>
      </x:c>
      <x:c r="D378" s="1" t="str">
        <x:v>（2，2-二乙氧基乙基）-苯</x:v>
      </x:c>
      <x:c r="E378" s="5" t="n">
        <x:f>IF('浓度与阈值来源'!D378&gt;0,'浓度与阈值来源'!D378,"")</x:f>
        <x:v>2706.87</x:v>
      </x:c>
      <x:c r="F378" s="6" t="n">
        <x:f>COUNT('浓度与阈值来源'!E378:DM378)</x:f>
        <x:v>4</x:v>
      </x:c>
      <x:c r="G378" s="5" t="n">
        <x:f>IF(F378=0,"",MAX('浓度与阈值来源'!E378:DM378))</x:f>
        <x:v>4.55</x:v>
      </x:c>
      <x:c r="H378" s="5" t="n">
        <x:f>IF(F378=0,"",MEDIAN('浓度与阈值来源'!E378:DM378))</x:f>
        <x:v>3.9749999999999996</x:v>
      </x:c>
      <x:c r="I378" s="7" t="n">
        <x:f>IF(AND(ISNUMBER(E378),E378&gt;0,F378&gt;0),G378/E378,"")</x:f>
        <x:v>0.0016809082076346482</x:v>
      </x:c>
      <x:c r="J378" s="7" t="n">
        <x:f>IF(AND(ISNUMBER(E378),E378&gt;0,F378&gt;0),H378/E378,"")</x:f>
        <x:v>0.0014684857418346652</x:v>
      </x:c>
      <x:c r="K378" s="1" t="str">
        <x:f>IF(F378=0,"无浓度数据",IF(E378="","缺周表阈值","可计算"))</x:f>
        <x:v>可计算</x:v>
      </x:c>
      <x:c r="L378" s="1" t="str">
        <x:f>IF(NOT(ISNUMBER(J378)),"待定",IF(J378&gt;50,"骨架成分",IF(J378&gt;=2,"重要成分","两档成分")))</x:f>
        <x:v>两档成分</x:v>
      </x:c>
      <x:c r="M378" s="1" t="n">
        <x:f>IF(NOT(ISNUMBER(J378)),"",IF(J378&gt;=2,3,2))</x:f>
        <x:v>2</x:v>
      </x:c>
      <x:c r="N378" s="1" t="str">
        <x:f>IF(NOT(ISNUMBER(J378)),"缺少可算OAV",IF(J378&gt;=2,"最大值、中位值、低值待校准","最大值、中位值"))</x:f>
        <x:v>最大值、中位值</x:v>
      </x:c>
      <x:c r="O378" s="1" t="str">
        <x:f>IF(NOT(ISNUMBER(J378)),"待定",IF(J378&lt;2,"不设第三档",IF(J378&lt;=5,"中位OAV≤5；低档须低于中位浓度","低档需预试确认与中档可区分")))</x:f>
        <x:v>不设第三档</x:v>
      </x:c>
    </x:row>
  </x:sheetData>
  <x:pageMargins left="0.7" right="0.7" top="0.75" bottom="0.75" header="0.3" footer="0.3"/>
  <x:tableParts count="1">
    <x:tablePart xmlns:r="http://schemas.openxmlformats.org/officeDocument/2006/relationships" r:id="R84cc0c22e09548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</x:cols>
  <x:sheetData>
    <x:row r="1">
      <x:c r="A1" t="str">
        <x:v>来源：noctissam/all-data；浓香型数据库.xlsx / all data；阈值取 OAV核算_周阈值.xlsx / 化合物统计，按 Order ID 对齐。</x:v>
      </x:c>
    </x:row>
    <x:row r="2">
      <x:c r="A2" t="str">
        <x:v>统计113个原始浓度列，排除文献原报告OAV列；空白忽略，真实零保留；不合并同CAS多行，不重新换算单位。</x:v>
      </x:c>
    </x:row>
    <x:row r="3">
      <x:c r="A3" t="str">
        <x:v>阈值沿用周表口径。结果用于浓度筛选，不代表不同物质等OAV具有等感官强度。2026-10-25</x:v>
      </x:c>
    </x:row>
    <x:row r="4">
      <x:c r="A4" t="str">
        <x:v>2026-10-25 用户实验分层：中位OAV&gt;50→骨架/3档；2≤中位OAV≤50→重要/3档；中位OAV&lt;2→2档（最大、中位）。属于设计规则，不是已验证的感官重要性结论。低档未直接指定阈值倍数。</x:v>
      </x:c>
    </x:row>
    <x:row r="5" ht="34" customHeight="1">
      <x:c r="A5" s="4" t="str">
        <x:v>Order ID</x:v>
      </x:c>
      <x:c r="B5" s="4" t="str">
        <x:v>中文名称</x:v>
      </x:c>
      <x:c r="C5" s="4" t="str">
        <x:v>CAS</x:v>
      </x:c>
      <x:c r="D5" s="4" t="str">
        <x:v>周表阈值(μg/L)</x:v>
      </x:c>
      <x:c r="E5" s="4" t="str">
        <x:v>1  GJ-1573 (μg/L)</x:v>
      </x:c>
      <x:c r="F5" s="4" t="str">
        <x:v>1  LZ-2016 base SAB (μg/L)</x:v>
      </x:c>
      <x:c r="G5" s="4" t="str">
        <x:v>2  Y1 (μg/L)</x:v>
      </x:c>
      <x:c r="H5" s="4" t="str">
        <x:v>2  Y3 (μg/L)</x:v>
      </x:c>
      <x:c r="I5" s="4" t="str">
        <x:v>2  Y5 (μg/L)</x:v>
      </x:c>
      <x:c r="J5" s="4" t="str">
        <x:v>2  Y8 (μg/L)</x:v>
      </x:c>
      <x:c r="K5" s="4" t="str">
        <x:v>2  Y11 (μg/L)</x:v>
      </x:c>
      <x:c r="L5" s="4" t="str">
        <x:v>3  LZLJ-M7 (μg/L)</x:v>
      </x:c>
      <x:c r="M5" s="4" t="str">
        <x:v>3  LZLJ-T7 (μg/L)</x:v>
      </x:c>
      <x:c r="N5" s="4" t="str">
        <x:v>5  Blank (μg/L)</x:v>
      </x:c>
      <x:c r="O5" s="4" t="str">
        <x:v>5  F1 (μg/L)</x:v>
      </x:c>
      <x:c r="P5" s="4" t="str">
        <x:v>5  F3 (μg/L)</x:v>
      </x:c>
      <x:c r="Q5" s="4" t="str">
        <x:v>5  S1 (μg/L)</x:v>
      </x:c>
      <x:c r="R5" s="4" t="str">
        <x:v>5  S2 (F3) (μg/L)</x:v>
      </x:c>
      <x:c r="S5" s="4" t="str">
        <x:v>5  S3 (μg/L)</x:v>
      </x:c>
      <x:c r="T5" s="4" t="str">
        <x:v>7  GJG (μg/L)</x:v>
      </x:c>
      <x:c r="U5" s="4" t="str">
        <x:v>7  LZ (μg/L)</x:v>
      </x:c>
      <x:c r="V5" s="4" t="str">
        <x:v>8  H (μg/L)</x:v>
      </x:c>
      <x:c r="W5" s="4" t="str">
        <x:v>9  1 (μg/L)</x:v>
      </x:c>
      <x:c r="X5" s="4" t="str">
        <x:v>9  2 (μg/L)</x:v>
      </x:c>
      <x:c r="Y5" s="4" t="str">
        <x:v>9  3 (μg/L)</x:v>
      </x:c>
      <x:c r="Z5" s="4" t="str">
        <x:v>9  4 (μg/L)</x:v>
      </x:c>
      <x:c r="AA5" s="4" t="str">
        <x:v>9  5 (μg/L)</x:v>
      </x:c>
      <x:c r="AB5" s="4" t="str">
        <x:v>9  6 (μg/L)</x:v>
      </x:c>
      <x:c r="AC5" s="4" t="str">
        <x:v>9  7 (μg/L)</x:v>
      </x:c>
      <x:c r="AD5" s="4" t="str">
        <x:v>9  8 (μg/L)</x:v>
      </x:c>
      <x:c r="AE5" s="4" t="str">
        <x:v>10  A (μg/L)</x:v>
      </x:c>
      <x:c r="AF5" s="4" t="str">
        <x:v>10  B (μg/L)</x:v>
      </x:c>
      <x:c r="AG5" s="4" t="str">
        <x:v>10  c (μg/L)</x:v>
      </x:c>
      <x:c r="AH5" s="4" t="str">
        <x:v>11  CJ (μg/L)</x:v>
      </x:c>
      <x:c r="AI5" s="4" t="str">
        <x:v>11  DJ (μg/L)</x:v>
      </x:c>
      <x:c r="AJ5" s="4" t="str">
        <x:v>11  LJ (μg/L)</x:v>
      </x:c>
      <x:c r="AK5" s="4" t="str">
        <x:v>12  B (μg/L)</x:v>
      </x:c>
      <x:c r="AL5" s="4" t="str">
        <x:v>12  C (μg/L)</x:v>
      </x:c>
      <x:c r="AM5" s="4" t="str">
        <x:v>14  洋河大曲 (μg/L)</x:v>
      </x:c>
      <x:c r="AN5" s="4" t="str">
        <x:v>14  牛栏山 (μg/L)</x:v>
      </x:c>
      <x:c r="AO5" s="4" t="str">
        <x:v>14  红星二锅头 (μg/L)</x:v>
      </x:c>
      <x:c r="AP5" s="4" t="str">
        <x:v>14  银装青酒 (μg/L)</x:v>
      </x:c>
      <x:c r="AQ5" s="4" t="str">
        <x:v>15  X1 (μg/L)</x:v>
      </x:c>
      <x:c r="AR5" s="4" t="str">
        <x:v>15  X3 (μg/L)</x:v>
      </x:c>
      <x:c r="AS5" s="4" t="str">
        <x:v>15  X5 (μg/L)</x:v>
      </x:c>
      <x:c r="AT5" s="4" t="str">
        <x:v>15  X8 (μg/L)</x:v>
      </x:c>
      <x:c r="AU5" s="4" t="str">
        <x:v>16  LZ/ (μg/L)</x:v>
      </x:c>
      <x:c r="AV5" s="4" t="str">
        <x:v>18  JS (μg/L)</x:v>
      </x:c>
      <x:c r="AW5" s="4" t="str">
        <x:v>18  SC1 (μg/L)</x:v>
      </x:c>
      <x:c r="AX5" s="4" t="str">
        <x:v>18  SC2 (μg/L)</x:v>
      </x:c>
      <x:c r="AY5" s="4" t="str">
        <x:v>18  SC3 (μg/L)</x:v>
      </x:c>
      <x:c r="AZ5" s="4" t="str">
        <x:v>19  3 年陈 (μg/L)</x:v>
      </x:c>
      <x:c r="BA5" s="4" t="str">
        <x:v>19  5 年陈 (μg/L)</x:v>
      </x:c>
      <x:c r="BB5" s="4" t="str">
        <x:v>20  GJG (μg/L)</x:v>
      </x:c>
      <x:c r="BC5" s="4" t="str">
        <x:v>20  GRD-1 (μg/L)</x:v>
      </x:c>
      <x:c r="BD5" s="4" t="str">
        <x:v>20  GRD-2 (μg/L)</x:v>
      </x:c>
      <x:c r="BE5" s="4" t="str">
        <x:v>20  GRD-JC (μg/L)</x:v>
      </x:c>
      <x:c r="BF5" s="4" t="str">
        <x:v>20  GRD-PD (μg/L)</x:v>
      </x:c>
      <x:c r="BG5" s="4" t="str">
        <x:v>20  JPLG (μg/L)</x:v>
      </x:c>
      <x:c r="BH5" s="4" t="str">
        <x:v>20  JSY (μg/L)</x:v>
      </x:c>
      <x:c r="BI5" s="4" t="str">
        <x:v>20  LGTQ (μg/L)</x:v>
      </x:c>
      <x:c r="BJ5" s="4" t="str">
        <x:v>20  LZLJ (μg/L)</x:v>
      </x:c>
      <x:c r="BK5" s="4" t="str">
        <x:v>20  TJ-1S (μg/L)</x:v>
      </x:c>
      <x:c r="BL5" s="4" t="str">
        <x:v>20  TJ-2S (μg/L)</x:v>
      </x:c>
      <x:c r="BM5" s="4" t="str">
        <x:v>20  TJ-4S (μg/L)</x:v>
      </x:c>
      <x:c r="BN5" s="4" t="str">
        <x:v>20  TT-2S (μg/L)</x:v>
      </x:c>
      <x:c r="BO5" s="4" t="str">
        <x:v>20  TT-4S (μg/L)</x:v>
      </x:c>
      <x:c r="BP5" s="4" t="str">
        <x:v>20  WLY (μg/L)</x:v>
      </x:c>
      <x:c r="BQ5" s="4" t="str">
        <x:v>22  NX2 (μg/L)</x:v>
      </x:c>
      <x:c r="BR5" s="4" t="str">
        <x:v>22  NX3 (μg/L)</x:v>
      </x:c>
      <x:c r="BS5" s="4" t="str">
        <x:v>22  NX4 (μg/L)</x:v>
      </x:c>
      <x:c r="BT5" s="4" t="str">
        <x:v>22  NX5 (μg/L)</x:v>
      </x:c>
      <x:c r="BU5" s="4" t="str">
        <x:v>22  NX6 (μg/L)</x:v>
      </x:c>
      <x:c r="BV5" s="4" t="str">
        <x:v>22  NX7 (μg/L)</x:v>
      </x:c>
      <x:c r="BW5" s="4" t="str">
        <x:v>22  NX8 (μg/L)</x:v>
      </x:c>
      <x:c r="BX5" s="4" t="str">
        <x:v>22  NX9 (μg/L)</x:v>
      </x:c>
      <x:c r="BY5" s="4" t="str">
        <x:v>22  NX10 (μg/L)</x:v>
      </x:c>
      <x:c r="BZ5" s="4" t="str">
        <x:v>23  n-c-1 (μg/L)</x:v>
      </x:c>
      <x:c r="CA5" s="4" t="str">
        <x:v>23  n-c-2 (μg/L)</x:v>
      </x:c>
      <x:c r="CB5" s="4" t="str">
        <x:v>23  n-d-1994 (μg/L)</x:v>
      </x:c>
      <x:c r="CC5" s="4" t="str">
        <x:v>23  n-d-1997 (μg/L)</x:v>
      </x:c>
      <x:c r="CD5" s="4" t="str">
        <x:v>23  n-d-2000 (μg/L)</x:v>
      </x:c>
      <x:c r="CE5" s="4" t="str">
        <x:v>23  n-d-2007 (μg/L)</x:v>
      </x:c>
      <x:c r="CF5" s="4" t="str">
        <x:v>23  n-d-2011 (μg/L)</x:v>
      </x:c>
      <x:c r="CG5" s="4" t="str">
        <x:v>23  n-g-1 (μg/L)</x:v>
      </x:c>
      <x:c r="CH5" s="4" t="str">
        <x:v>23  n-g-2 (μg/L)</x:v>
      </x:c>
      <x:c r="CI5" s="4" t="str">
        <x:v>23  n-s-2004 (μg/L)</x:v>
      </x:c>
      <x:c r="CJ5" s="4" t="str">
        <x:v>23  n-s-2009 (μg/L)</x:v>
      </x:c>
      <x:c r="CK5" s="4" t="str">
        <x:v>23  n-s-2010 (μg/L)</x:v>
      </x:c>
      <x:c r="CL5" s="4" t="str">
        <x:v>23  n-s-2012 (μg/L)</x:v>
      </x:c>
      <x:c r="CM5" s="4" t="str">
        <x:v>23  浓香型酒 (μg/L)</x:v>
      </x:c>
      <x:c r="CN5" s="4" t="str">
        <x:v>24  41% TZL (μg/L)</x:v>
      </x:c>
      <x:c r="CO5" s="4" t="str">
        <x:v>24  42.6% MZL (μg/L)</x:v>
      </x:c>
      <x:c r="CP5" s="4" t="str">
        <x:v>24  46% TZL (μg/L)</x:v>
      </x:c>
      <x:c r="CQ5" s="4" t="str">
        <x:v>24  52% TZL (μg/L)</x:v>
      </x:c>
      <x:c r="CR5" s="4" t="str">
        <x:v>25  天之蓝-1 (μg/L)</x:v>
      </x:c>
      <x:c r="CS5" s="4" t="str">
        <x:v>25  天之蓝-2 (μg/L)</x:v>
      </x:c>
      <x:c r="CT5" s="4" t="str">
        <x:v>26  微涩组 (μg/L)</x:v>
      </x:c>
      <x:c r="CU5" s="4" t="str">
        <x:v>26  涩味组 (μg/L)</x:v>
      </x:c>
      <x:c r="CV5" s="4" t="str">
        <x:v>26  苦味组 (μg/L)</x:v>
      </x:c>
      <x:c r="CW5" s="4" t="str">
        <x:v>26  较涩组 (μg/L)</x:v>
      </x:c>
      <x:c r="CX5" s="4" t="str">
        <x:v>27  A-G1-L (μg/L)</x:v>
      </x:c>
      <x:c r="CY5" s="4" t="str">
        <x:v>27  A-GJG-H (μg/L)</x:v>
      </x:c>
      <x:c r="CZ5" s="4" t="str">
        <x:v>27  G-J1-H (μg/L)</x:v>
      </x:c>
      <x:c r="DA5" s="4" t="str">
        <x:v>27  G-J1-L (μg/L)</x:v>
      </x:c>
      <x:c r="DB5" s="4" t="str">
        <x:v>27  J-Y1-H (μg/L)</x:v>
      </x:c>
      <x:c r="DC5" s="4" t="str">
        <x:v>27  J-Y1-L (μg/L)</x:v>
      </x:c>
      <x:c r="DD5" s="4" t="str">
        <x:v>27  S-L1-H (μg/L)</x:v>
      </x:c>
      <x:c r="DE5" s="4" t="str">
        <x:v>27  S-L1-L (μg/L)</x:v>
      </x:c>
      <x:c r="DF5" s="4" t="str">
        <x:v>27  S-Y2-H (μg/L)</x:v>
      </x:c>
      <x:c r="DG5" s="4" t="str">
        <x:v>27  S-Y2-L (μg/L)</x:v>
      </x:c>
      <x:c r="DH5" s="4" t="str">
        <x:v>27  S-Y3-H (μg/L)</x:v>
      </x:c>
      <x:c r="DI5" s="4" t="str">
        <x:v>27  S-Y3-L (μg/L)</x:v>
      </x:c>
      <x:c r="DJ5" s="4" t="str">
        <x:v>27  S-Y4-H (μg/L)</x:v>
      </x:c>
      <x:c r="DK5" s="4" t="str">
        <x:v>27  S-Y4-L (μg/L)</x:v>
      </x:c>
      <x:c r="DL5" s="4" t="str">
        <x:v>27  S-Y5-H (μg/L)</x:v>
      </x:c>
      <x:c r="DM5" s="4" t="str">
        <x:v>27  S-Y5-L (μg/L)</x:v>
      </x:c>
    </x:row>
    <x:row r="6" ht="23" customHeight="1">
      <x:c r="A6" s="1" t="n">
        <x:v>1</x:v>
      </x:c>
      <x:c r="B6" s="1" t="str">
        <x:v>乳酸a</x:v>
      </x:c>
      <x:c r="C6" s="1" t="str">
        <x:v>50-21-5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 t="n">
        <x:v>1066.93</x:v>
      </x:c>
      <x:c r="BC6" s="1"/>
      <x:c r="BD6" s="1" t="n">
        <x:v>555.62</x:v>
      </x:c>
      <x:c r="BE6" s="1" t="n">
        <x:v>1013</x:v>
      </x:c>
      <x:c r="BF6" s="1" t="n">
        <x:v>721.31</x:v>
      </x:c>
      <x:c r="BG6" s="1" t="n">
        <x:v>617.32</x:v>
      </x:c>
      <x:c r="BH6" s="1" t="n">
        <x:v>1186</x:v>
      </x:c>
      <x:c r="BI6" s="1" t="n">
        <x:v>665.3</x:v>
      </x:c>
      <x:c r="BJ6" s="1" t="n">
        <x:v>691.94</x:v>
      </x:c>
      <x:c r="BK6" s="1" t="n">
        <x:v>544.31</x:v>
      </x:c>
      <x:c r="BL6" s="1" t="n">
        <x:v>297.49</x:v>
      </x:c>
      <x:c r="BM6" s="1" t="n">
        <x:v>337.52</x:v>
      </x:c>
      <x:c r="BN6" s="1" t="n">
        <x:v>180.22</x:v>
      </x:c>
      <x:c r="BO6" s="1" t="n">
        <x:v>248.23</x:v>
      </x:c>
      <x:c r="BP6" s="1" t="n">
        <x:v>936.92</x:v>
      </x:c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</x:row>
    <x:row r="7" ht="23" customHeight="1">
      <x:c r="A7" s="1" t="n">
        <x:v>2</x:v>
      </x:c>
      <x:c r="B7" s="1" t="str">
        <x:v>丙二醇</x:v>
      </x:c>
      <x:c r="C7" s="1" t="str">
        <x:v>57-55-6</x:v>
      </x:c>
      <x:c r="D7" s="1"/>
      <x:c r="E7" s="1"/>
      <x:c r="F7" s="1"/>
      <x:c r="G7" s="1" t="n">
        <x:v>6.06</x:v>
      </x:c>
      <x:c r="H7" s="1" t="n">
        <x:v>2.96</x:v>
      </x:c>
      <x:c r="I7" s="1"/>
      <x:c r="J7" s="1" t="n">
        <x:v>0.63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 t="n">
        <x:v>25330</x:v>
      </x:c>
      <x:c r="AH7" s="1"/>
      <x:c r="AI7" s="1"/>
      <x:c r="AJ7" s="1"/>
      <x:c r="AK7" s="1"/>
      <x:c r="AL7" s="1"/>
      <x:c r="AM7" s="1"/>
      <x:c r="AN7" s="1"/>
      <x:c r="AO7" s="1"/>
      <x:c r="AP7" s="1"/>
      <x:c r="AQ7" s="1" t="n">
        <x:v>2.8</x:v>
      </x:c>
      <x:c r="AR7" s="1" t="n">
        <x:v>3.93</x:v>
      </x:c>
      <x:c r="AS7" s="1" t="n">
        <x:v>6.28</x:v>
      </x:c>
      <x:c r="AT7" s="1" t="n">
        <x:v>6.67</x:v>
      </x:c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</x:row>
    <x:row r="8" ht="23" customHeight="1">
      <x:c r="A8" s="1" t="n">
        <x:v>3</x:v>
      </x:c>
      <x:c r="B8" s="1" t="str">
        <x:v>2-苯乙醇</x:v>
      </x:c>
      <x:c r="C8" s="1" t="str">
        <x:v>60-12-8</x:v>
      </x:c>
      <x:c r="D8" s="1" t="n">
        <x:v>28900</x:v>
      </x:c>
      <x:c r="E8" s="1" t="n">
        <x:v>1342</x:v>
      </x:c>
      <x:c r="F8" s="1" t="n">
        <x:v>1808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 t="n">
        <x:v>1.9375</x:v>
      </x:c>
      <x:c r="W8" s="1" t="n">
        <x:v>6490</x:v>
      </x:c>
      <x:c r="X8" s="1" t="n">
        <x:v>2910</x:v>
      </x:c>
      <x:c r="Y8" s="1" t="n">
        <x:v>5460</x:v>
      </x:c>
      <x:c r="Z8" s="1" t="n">
        <x:v>7430</x:v>
      </x:c>
      <x:c r="AA8" s="1" t="n">
        <x:v>11200</x:v>
      </x:c>
      <x:c r="AB8" s="1" t="n">
        <x:v>18000</x:v>
      </x:c>
      <x:c r="AC8" s="1" t="n">
        <x:v>21600</x:v>
      </x:c>
      <x:c r="AD8" s="1" t="n">
        <x:v>29500</x:v>
      </x:c>
      <x:c r="AE8" s="1" t="n">
        <x:v>1440</x:v>
      </x:c>
      <x:c r="AF8" s="1" t="n">
        <x:v>3380</x:v>
      </x:c>
      <x:c r="AG8" s="1" t="n">
        <x:v>1560</x:v>
      </x:c>
      <x:c r="AH8" s="1" t="n">
        <x:v>10</x:v>
      </x:c>
      <x:c r="AI8" s="1" t="n">
        <x:v>1.2</x:v>
      </x:c>
      <x:c r="AJ8" s="1" t="n">
        <x:v>52.5</x:v>
      </x:c>
      <x:c r="AK8" s="1" t="n">
        <x:v>2200</x:v>
      </x:c>
      <x:c r="AL8" s="1" t="n">
        <x:v>3370</x:v>
      </x:c>
      <x:c r="AM8" s="1"/>
      <x:c r="AN8" s="1"/>
      <x:c r="AO8" s="1"/>
      <x:c r="AP8" s="1"/>
      <x:c r="AQ8" s="1" t="n">
        <x:v>0.77</x:v>
      </x:c>
      <x:c r="AR8" s="1" t="n">
        <x:v>2.49</x:v>
      </x:c>
      <x:c r="AS8" s="1" t="n">
        <x:v>6.26</x:v>
      </x:c>
      <x:c r="AT8" s="1" t="n">
        <x:v>5.25</x:v>
      </x:c>
      <x:c r="AU8" s="1"/>
      <x:c r="AV8" s="1"/>
      <x:c r="AW8" s="1"/>
      <x:c r="AX8" s="1"/>
      <x:c r="AY8" s="1"/>
      <x:c r="AZ8" s="1" t="n">
        <x:v>141</x:v>
      </x:c>
      <x:c r="BA8" s="1" t="n">
        <x:v>371</x:v>
      </x:c>
      <x:c r="BB8" s="1"/>
      <x:c r="BC8" s="1"/>
      <x:c r="BD8" s="1" t="n">
        <x:v>8.14</x:v>
      </x:c>
      <x:c r="BE8" s="1" t="n">
        <x:v>15.23</x:v>
      </x:c>
      <x:c r="BF8" s="1" t="n">
        <x:v>17.71</x:v>
      </x:c>
      <x:c r="BG8" s="1" t="n">
        <x:v>6.04</x:v>
      </x:c>
      <x:c r="BH8" s="1"/>
      <x:c r="BI8" s="1" t="n">
        <x:v>6.33</x:v>
      </x:c>
      <x:c r="BJ8" s="1"/>
      <x:c r="BK8" s="1" t="n">
        <x:v>30.2</x:v>
      </x:c>
      <x:c r="BL8" s="1" t="n">
        <x:v>25.51</x:v>
      </x:c>
      <x:c r="BM8" s="1" t="n">
        <x:v>30.83</x:v>
      </x:c>
      <x:c r="BN8" s="1" t="n">
        <x:v>19.43</x:v>
      </x:c>
      <x:c r="BO8" s="1" t="n">
        <x:v>28.79</x:v>
      </x:c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 t="n">
        <x:v>87.635</x:v>
      </x:c>
      <x:c r="CA8" s="1" t="n">
        <x:v>57.23</x:v>
      </x:c>
      <x:c r="CB8" s="1" t="n">
        <x:v>623.42</x:v>
      </x:c>
      <x:c r="CC8" s="1" t="n">
        <x:v>342.33</x:v>
      </x:c>
      <x:c r="CD8" s="1" t="n">
        <x:v>780.41</x:v>
      </x:c>
      <x:c r="CE8" s="1" t="n">
        <x:v>510.3</x:v>
      </x:c>
      <x:c r="CF8" s="1" t="n">
        <x:v>214.65</x:v>
      </x:c>
      <x:c r="CG8" s="1" t="n">
        <x:v>274.58</x:v>
      </x:c>
      <x:c r="CH8" s="1" t="n">
        <x:v>255.49</x:v>
      </x:c>
      <x:c r="CI8" s="1" t="n">
        <x:v>419.58</x:v>
      </x:c>
      <x:c r="CJ8" s="1" t="n">
        <x:v>477.43</x:v>
      </x:c>
      <x:c r="CK8" s="1" t="n">
        <x:v>416.47</x:v>
      </x:c>
      <x:c r="CL8" s="1" t="n">
        <x:v>255.57</x:v>
      </x:c>
      <x:c r="CM8" s="1" t="n">
        <x:v>365.87</x:v>
      </x:c>
      <x:c r="CN8" s="1"/>
      <x:c r="CO8" s="1"/>
      <x:c r="CP8" s="1"/>
      <x:c r="CQ8" s="1"/>
      <x:c r="CR8" s="1" t="n">
        <x:v>555.66</x:v>
      </x:c>
      <x:c r="CS8" s="1" t="n">
        <x:v>664.39</x:v>
      </x:c>
      <x:c r="CT8" s="1" t="n">
        <x:v>117.37</x:v>
      </x:c>
      <x:c r="CU8" s="1" t="n">
        <x:v>245.53</x:v>
      </x:c>
      <x:c r="CV8" s="1" t="n">
        <x:v>133.65</x:v>
      </x:c>
      <x:c r="CW8" s="1" t="n">
        <x:v>139.24</x:v>
      </x:c>
      <x:c r="CX8" s="1" t="n">
        <x:v>129.73</x:v>
      </x:c>
      <x:c r="CY8" s="1" t="n">
        <x:v>1488.28</x:v>
      </x:c>
      <x:c r="CZ8" s="1" t="n">
        <x:v>1401.07</x:v>
      </x:c>
      <x:c r="DA8" s="1"/>
      <x:c r="DB8" s="1" t="n">
        <x:v>878.77</x:v>
      </x:c>
      <x:c r="DC8" s="1"/>
      <x:c r="DD8" s="1" t="n">
        <x:v>1791.18</x:v>
      </x:c>
      <x:c r="DE8" s="1" t="n">
        <x:v>233.42</x:v>
      </x:c>
      <x:c r="DF8" s="1" t="n">
        <x:v>318.57</x:v>
      </x:c>
      <x:c r="DG8" s="1" t="n">
        <x:v>212.28</x:v>
      </x:c>
      <x:c r="DH8" s="1" t="n">
        <x:v>582.37</x:v>
      </x:c>
      <x:c r="DI8" s="1" t="n">
        <x:v>28.11</x:v>
      </x:c>
      <x:c r="DJ8" s="1" t="n">
        <x:v>294.84</x:v>
      </x:c>
      <x:c r="DK8" s="1" t="n">
        <x:v>108.78</x:v>
      </x:c>
      <x:c r="DL8" s="1" t="n">
        <x:v>1013</x:v>
      </x:c>
      <x:c r="DM8" s="1" t="n">
        <x:v>90.54</x:v>
      </x:c>
    </x:row>
    <x:row r="9" ht="23" customHeight="1">
      <x:c r="A9" s="1" t="n">
        <x:v>4</x:v>
      </x:c>
      <x:c r="B9" s="1"/>
      <x:c r="C9" s="1" t="str">
        <x:v>64-18-6</x:v>
      </x:c>
      <x:c r="D9" s="1"/>
      <x:c r="E9" s="1"/>
      <x:c r="F9" s="1"/>
      <x:c r="G9" s="1" t="n">
        <x:v>59.4</x:v>
      </x:c>
      <x:c r="H9" s="1" t="n">
        <x:v>48.64</x:v>
      </x:c>
      <x:c r="I9" s="1"/>
      <x:c r="J9" s="1" t="n">
        <x:v>428.09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  <x:c r="DE9" s="1"/>
      <x:c r="DF9" s="1"/>
      <x:c r="DG9" s="1"/>
      <x:c r="DH9" s="1"/>
      <x:c r="DI9" s="1"/>
      <x:c r="DJ9" s="1"/>
      <x:c r="DK9" s="1"/>
      <x:c r="DL9" s="1"/>
      <x:c r="DM9" s="1"/>
    </x:row>
    <x:row r="10" ht="23" customHeight="1">
      <x:c r="A10" s="1" t="n">
        <x:v>5</x:v>
      </x:c>
      <x:c r="B10" s="1" t="str">
        <x:v>乙酸</x:v>
      </x:c>
      <x:c r="C10" s="1" t="str">
        <x:v>64-19-7</x:v>
      </x:c>
      <x:c r="D10" s="1" t="n">
        <x:v>160000</x:v>
      </x:c>
      <x:c r="E10" s="1" t="n">
        <x:v>342535</x:v>
      </x:c>
      <x:c r="F10" s="1" t="n">
        <x:v>732061</x:v>
      </x:c>
      <x:c r="G10" s="1" t="n">
        <x:v>9.16</x:v>
      </x:c>
      <x:c r="H10" s="1" t="n">
        <x:v>5.3</x:v>
      </x:c>
      <x:c r="I10" s="1" t="n">
        <x:v>15</x:v>
      </x:c>
      <x:c r="J10" s="1" t="n">
        <x:v>9.66</x:v>
      </x:c>
      <x:c r="K10" s="1" t="n">
        <x:v>3.11</x:v>
      </x:c>
      <x:c r="L10" s="1"/>
      <x:c r="M10" s="1"/>
      <x:c r="N10" s="1" t="n">
        <x:v>1933</x:v>
      </x:c>
      <x:c r="O10" s="1" t="n">
        <x:v>3158</x:v>
      </x:c>
      <x:c r="P10" s="1" t="n">
        <x:v>3980</x:v>
      </x:c>
      <x:c r="Q10" s="1" t="n">
        <x:v>2783</x:v>
      </x:c>
      <x:c r="R10" s="1" t="n">
        <x:v>3118</x:v>
      </x:c>
      <x:c r="S10" s="1" t="n">
        <x:v>2759</x:v>
      </x:c>
      <x:c r="T10" s="1" t="n">
        <x:v>3</x:v>
      </x:c>
      <x:c r="U10" s="1" t="n">
        <x:v>3</x:v>
      </x:c>
      <x:c r="V10" s="1"/>
      <x:c r="W10" s="1" t="n">
        <x:v>17200</x:v>
      </x:c>
      <x:c r="X10" s="1" t="n">
        <x:v>7910</x:v>
      </x:c>
      <x:c r="Y10" s="1" t="n">
        <x:v>11200</x:v>
      </x:c>
      <x:c r="Z10" s="1" t="n">
        <x:v>5670</x:v>
      </x:c>
      <x:c r="AA10" s="1" t="n">
        <x:v>12200</x:v>
      </x:c>
      <x:c r="AB10" s="1" t="n">
        <x:v>5550</x:v>
      </x:c>
      <x:c r="AC10" s="1" t="n">
        <x:v>10900</x:v>
      </x:c>
      <x:c r="AD10" s="1" t="n">
        <x:v>1030</x:v>
      </x:c>
      <x:c r="AE10" s="1" t="n">
        <x:v>121650</x:v>
      </x:c>
      <x:c r="AF10" s="1" t="n">
        <x:v>133470</x:v>
      </x:c>
      <x:c r="AG10" s="1" t="n">
        <x:v>183145</x:v>
      </x:c>
      <x:c r="AH10" s="1" t="n">
        <x:v>49180</x:v>
      </x:c>
      <x:c r="AI10" s="1" t="n">
        <x:v>25340</x:v>
      </x:c>
      <x:c r="AJ10" s="1" t="n">
        <x:v>42350</x:v>
      </x:c>
      <x:c r="AK10" s="1" t="n">
        <x:v>1800500</x:v>
      </x:c>
      <x:c r="AL10" s="1" t="n">
        <x:v>1043220</x:v>
      </x:c>
      <x:c r="AM10" s="1"/>
      <x:c r="AN10" s="1"/>
      <x:c r="AO10" s="1"/>
      <x:c r="AP10" s="1"/>
      <x:c r="AQ10" s="1" t="n">
        <x:v>464.76</x:v>
      </x:c>
      <x:c r="AR10" s="1" t="n">
        <x:v>336.33</x:v>
      </x:c>
      <x:c r="AS10" s="1" t="n">
        <x:v>449.18</x:v>
      </x:c>
      <x:c r="AT10" s="1" t="n">
        <x:v>472.89</x:v>
      </x:c>
      <x:c r="AU10" s="1" t="n">
        <x:v>1.14</x:v>
      </x:c>
      <x:c r="AV10" s="1" t="n">
        <x:v>301402</x:v>
      </x:c>
      <x:c r="AW10" s="1" t="n">
        <x:v>2</x:v>
      </x:c>
      <x:c r="AX10" s="1" t="n">
        <x:v>265651.5</x:v>
      </x:c>
      <x:c r="AY10" s="1" t="n">
        <x:v>331000</x:v>
      </x:c>
      <x:c r="AZ10" s="1"/>
      <x:c r="BA10" s="1"/>
      <x:c r="BB10" s="1" t="n">
        <x:v>666.52</x:v>
      </x:c>
      <x:c r="BC10" s="1"/>
      <x:c r="BD10" s="1" t="n">
        <x:v>685.45</x:v>
      </x:c>
      <x:c r="BE10" s="1" t="n">
        <x:v>936.42</x:v>
      </x:c>
      <x:c r="BF10" s="1" t="n">
        <x:v>869.21</x:v>
      </x:c>
      <x:c r="BG10" s="1" t="n">
        <x:v>844.82</x:v>
      </x:c>
      <x:c r="BH10" s="1" t="n">
        <x:v>486.89</x:v>
      </x:c>
      <x:c r="BI10" s="1" t="n">
        <x:v>879.21</x:v>
      </x:c>
      <x:c r="BJ10" s="1" t="n">
        <x:v>888.62</x:v>
      </x:c>
      <x:c r="BK10" s="1" t="n">
        <x:v>1020.94</x:v>
      </x:c>
      <x:c r="BL10" s="1" t="n">
        <x:v>1188.15</x:v>
      </x:c>
      <x:c r="BM10" s="1" t="n">
        <x:v>1031</x:v>
      </x:c>
      <x:c r="BN10" s="1" t="n">
        <x:v>886.91</x:v>
      </x:c>
      <x:c r="BO10" s="1" t="n">
        <x:v>1066.12</x:v>
      </x:c>
      <x:c r="BP10" s="1" t="n">
        <x:v>370.91</x:v>
      </x:c>
      <x:c r="BQ10" s="1" t="n">
        <x:v>776100</x:v>
      </x:c>
      <x:c r="BR10" s="1" t="n">
        <x:v>775800</x:v>
      </x:c>
      <x:c r="BS10" s="1" t="n">
        <x:v>452600</x:v>
      </x:c>
      <x:c r="BT10" s="1" t="n">
        <x:v>616100</x:v>
      </x:c>
      <x:c r="BU10" s="1" t="n">
        <x:v>874500</x:v>
      </x:c>
      <x:c r="BV10" s="1" t="n">
        <x:v>301100</x:v>
      </x:c>
      <x:c r="BW10" s="1" t="n">
        <x:v>371900</x:v>
      </x:c>
      <x:c r="BX10" s="1" t="n">
        <x:v>795300</x:v>
      </x:c>
      <x:c r="BY10" s="1" t="n">
        <x:v>371900</x:v>
      </x:c>
      <x:c r="BZ10" s="1" t="n">
        <x:v>74.875</x:v>
      </x:c>
      <x:c r="CA10" s="1" t="n">
        <x:v>88.72</x:v>
      </x:c>
      <x:c r="CB10" s="1" t="n">
        <x:v>321.92</x:v>
      </x:c>
      <x:c r="CC10" s="1" t="n">
        <x:v>616.34</x:v>
      </x:c>
      <x:c r="CD10" s="1" t="n">
        <x:v>498.85</x:v>
      </x:c>
      <x:c r="CE10" s="1" t="n">
        <x:v>648.34</x:v>
      </x:c>
      <x:c r="CF10" s="1" t="n">
        <x:v>198.14</x:v>
      </x:c>
      <x:c r="CG10" s="1" t="n">
        <x:v>152.84</x:v>
      </x:c>
      <x:c r="CH10" s="1" t="n">
        <x:v>164.64</x:v>
      </x:c>
      <x:c r="CI10" s="1" t="n">
        <x:v>431.9</x:v>
      </x:c>
      <x:c r="CJ10" s="1" t="n">
        <x:v>432.38</x:v>
      </x:c>
      <x:c r="CK10" s="1" t="n">
        <x:v>286.23</x:v>
      </x:c>
      <x:c r="CL10" s="1" t="n">
        <x:v>518.74</x:v>
      </x:c>
      <x:c r="CM10" s="1" t="n">
        <x:v>338.49</x:v>
      </x:c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 t="n">
        <x:v>312512.48</x:v>
      </x:c>
      <x:c r="CY10" s="1" t="n">
        <x:v>1357405.5</x:v>
      </x:c>
      <x:c r="CZ10" s="1" t="n">
        <x:v>1447391.25</x:v>
      </x:c>
      <x:c r="DA10" s="1" t="n">
        <x:v>290313.62</x:v>
      </x:c>
      <x:c r="DB10" s="1" t="n">
        <x:v>701347.95</x:v>
      </x:c>
      <x:c r="DC10" s="1" t="n">
        <x:v>293844.46</x:v>
      </x:c>
      <x:c r="DD10" s="1" t="n">
        <x:v>1368236.97</x:v>
      </x:c>
      <x:c r="DE10" s="1" t="n">
        <x:v>299435.78</x:v>
      </x:c>
      <x:c r="DF10" s="1" t="n">
        <x:v>302788.42</x:v>
      </x:c>
      <x:c r="DG10" s="1" t="n">
        <x:v>278156.86</x:v>
      </x:c>
      <x:c r="DH10" s="1" t="n">
        <x:v>411817.02</x:v>
      </x:c>
      <x:c r="DI10" s="1" t="n">
        <x:v>264721.43</x:v>
      </x:c>
      <x:c r="DJ10" s="1" t="n">
        <x:v>457468.53</x:v>
      </x:c>
      <x:c r="DK10" s="1" t="n">
        <x:v>270408.03</x:v>
      </x:c>
      <x:c r="DL10" s="1" t="n">
        <x:v>1364925.31</x:v>
      </x:c>
      <x:c r="DM10" s="1" t="n">
        <x:v>143377.31</x:v>
      </x:c>
    </x:row>
    <x:row r="11" ht="23" customHeight="1">
      <x:c r="A11" s="1" t="n">
        <x:v>6</x:v>
      </x:c>
      <x:c r="B11" s="1"/>
      <x:c r="C11" s="1" t="str">
        <x:v>66-13-6</x:v>
      </x:c>
      <x:c r="D11" s="1"/>
      <x:c r="E11" s="1"/>
      <x:c r="F11" s="1"/>
      <x:c r="G11" s="1"/>
      <x:c r="H11" s="1" t="n">
        <x:v>141.28</x:v>
      </x:c>
      <x:c r="I11" s="1" t="n">
        <x:v>1.89</x:v>
      </x:c>
      <x:c r="J11" s="1" t="n">
        <x:v>4.1</x:v>
      </x:c>
      <x:c r="K11" s="1" t="n">
        <x:v>1.46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  <x:c r="DE11" s="1"/>
      <x:c r="DF11" s="1"/>
      <x:c r="DG11" s="1"/>
      <x:c r="DH11" s="1"/>
      <x:c r="DI11" s="1"/>
      <x:c r="DJ11" s="1"/>
      <x:c r="DK11" s="1"/>
      <x:c r="DL11" s="1"/>
      <x:c r="DM11" s="1"/>
    </x:row>
    <x:row r="12" ht="23" customHeight="1">
      <x:c r="A12" s="1" t="n">
        <x:v>7</x:v>
      </x:c>
      <x:c r="B12" s="1" t="str">
        <x:v>己醛</x:v>
      </x:c>
      <x:c r="C12" s="1" t="str">
        <x:v>66-25-1</x:v>
      </x:c>
      <x:c r="D12" s="1" t="n">
        <x:v>25.5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 t="n">
        <x:v>213.1333</x:v>
      </x:c>
      <x:c r="CA12" s="1" t="n">
        <x:v>303.64</x:v>
      </x:c>
      <x:c r="CB12" s="1" t="n">
        <x:v>2323.28</x:v>
      </x:c>
      <x:c r="CC12" s="1" t="n">
        <x:v>553.57</x:v>
      </x:c>
      <x:c r="CD12" s="1" t="n">
        <x:v>2091.54</x:v>
      </x:c>
      <x:c r="CE12" s="1" t="n">
        <x:v>722.58</x:v>
      </x:c>
      <x:c r="CF12" s="1" t="n">
        <x:v>722.99</x:v>
      </x:c>
      <x:c r="CG12" s="1" t="n">
        <x:v>1024.86</x:v>
      </x:c>
      <x:c r="CH12" s="1" t="n">
        <x:v>695.78</x:v>
      </x:c>
      <x:c r="CI12" s="1" t="n">
        <x:v>983.86</x:v>
      </x:c>
      <x:c r="CJ12" s="1" t="n">
        <x:v>1136.03</x:v>
      </x:c>
      <x:c r="CK12" s="1" t="n">
        <x:v>1498.12</x:v>
      </x:c>
      <x:c r="CL12" s="1" t="n">
        <x:v>1030.51</x:v>
      </x:c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 t="n">
        <x:v>257.15</x:v>
      </x:c>
      <x:c r="CY12" s="1" t="n">
        <x:v>788.69</x:v>
      </x:c>
      <x:c r="CZ12" s="1" t="n">
        <x:v>696.4</x:v>
      </x:c>
      <x:c r="DA12" s="1" t="n">
        <x:v>257.52</x:v>
      </x:c>
      <x:c r="DB12" s="1" t="n">
        <x:v>1352.61</x:v>
      </x:c>
      <x:c r="DC12" s="1" t="n">
        <x:v>173</x:v>
      </x:c>
      <x:c r="DD12" s="1" t="n">
        <x:v>806.29</x:v>
      </x:c>
      <x:c r="DE12" s="1" t="n">
        <x:v>184.61</x:v>
      </x:c>
      <x:c r="DF12" s="1" t="n">
        <x:v>1048.28</x:v>
      </x:c>
      <x:c r="DG12" s="1" t="n">
        <x:v>564.13</x:v>
      </x:c>
      <x:c r="DH12" s="1" t="n">
        <x:v>1361</x:v>
      </x:c>
      <x:c r="DI12" s="1" t="n">
        <x:v>453.91</x:v>
      </x:c>
      <x:c r="DJ12" s="1" t="n">
        <x:v>1386.26</x:v>
      </x:c>
      <x:c r="DK12" s="1" t="n">
        <x:v>417.42</x:v>
      </x:c>
      <x:c r="DL12" s="1" t="n">
        <x:v>3075.94</x:v>
      </x:c>
      <x:c r="DM12" s="1" t="n">
        <x:v>828.91</x:v>
      </x:c>
    </x:row>
    <x:row r="13" ht="23" customHeight="1">
      <x:c r="A13" s="1" t="n">
        <x:v>8</x:v>
      </x:c>
      <x:c r="B13" s="1" t="str">
        <x:v>甲醇</x:v>
      </x:c>
      <x:c r="C13" s="1" t="str">
        <x:v>67-56-1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 t="n">
        <x:v>3900</x:v>
      </x:c>
      <x:c r="AI13" s="1" t="n">
        <x:v>10540</x:v>
      </x:c>
      <x:c r="AJ13" s="1" t="n">
        <x:v>15450</x:v>
      </x:c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 t="n">
        <x:v>50900</x:v>
      </x:c>
      <x:c r="AW13" s="1"/>
      <x:c r="AX13" s="1" t="n">
        <x:v>91400</x:v>
      </x:c>
      <x:c r="AY13" s="1" t="n">
        <x:v>67000</x:v>
      </x:c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 t="n">
        <x:v>106900</x:v>
      </x:c>
      <x:c r="BR13" s="1" t="n">
        <x:v>350900</x:v>
      </x:c>
      <x:c r="BS13" s="1" t="n">
        <x:v>310800</x:v>
      </x:c>
      <x:c r="BT13" s="1" t="n">
        <x:v>295600</x:v>
      </x:c>
      <x:c r="BU13" s="1" t="n">
        <x:v>222600</x:v>
      </x:c>
      <x:c r="BV13" s="1" t="n">
        <x:v>82700</x:v>
      </x:c>
      <x:c r="BW13" s="1" t="n">
        <x:v>83700</x:v>
      </x:c>
      <x:c r="BX13" s="1" t="n">
        <x:v>119100</x:v>
      </x:c>
      <x:c r="BY13" s="1" t="n">
        <x:v>81100</x:v>
      </x:c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  <x:c r="DE13" s="1"/>
      <x:c r="DF13" s="1"/>
      <x:c r="DG13" s="1"/>
      <x:c r="DH13" s="1"/>
      <x:c r="DI13" s="1"/>
      <x:c r="DJ13" s="1"/>
      <x:c r="DK13" s="1"/>
      <x:c r="DL13" s="1"/>
      <x:c r="DM13" s="1"/>
    </x:row>
    <x:row r="14" ht="23" customHeight="1">
      <x:c r="A14" s="1" t="n">
        <x:v>9</x:v>
      </x:c>
      <x:c r="B14" s="1" t="str">
        <x:v>丙酮</x:v>
      </x:c>
      <x:c r="C14" s="1" t="str">
        <x:v>67-64-1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 t="n">
        <x:v>1680</x:v>
      </x:c>
      <x:c r="AI14" s="1" t="n">
        <x:v>760</x:v>
      </x:c>
      <x:c r="AJ14" s="1" t="n">
        <x:v>700</x:v>
      </x:c>
      <x:c r="AK14" s="1"/>
      <x:c r="AL14" s="1"/>
      <x:c r="AM14" s="1"/>
      <x:c r="AN14" s="1"/>
      <x:c r="AO14" s="1"/>
      <x:c r="AP14" s="1"/>
      <x:c r="AQ14" s="1" t="n">
        <x:v>10.19</x:v>
      </x:c>
      <x:c r="AR14" s="1" t="n">
        <x:v>11.78</x:v>
      </x:c>
      <x:c r="AS14" s="1" t="n">
        <x:v>18.63</x:v>
      </x:c>
      <x:c r="AT14" s="1" t="n">
        <x:v>26.72</x:v>
      </x:c>
      <x:c r="AU14" s="1"/>
      <x:c r="AV14" s="1" t="n">
        <x:v>12200</x:v>
      </x:c>
      <x:c r="AW14" s="1"/>
      <x:c r="AX14" s="1" t="n">
        <x:v>83600</x:v>
      </x:c>
      <x:c r="AY14" s="1" t="n">
        <x:v>0</x:v>
      </x:c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</x:row>
    <x:row r="15" ht="23" customHeight="1">
      <x:c r="A15" s="1" t="n">
        <x:v>10</x:v>
      </x:c>
      <x:c r="B15" s="1" t="str">
        <x:v>1-丙醇</x:v>
      </x:c>
      <x:c r="C15" s="1" t="str">
        <x:v>71-23-8</x:v>
      </x:c>
      <x:c r="D15" s="1" t="n">
        <x:v>109000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 t="n">
        <x:v>4</x:v>
      </x:c>
      <x:c r="U15" s="1" t="n">
        <x:v>1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 t="n">
        <x:v>463670</x:v>
      </x:c>
      <x:c r="AF15" s="1" t="n">
        <x:v>243960</x:v>
      </x:c>
      <x:c r="AG15" s="1" t="n">
        <x:v>139490</x:v>
      </x:c>
      <x:c r="AH15" s="1" t="n">
        <x:v>8080</x:v>
      </x:c>
      <x:c r="AI15" s="1" t="n">
        <x:v>22720</x:v>
      </x:c>
      <x:c r="AJ15" s="1" t="n">
        <x:v>14050</x:v>
      </x:c>
      <x:c r="AK15" s="1" t="n">
        <x:v>253230</x:v>
      </x:c>
      <x:c r="AL15" s="1" t="n">
        <x:v>174320</x:v>
      </x:c>
      <x:c r="AM15" s="1"/>
      <x:c r="AN15" s="1"/>
      <x:c r="AO15" s="1"/>
      <x:c r="AP15" s="1"/>
      <x:c r="AQ15" s="1" t="n">
        <x:v>238.96</x:v>
      </x:c>
      <x:c r="AR15" s="1" t="n">
        <x:v>140.05</x:v>
      </x:c>
      <x:c r="AS15" s="1" t="n">
        <x:v>148.1</x:v>
      </x:c>
      <x:c r="AT15" s="1" t="n">
        <x:v>100.63</x:v>
      </x:c>
      <x:c r="AU15" s="1" t="n">
        <x:v>29.58</x:v>
      </x:c>
      <x:c r="AV15" s="1" t="n">
        <x:v>235054.5</x:v>
      </x:c>
      <x:c r="AW15" s="1" t="n">
        <x:v>7</x:v>
      </x:c>
      <x:c r="AX15" s="1" t="n">
        <x:v>217454</x:v>
      </x:c>
      <x:c r="AY15" s="1" t="n">
        <x:v>90400</x:v>
      </x:c>
      <x:c r="AZ15" s="1"/>
      <x:c r="BA15" s="1"/>
      <x:c r="BB15" s="1" t="n">
        <x:v>52.72</x:v>
      </x:c>
      <x:c r="BC15" s="1"/>
      <x:c r="BD15" s="1" t="n">
        <x:v>125.91</x:v>
      </x:c>
      <x:c r="BE15" s="1" t="n">
        <x:v>97.31</x:v>
      </x:c>
      <x:c r="BF15" s="1" t="n">
        <x:v>150.64</x:v>
      </x:c>
      <x:c r="BG15" s="1" t="n">
        <x:v>111.52</x:v>
      </x:c>
      <x:c r="BH15" s="1" t="n">
        <x:v>83.18</x:v>
      </x:c>
      <x:c r="BI15" s="1" t="n">
        <x:v>113.21</x:v>
      </x:c>
      <x:c r="BJ15" s="1" t="n">
        <x:v>34.04</x:v>
      </x:c>
      <x:c r="BK15" s="1" t="n">
        <x:v>146.21</x:v>
      </x:c>
      <x:c r="BL15" s="1" t="n">
        <x:v>177.61</x:v>
      </x:c>
      <x:c r="BM15" s="1" t="n">
        <x:v>192.82</x:v>
      </x:c>
      <x:c r="BN15" s="1" t="n">
        <x:v>126</x:v>
      </x:c>
      <x:c r="BO15" s="1" t="n">
        <x:v>178.42</x:v>
      </x:c>
      <x:c r="BP15" s="1" t="n">
        <x:v>149.22</x:v>
      </x:c>
      <x:c r="BQ15" s="1" t="n">
        <x:v>428900</x:v>
      </x:c>
      <x:c r="BR15" s="1" t="n">
        <x:v>290700</x:v>
      </x:c>
      <x:c r="BS15" s="1" t="n">
        <x:v>428200</x:v>
      </x:c>
      <x:c r="BT15" s="1" t="n">
        <x:v>471100</x:v>
      </x:c>
      <x:c r="BU15" s="1" t="n">
        <x:v>410200</x:v>
      </x:c>
      <x:c r="BV15" s="1" t="n">
        <x:v>206300</x:v>
      </x:c>
      <x:c r="BW15" s="1" t="n">
        <x:v>159700</x:v>
      </x:c>
      <x:c r="BX15" s="1" t="n">
        <x:v>222200</x:v>
      </x:c>
      <x:c r="BY15" s="1" t="n">
        <x:v>154400</x:v>
      </x:c>
      <x:c r="BZ15" s="1" t="n">
        <x:v>20.42</x:v>
      </x:c>
      <x:c r="CA15" s="1" t="n">
        <x:v>16.655</x:v>
      </x:c>
      <x:c r="CB15" s="1" t="n">
        <x:v>67.02</x:v>
      </x:c>
      <x:c r="CC15" s="1" t="n">
        <x:v>24.3</x:v>
      </x:c>
      <x:c r="CD15" s="1" t="n">
        <x:v>87.23</x:v>
      </x:c>
      <x:c r="CE15" s="1" t="n">
        <x:v>77.05</x:v>
      </x:c>
      <x:c r="CF15" s="1" t="n">
        <x:v>31.73</x:v>
      </x:c>
      <x:c r="CG15" s="1" t="n">
        <x:v>268.45</x:v>
      </x:c>
      <x:c r="CH15" s="1" t="n">
        <x:v>276.39</x:v>
      </x:c>
      <x:c r="CI15" s="1" t="n">
        <x:v>72.77</x:v>
      </x:c>
      <x:c r="CJ15" s="1" t="n">
        <x:v>102.2</x:v>
      </x:c>
      <x:c r="CK15" s="1" t="n">
        <x:v>40.58</x:v>
      </x:c>
      <x:c r="CL15" s="1" t="n">
        <x:v>42.68</x:v>
      </x:c>
      <x:c r="CM15" s="1" t="n">
        <x:v>46.41</x:v>
      </x:c>
      <x:c r="CN15" s="1"/>
      <x:c r="CO15" s="1"/>
      <x:c r="CP15" s="1"/>
      <x:c r="CQ15" s="1"/>
      <x:c r="CR15" s="1" t="n">
        <x:v>347476</x:v>
      </x:c>
      <x:c r="CS15" s="1" t="n">
        <x:v>397035</x:v>
      </x:c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  <x:c r="DE15" s="1"/>
      <x:c r="DF15" s="1"/>
      <x:c r="DG15" s="1"/>
      <x:c r="DH15" s="1"/>
      <x:c r="DI15" s="1"/>
      <x:c r="DJ15" s="1"/>
      <x:c r="DK15" s="1"/>
      <x:c r="DL15" s="1"/>
      <x:c r="DM15" s="1"/>
    </x:row>
    <x:row r="16" ht="23" customHeight="1">
      <x:c r="A16" s="1" t="n">
        <x:v>11</x:v>
      </x:c>
      <x:c r="B16" s="1" t="str">
        <x:v>1-丁醇</x:v>
      </x:c>
      <x:c r="C16" s="1" t="str">
        <x:v>71-36-3</x:v>
      </x:c>
      <x:c r="D16" s="1" t="n">
        <x:v>2733</x:v>
      </x:c>
      <x:c r="E16" s="1" t="n">
        <x:v>41802</x:v>
      </x:c>
      <x:c r="F16" s="1" t="n">
        <x:v>147160</x:v>
      </x:c>
      <x:c r="G16" s="1" t="n">
        <x:v>245.12</x:v>
      </x:c>
      <x:c r="H16" s="1" t="n">
        <x:v>48.88</x:v>
      </x:c>
      <x:c r="I16" s="1" t="n">
        <x:v>34.69</x:v>
      </x:c>
      <x:c r="J16" s="1" t="n">
        <x:v>256.5</x:v>
      </x:c>
      <x:c r="K16" s="1" t="n">
        <x:v>16.97</x:v>
      </x:c>
      <x:c r="L16" s="1" t="n">
        <x:v>54922</x:v>
      </x:c>
      <x:c r="M16" s="1" t="n">
        <x:v>67567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 t="n">
        <x:v>511000</x:v>
      </x:c>
      <x:c r="X16" s="1" t="n">
        <x:v>335000</x:v>
      </x:c>
      <x:c r="Y16" s="1" t="n">
        <x:v>299000</x:v>
      </x:c>
      <x:c r="Z16" s="1" t="n">
        <x:v>309000</x:v>
      </x:c>
      <x:c r="AA16" s="1" t="n">
        <x:v>270000</x:v>
      </x:c>
      <x:c r="AB16" s="1" t="n">
        <x:v>267000</x:v>
      </x:c>
      <x:c r="AC16" s="1" t="n">
        <x:v>175000</x:v>
      </x:c>
      <x:c r="AD16" s="1" t="n">
        <x:v>124000</x:v>
      </x:c>
      <x:c r="AE16" s="1" t="n">
        <x:v>329180</x:v>
      </x:c>
      <x:c r="AF16" s="1" t="n">
        <x:v>167030</x:v>
      </x:c>
      <x:c r="AG16" s="1" t="n">
        <x:v>162135</x:v>
      </x:c>
      <x:c r="AH16" s="1" t="n">
        <x:v>3750</x:v>
      </x:c>
      <x:c r="AI16" s="1" t="n">
        <x:v>3860</x:v>
      </x:c>
      <x:c r="AJ16" s="1" t="n">
        <x:v>9100</x:v>
      </x:c>
      <x:c r="AK16" s="1" t="n">
        <x:v>229660</x:v>
      </x:c>
      <x:c r="AL16" s="1" t="n">
        <x:v>110950</x:v>
      </x:c>
      <x:c r="AM16" s="1"/>
      <x:c r="AN16" s="1"/>
      <x:c r="AO16" s="1"/>
      <x:c r="AP16" s="1"/>
      <x:c r="AQ16" s="1" t="n">
        <x:v>278.54</x:v>
      </x:c>
      <x:c r="AR16" s="1" t="n">
        <x:v>180.45</x:v>
      </x:c>
      <x:c r="AS16" s="1" t="n">
        <x:v>197.1</x:v>
      </x:c>
      <x:c r="AT16" s="1" t="n">
        <x:v>156.24</x:v>
      </x:c>
      <x:c r="AU16" s="1"/>
      <x:c r="AV16" s="1" t="n">
        <x:v>26159.5</x:v>
      </x:c>
      <x:c r="AW16" s="1" t="n">
        <x:v>112</x:v>
      </x:c>
      <x:c r="AX16" s="1" t="n">
        <x:v>32712</x:v>
      </x:c>
      <x:c r="AY16" s="1" t="n">
        <x:v>74400</x:v>
      </x:c>
      <x:c r="AZ16" s="1"/>
      <x:c r="BA16" s="1"/>
      <x:c r="BB16" s="1" t="n">
        <x:v>37.44</x:v>
      </x:c>
      <x:c r="BC16" s="1"/>
      <x:c r="BD16" s="1" t="n">
        <x:v>180.72</x:v>
      </x:c>
      <x:c r="BE16" s="1" t="n">
        <x:v>156.21</x:v>
      </x:c>
      <x:c r="BF16" s="1" t="n">
        <x:v>176.53</x:v>
      </x:c>
      <x:c r="BG16" s="1" t="n">
        <x:v>168.51</x:v>
      </x:c>
      <x:c r="BH16" s="1" t="n">
        <x:v>145.82</x:v>
      </x:c>
      <x:c r="BI16" s="1" t="n">
        <x:v>162.11</x:v>
      </x:c>
      <x:c r="BJ16" s="1" t="n">
        <x:v>24.34</x:v>
      </x:c>
      <x:c r="BK16" s="1" t="n">
        <x:v>333.32</x:v>
      </x:c>
      <x:c r="BL16" s="1" t="n">
        <x:v>665.81</x:v>
      </x:c>
      <x:c r="BM16" s="1" t="n">
        <x:v>749.29</x:v>
      </x:c>
      <x:c r="BN16" s="1" t="n">
        <x:v>380.72</x:v>
      </x:c>
      <x:c r="BO16" s="1" t="n">
        <x:v>730.82</x:v>
      </x:c>
      <x:c r="BP16" s="1" t="n">
        <x:v>161</x:v>
      </x:c>
      <x:c r="BQ16" s="1" t="n">
        <x:v>346400</x:v>
      </x:c>
      <x:c r="BR16" s="1" t="n">
        <x:v>567300</x:v>
      </x:c>
      <x:c r="BS16" s="1" t="n">
        <x:v>1038900</x:v>
      </x:c>
      <x:c r="BT16" s="1" t="n">
        <x:v>700400</x:v>
      </x:c>
      <x:c r="BU16" s="1" t="n">
        <x:v>800200</x:v>
      </x:c>
      <x:c r="BV16" s="1" t="n">
        <x:v>107000</x:v>
      </x:c>
      <x:c r="BW16" s="1" t="n">
        <x:v>130400</x:v>
      </x:c>
      <x:c r="BX16" s="1" t="n">
        <x:v>147500</x:v>
      </x:c>
      <x:c r="BY16" s="1" t="n">
        <x:v>126200</x:v>
      </x:c>
      <x:c r="BZ16" s="1" t="n">
        <x:v>96.2567</x:v>
      </x:c>
      <x:c r="CA16" s="1" t="n">
        <x:v>51.7167</x:v>
      </x:c>
      <x:c r="CB16" s="1" t="n">
        <x:v>216.38</x:v>
      </x:c>
      <x:c r="CC16" s="1" t="n">
        <x:v>214.7</x:v>
      </x:c>
      <x:c r="CD16" s="1" t="n">
        <x:v>425.28</x:v>
      </x:c>
      <x:c r="CE16" s="1" t="n">
        <x:v>166.16</x:v>
      </x:c>
      <x:c r="CF16" s="1" t="n">
        <x:v>113.77</x:v>
      </x:c>
      <x:c r="CG16" s="1" t="n">
        <x:v>56.67</x:v>
      </x:c>
      <x:c r="CH16" s="1" t="n">
        <x:v>69.61</x:v>
      </x:c>
      <x:c r="CI16" s="1" t="n">
        <x:v>151</x:v>
      </x:c>
      <x:c r="CJ16" s="1" t="n">
        <x:v>197.37</x:v>
      </x:c>
      <x:c r="CK16" s="1" t="n">
        <x:v>137.7</x:v>
      </x:c>
      <x:c r="CL16" s="1" t="n">
        <x:v>111.31</x:v>
      </x:c>
      <x:c r="CM16" s="1" t="n">
        <x:v>148.23</x:v>
      </x:c>
      <x:c r="CN16" s="1"/>
      <x:c r="CO16" s="1"/>
      <x:c r="CP16" s="1"/>
      <x:c r="CQ16" s="1"/>
      <x:c r="CR16" s="1" t="n">
        <x:v>34206.7</x:v>
      </x:c>
      <x:c r="CS16" s="1" t="n">
        <x:v>36155.36</x:v>
      </x:c>
      <x:c r="CT16" s="1" t="n">
        <x:v>1741.95</x:v>
      </x:c>
      <x:c r="CU16" s="1" t="n">
        <x:v>862.71</x:v>
      </x:c>
      <x:c r="CV16" s="1" t="n">
        <x:v>1296.5</x:v>
      </x:c>
      <x:c r="CW16" s="1" t="n">
        <x:v>1334.86</x:v>
      </x:c>
      <x:c r="CX16" s="1" t="n">
        <x:v>13522</x:v>
      </x:c>
      <x:c r="CY16" s="1" t="n">
        <x:v>137605.88</x:v>
      </x:c>
      <x:c r="CZ16" s="1" t="n">
        <x:v>96156.23</x:v>
      </x:c>
      <x:c r="DA16" s="1" t="n">
        <x:v>12945.05</x:v>
      </x:c>
      <x:c r="DB16" s="1" t="n">
        <x:v>78475.19</x:v>
      </x:c>
      <x:c r="DC16" s="1" t="n">
        <x:v>10062.54</x:v>
      </x:c>
      <x:c r="DD16" s="1" t="n">
        <x:v>110395.79</x:v>
      </x:c>
      <x:c r="DE16" s="1" t="n">
        <x:v>45719.26</x:v>
      </x:c>
      <x:c r="DF16" s="1" t="n">
        <x:v>60836.9</x:v>
      </x:c>
      <x:c r="DG16" s="1" t="n">
        <x:v>21487.43</x:v>
      </x:c>
      <x:c r="DH16" s="1" t="n">
        <x:v>140599.35</x:v>
      </x:c>
      <x:c r="DI16" s="1" t="n">
        <x:v>31386.58</x:v>
      </x:c>
      <x:c r="DJ16" s="1" t="n">
        <x:v>146807.16</x:v>
      </x:c>
      <x:c r="DK16" s="1" t="n">
        <x:v>11886.35</x:v>
      </x:c>
      <x:c r="DL16" s="1" t="n">
        <x:v>174637.2</x:v>
      </x:c>
      <x:c r="DM16" s="1" t="n">
        <x:v>29727.68</x:v>
      </x:c>
    </x:row>
    <x:row r="17" ht="23" customHeight="1">
      <x:c r="A17" s="1" t="n">
        <x:v>12</x:v>
      </x:c>
      <x:c r="B17" s="1" t="str">
        <x:v>正戊醇</x:v>
      </x:c>
      <x:c r="C17" s="1" t="str">
        <x:v>71-41-0</x:v>
      </x:c>
      <x:c r="D17" s="1" t="n">
        <x:v>37400</x:v>
      </x:c>
      <x:c r="E17" s="1"/>
      <x:c r="F17" s="1"/>
      <x:c r="G17" s="1" t="n">
        <x:v>260.98</x:v>
      </x:c>
      <x:c r="H17" s="1" t="n">
        <x:v>60.74</x:v>
      </x:c>
      <x:c r="I17" s="1" t="n">
        <x:v>57.23</x:v>
      </x:c>
      <x:c r="J17" s="1" t="n">
        <x:v>496.64</x:v>
      </x:c>
      <x:c r="K17" s="1" t="n">
        <x:v>1.67</x:v>
      </x:c>
      <x:c r="L17" s="1"/>
      <x:c r="M17" s="1"/>
      <x:c r="N17" s="1"/>
      <x:c r="O17" s="1"/>
      <x:c r="P17" s="1"/>
      <x:c r="Q17" s="1"/>
      <x:c r="R17" s="1"/>
      <x:c r="S17" s="1"/>
      <x:c r="T17" s="1" t="n">
        <x:v>0</x:v>
      </x:c>
      <x:c r="U17" s="1" t="n">
        <x:v>0</x:v>
      </x:c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 t="n">
        <x:v>22165</x:v>
      </x:c>
      <x:c r="AH17" s="1" t="n">
        <x:v>200</x:v>
      </x:c>
      <x:c r="AI17" s="1" t="n">
        <x:v>210</x:v>
      </x:c>
      <x:c r="AJ17" s="1" t="n">
        <x:v>600</x:v>
      </x:c>
      <x:c r="AK17" s="1" t="n">
        <x:v>19220</x:v>
      </x:c>
      <x:c r="AL17" s="1" t="n">
        <x:v>29950</x:v>
      </x:c>
      <x:c r="AM17" s="1"/>
      <x:c r="AN17" s="1"/>
      <x:c r="AO17" s="1"/>
      <x:c r="AP17" s="1"/>
      <x:c r="AQ17" s="1" t="n">
        <x:v>33.52</x:v>
      </x:c>
      <x:c r="AR17" s="1" t="n">
        <x:v>29.37</x:v>
      </x:c>
      <x:c r="AS17" s="1" t="n">
        <x:v>30.64</x:v>
      </x:c>
      <x:c r="AT17" s="1" t="n">
        <x:v>32.95</x:v>
      </x:c>
      <x:c r="AU17" s="1" t="n">
        <x:v>1.43</x:v>
      </x:c>
      <x:c r="AV17" s="1" t="n">
        <x:v>4200</x:v>
      </x:c>
      <x:c r="AW17" s="1"/>
      <x:c r="AX17" s="1" t="n">
        <x:v>4100</x:v>
      </x:c>
      <x:c r="AY17" s="1" t="n">
        <x:v>0</x:v>
      </x:c>
      <x:c r="AZ17" s="1"/>
      <x:c r="BA17" s="1"/>
      <x:c r="BB17" s="1"/>
      <x:c r="BC17" s="1"/>
      <x:c r="BD17" s="1" t="n">
        <x:v>6798.9</x:v>
      </x:c>
      <x:c r="BE17" s="1" t="n">
        <x:v>241.52</x:v>
      </x:c>
      <x:c r="BF17" s="1" t="n">
        <x:v>3497.13</x:v>
      </x:c>
      <x:c r="BG17" s="1" t="n">
        <x:v>6394.13</x:v>
      </x:c>
      <x:c r="BH17" s="1" t="n">
        <x:v>7275.27</x:v>
      </x:c>
      <x:c r="BI17" s="1" t="n">
        <x:v>6628.31</x:v>
      </x:c>
      <x:c r="BJ17" s="1" t="n">
        <x:v>3560.01</x:v>
      </x:c>
      <x:c r="BK17" s="1" t="n">
        <x:v>31.4</x:v>
      </x:c>
      <x:c r="BL17" s="1" t="n">
        <x:v>328.19</x:v>
      </x:c>
      <x:c r="BM17" s="1"/>
      <x:c r="BN17" s="1" t="n">
        <x:v>5452.91</x:v>
      </x:c>
      <x:c r="BO17" s="1" t="n">
        <x:v>5607.11</x:v>
      </x:c>
      <x:c r="BP17" s="1" t="n">
        <x:v>5396.99</x:v>
      </x:c>
      <x:c r="BQ17" s="1" t="n">
        <x:v>6200</x:v>
      </x:c>
      <x:c r="BR17" s="1" t="n">
        <x:v>18400</x:v>
      </x:c>
      <x:c r="BS17" s="1" t="n">
        <x:v>29900</x:v>
      </x:c>
      <x:c r="BT17" s="1" t="n">
        <x:v>37600</x:v>
      </x:c>
      <x:c r="BU17" s="1" t="n">
        <x:v>31900</x:v>
      </x:c>
      <x:c r="BV17" s="1" t="n">
        <x:v>3800</x:v>
      </x:c>
      <x:c r="BW17" s="1" t="n">
        <x:v>8900</x:v>
      </x:c>
      <x:c r="BX17" s="1" t="n">
        <x:v>12100</x:v>
      </x:c>
      <x:c r="BY17" s="1" t="n">
        <x:v>9400</x:v>
      </x:c>
      <x:c r="BZ17" s="1" t="n">
        <x:v>3.39</x:v>
      </x:c>
      <x:c r="CA17" s="1" t="n">
        <x:v>3.37</x:v>
      </x:c>
      <x:c r="CB17" s="1" t="n">
        <x:v>13.3</x:v>
      </x:c>
      <x:c r="CC17" s="1" t="n">
        <x:v>19.31</x:v>
      </x:c>
      <x:c r="CD17" s="1" t="n">
        <x:v>7.6</x:v>
      </x:c>
      <x:c r="CE17" s="1" t="n">
        <x:v>15.33</x:v>
      </x:c>
      <x:c r="CF17" s="1" t="n">
        <x:v>13.11</x:v>
      </x:c>
      <x:c r="CG17" s="1" t="n">
        <x:v>8.22</x:v>
      </x:c>
      <x:c r="CH17" s="1" t="n">
        <x:v>8.76</x:v>
      </x:c>
      <x:c r="CI17" s="1" t="n">
        <x:v>8.3</x:v>
      </x:c>
      <x:c r="CJ17" s="1" t="n">
        <x:v>7.76</x:v>
      </x:c>
      <x:c r="CK17" s="1" t="n">
        <x:v>13.38</x:v>
      </x:c>
      <x:c r="CL17" s="1" t="n">
        <x:v>7.71</x:v>
      </x:c>
      <x:c r="CM17" s="1" t="n">
        <x:v>8.48</x:v>
      </x:c>
      <x:c r="CN17" s="1"/>
      <x:c r="CO17" s="1"/>
      <x:c r="CP17" s="1"/>
      <x:c r="CQ17" s="1"/>
      <x:c r="CR17" s="1"/>
      <x:c r="CS17" s="1"/>
      <x:c r="CT17" s="1" t="n">
        <x:v>224.92</x:v>
      </x:c>
      <x:c r="CU17" s="1" t="n">
        <x:v>156.77</x:v>
      </x:c>
      <x:c r="CV17" s="1" t="n">
        <x:v>228.09</x:v>
      </x:c>
      <x:c r="CW17" s="1" t="n">
        <x:v>287.29</x:v>
      </x:c>
      <x:c r="CX17" s="1"/>
      <x:c r="CY17" s="1"/>
      <x:c r="CZ17" s="1"/>
      <x:c r="DA17" s="1"/>
      <x:c r="DB17" s="1"/>
      <x:c r="DC17" s="1"/>
      <x:c r="DD17" s="1"/>
      <x:c r="DE17" s="1"/>
      <x:c r="DF17" s="1"/>
      <x:c r="DG17" s="1"/>
      <x:c r="DH17" s="1"/>
      <x:c r="DI17" s="1"/>
      <x:c r="DJ17" s="1"/>
      <x:c r="DK17" s="1"/>
      <x:c r="DL17" s="1"/>
      <x:c r="DM17" s="1"/>
    </x:row>
    <x:row r="18" ht="23" customHeight="1">
      <x:c r="A18" s="1" t="n">
        <x:v>13</x:v>
      </x:c>
      <x:c r="B18" s="1" t="str">
        <x:v>甲基硫醇</x:v>
      </x:c>
      <x:c r="C18" s="1" t="str">
        <x:v>74-93-1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 t="n">
        <x:v>4</x:v>
      </x:c>
      <x:c r="BA18" s="1" t="n">
        <x:v>3</x:v>
      </x:c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</x:row>
    <x:row r="19" ht="23" customHeight="1">
      <x:c r="A19" s="1" t="n">
        <x:v>14</x:v>
      </x:c>
      <x:c r="B19" s="1" t="str">
        <x:v>乙醛</x:v>
      </x:c>
      <x:c r="C19" s="1" t="str">
        <x:v>75-07-0</x:v>
      </x:c>
      <x:c r="D19" s="1" t="n">
        <x:v>14393.85</x:v>
      </x:c>
      <x:c r="E19" s="1"/>
      <x:c r="F19" s="1"/>
      <x:c r="G19" s="1" t="n">
        <x:v>1.65</x:v>
      </x:c>
      <x:c r="H19" s="1" t="n">
        <x:v>1.8</x:v>
      </x:c>
      <x:c r="I19" s="1"/>
      <x:c r="J19" s="1" t="n">
        <x:v>15.31</x:v>
      </x:c>
      <x:c r="K19" s="1"/>
      <x:c r="L19" s="1"/>
      <x:c r="M19" s="1"/>
      <x:c r="N19" s="1" t="n">
        <x:v>327</x:v>
      </x:c>
      <x:c r="O19" s="1" t="n">
        <x:v>469</x:v>
      </x:c>
      <x:c r="P19" s="1" t="n">
        <x:v>675</x:v>
      </x:c>
      <x:c r="Q19" s="1" t="n">
        <x:v>477</x:v>
      </x:c>
      <x:c r="R19" s="1" t="n">
        <x:v>600</x:v>
      </x:c>
      <x:c r="S19" s="1" t="n">
        <x:v>714</x:v>
      </x:c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 t="n">
        <x:v>33680</x:v>
      </x:c>
      <x:c r="AI19" s="1" t="n">
        <x:v>39640</x:v>
      </x:c>
      <x:c r="AJ19" s="1" t="n">
        <x:v>30150</x:v>
      </x:c>
      <x:c r="AK19" s="1"/>
      <x:c r="AL19" s="1"/>
      <x:c r="AM19" s="1"/>
      <x:c r="AN19" s="1"/>
      <x:c r="AO19" s="1"/>
      <x:c r="AP19" s="1"/>
      <x:c r="AQ19" s="1" t="n">
        <x:v>12.54</x:v>
      </x:c>
      <x:c r="AR19" s="1" t="n">
        <x:v>11.61</x:v>
      </x:c>
      <x:c r="AS19" s="1" t="n">
        <x:v>40.82</x:v>
      </x:c>
      <x:c r="AT19" s="1" t="n">
        <x:v>38.25</x:v>
      </x:c>
      <x:c r="AU19" s="1" t="n">
        <x:v>362.06</x:v>
      </x:c>
      <x:c r="AV19" s="1" t="n">
        <x:v>208700</x:v>
      </x:c>
      <x:c r="AW19" s="1"/>
      <x:c r="AX19" s="1" t="n">
        <x:v>311600</x:v>
      </x:c>
      <x:c r="AY19" s="1" t="n">
        <x:v>173200</x:v>
      </x:c>
      <x:c r="AZ19" s="1" t="n">
        <x:v>74</x:v>
      </x:c>
      <x:c r="BA19" s="1" t="n">
        <x:v>179</x:v>
      </x:c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 t="n">
        <x:v>661100</x:v>
      </x:c>
      <x:c r="BR19" s="1" t="n">
        <x:v>395900</x:v>
      </x:c>
      <x:c r="BS19" s="1" t="n">
        <x:v>72100</x:v>
      </x:c>
      <x:c r="BT19" s="1" t="n">
        <x:v>103000</x:v>
      </x:c>
      <x:c r="BU19" s="1" t="n">
        <x:v>84500</x:v>
      </x:c>
      <x:c r="BV19" s="1" t="n">
        <x:v>134200</x:v>
      </x:c>
      <x:c r="BW19" s="1" t="n">
        <x:v>113100</x:v>
      </x:c>
      <x:c r="BX19" s="1" t="n">
        <x:v>179000</x:v>
      </x:c>
      <x:c r="BY19" s="1" t="n">
        <x:v>111400</x:v>
      </x:c>
      <x:c r="BZ19" s="1" t="n">
        <x:v>301.79</x:v>
      </x:c>
      <x:c r="CA19" s="1" t="n">
        <x:v>225.1633</x:v>
      </x:c>
      <x:c r="CB19" s="1" t="n">
        <x:v>184.24</x:v>
      </x:c>
      <x:c r="CC19" s="1" t="n">
        <x:v>243.58</x:v>
      </x:c>
      <x:c r="CD19" s="1" t="n">
        <x:v>228.67</x:v>
      </x:c>
      <x:c r="CE19" s="1" t="n">
        <x:v>184.58</x:v>
      </x:c>
      <x:c r="CF19" s="1" t="n">
        <x:v>282.72</x:v>
      </x:c>
      <x:c r="CG19" s="1" t="n">
        <x:v>377.92</x:v>
      </x:c>
      <x:c r="CH19" s="1" t="n">
        <x:v>210.96</x:v>
      </x:c>
      <x:c r="CI19" s="1" t="n">
        <x:v>302.56</x:v>
      </x:c>
      <x:c r="CJ19" s="1" t="n">
        <x:v>352.8</x:v>
      </x:c>
      <x:c r="CK19" s="1" t="n">
        <x:v>230.43</x:v>
      </x:c>
      <x:c r="CL19" s="1" t="n">
        <x:v>268</x:v>
      </x:c>
      <x:c r="CM19" s="1" t="n">
        <x:v>224.57</x:v>
      </x:c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  <x:c r="DE19" s="1"/>
      <x:c r="DF19" s="1"/>
      <x:c r="DG19" s="1"/>
      <x:c r="DH19" s="1"/>
      <x:c r="DI19" s="1"/>
      <x:c r="DJ19" s="1"/>
      <x:c r="DK19" s="1"/>
      <x:c r="DL19" s="1"/>
      <x:c r="DM19" s="1"/>
    </x:row>
    <x:row r="20" ht="23" customHeight="1">
      <x:c r="A20" s="1" t="n">
        <x:v>15</x:v>
      </x:c>
      <x:c r="B20" s="1"/>
      <x:c r="C20" s="1" t="str">
        <x:v>77-53-2</x:v>
      </x:c>
      <x:c r="D20" s="1"/>
      <x:c r="E20" s="1"/>
      <x:c r="F20" s="1"/>
      <x:c r="G20" s="1" t="n">
        <x:v>2.45</x:v>
      </x:c>
      <x:c r="H20" s="1" t="n">
        <x:v>0.47</x:v>
      </x:c>
      <x:c r="I20" s="1"/>
      <x:c r="J20" s="1"/>
      <x:c r="K20" s="1" t="n">
        <x:v>0.26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</x:row>
    <x:row r="21" ht="23" customHeight="1">
      <x:c r="A21" s="1" t="n">
        <x:v>16</x:v>
      </x:c>
      <x:c r="B21" s="1"/>
      <x:c r="C21" s="1" t="str">
        <x:v>78-70-6</x:v>
      </x:c>
      <x:c r="D21" s="1"/>
      <x:c r="E21" s="1"/>
      <x:c r="F21" s="1"/>
      <x:c r="G21" s="1"/>
      <x:c r="H21" s="1"/>
      <x:c r="I21" s="1"/>
      <x:c r="J21" s="1"/>
      <x:c r="K21" s="1" t="n">
        <x:v>0.61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  <x:c r="DE21" s="1"/>
      <x:c r="DF21" s="1"/>
      <x:c r="DG21" s="1"/>
      <x:c r="DH21" s="1"/>
      <x:c r="DI21" s="1"/>
      <x:c r="DJ21" s="1"/>
      <x:c r="DK21" s="1"/>
      <x:c r="DL21" s="1"/>
      <x:c r="DM21" s="1"/>
    </x:row>
    <x:row r="22" ht="23" customHeight="1">
      <x:c r="A22" s="1" t="n">
        <x:v>17</x:v>
      </x:c>
      <x:c r="B22" s="1" t="str">
        <x:v>异丁醇</x:v>
      </x:c>
      <x:c r="C22" s="1" t="str">
        <x:v>78-83-1</x:v>
      </x:c>
      <x:c r="D22" s="1" t="n">
        <x:v>28300</x:v>
      </x:c>
      <x:c r="E22" s="1"/>
      <x:c r="F22" s="1"/>
      <x:c r="G22" s="1" t="n">
        <x:v>27.66</x:v>
      </x:c>
      <x:c r="H22" s="1" t="n">
        <x:v>11.36</x:v>
      </x:c>
      <x:c r="I22" s="1" t="n">
        <x:v>11.55</x:v>
      </x:c>
      <x:c r="J22" s="1" t="n">
        <x:v>121.33</x:v>
      </x:c>
      <x:c r="K22" s="1" t="n">
        <x:v>8.45</x:v>
      </x:c>
      <x:c r="L22" s="1"/>
      <x:c r="M22" s="1"/>
      <x:c r="N22" s="1"/>
      <x:c r="O22" s="1"/>
      <x:c r="P22" s="1"/>
      <x:c r="Q22" s="1"/>
      <x:c r="R22" s="1"/>
      <x:c r="S22" s="1"/>
      <x:c r="T22" s="1" t="n">
        <x:v>1</x:v>
      </x:c>
      <x:c r="U22" s="1" t="n">
        <x:v>0</x:v>
      </x:c>
      <x:c r="V22" s="1"/>
      <x:c r="W22" s="1" t="n">
        <x:v>136000</x:v>
      </x:c>
      <x:c r="X22" s="1" t="n">
        <x:v>42600</x:v>
      </x:c>
      <x:c r="Y22" s="1" t="n">
        <x:v>29800</x:v>
      </x:c>
      <x:c r="Z22" s="1" t="n">
        <x:v>25200</x:v>
      </x:c>
      <x:c r="AA22" s="1" t="n">
        <x:v>20800</x:v>
      </x:c>
      <x:c r="AB22" s="1" t="n">
        <x:v>17300</x:v>
      </x:c>
      <x:c r="AC22" s="1" t="n">
        <x:v>10400</x:v>
      </x:c>
      <x:c r="AD22" s="1" t="n">
        <x:v>7140</x:v>
      </x:c>
      <x:c r="AE22" s="1" t="n">
        <x:v>270140</x:v>
      </x:c>
      <x:c r="AF22" s="1" t="n">
        <x:v>279260</x:v>
      </x:c>
      <x:c r="AG22" s="1" t="n">
        <x:v>86310</x:v>
      </x:c>
      <x:c r="AH22" s="1" t="n">
        <x:v>4100</x:v>
      </x:c>
      <x:c r="AI22" s="1" t="n">
        <x:v>17080</x:v>
      </x:c>
      <x:c r="AJ22" s="1" t="n">
        <x:v>7450</x:v>
      </x:c>
      <x:c r="AK22" s="1" t="n">
        <x:v>3650</x:v>
      </x:c>
      <x:c r="AL22" s="1" t="n">
        <x:v>4460</x:v>
      </x:c>
      <x:c r="AM22" s="1"/>
      <x:c r="AN22" s="1"/>
      <x:c r="AO22" s="1"/>
      <x:c r="AP22" s="1"/>
      <x:c r="AQ22" s="1" t="n">
        <x:v>42.72</x:v>
      </x:c>
      <x:c r="AR22" s="1" t="n">
        <x:v>15.22</x:v>
      </x:c>
      <x:c r="AS22" s="1" t="n">
        <x:v>18.45</x:v>
      </x:c>
      <x:c r="AT22" s="1" t="n">
        <x:v>12.29</x:v>
      </x:c>
      <x:c r="AU22" s="1" t="n">
        <x:v>3.87</x:v>
      </x:c>
      <x:c r="AV22" s="1" t="n">
        <x:v>27301</x:v>
      </x:c>
      <x:c r="AW22" s="1" t="n">
        <x:v>2</x:v>
      </x:c>
      <x:c r="AX22" s="1" t="n">
        <x:v>41401.5</x:v>
      </x:c>
      <x:c r="AY22" s="1" t="n">
        <x:v>53800</x:v>
      </x:c>
      <x:c r="AZ22" s="1"/>
      <x:c r="BA22" s="1"/>
      <x:c r="BB22" s="1" t="n">
        <x:v>82.23</x:v>
      </x:c>
      <x:c r="BC22" s="1"/>
      <x:c r="BD22" s="1" t="n">
        <x:v>91.41</x:v>
      </x:c>
      <x:c r="BE22" s="1" t="n">
        <x:v>87.2</x:v>
      </x:c>
      <x:c r="BF22" s="1" t="n">
        <x:v>84.52</x:v>
      </x:c>
      <x:c r="BG22" s="1" t="n">
        <x:v>75.62</x:v>
      </x:c>
      <x:c r="BH22" s="1" t="n">
        <x:v>78.14</x:v>
      </x:c>
      <x:c r="BI22" s="1" t="n">
        <x:v>73.7</x:v>
      </x:c>
      <x:c r="BJ22" s="1" t="n">
        <x:v>23.72</x:v>
      </x:c>
      <x:c r="BK22" s="1" t="n">
        <x:v>238.42</x:v>
      </x:c>
      <x:c r="BL22" s="1" t="n">
        <x:v>168.82</x:v>
      </x:c>
      <x:c r="BM22" s="1" t="n">
        <x:v>183.1</x:v>
      </x:c>
      <x:c r="BN22" s="1" t="n">
        <x:v>174.41</x:v>
      </x:c>
      <x:c r="BO22" s="1" t="n">
        <x:v>186.81</x:v>
      </x:c>
      <x:c r="BP22" s="1" t="n">
        <x:v>162.82</x:v>
      </x:c>
      <x:c r="BQ22" s="1" t="n">
        <x:v>228500</x:v>
      </x:c>
      <x:c r="BR22" s="1" t="n">
        <x:v>106000</x:v>
      </x:c>
      <x:c r="BS22" s="1" t="n">
        <x:v>106800</x:v>
      </x:c>
      <x:c r="BT22" s="1" t="n">
        <x:v>120500</x:v>
      </x:c>
      <x:c r="BU22" s="1" t="n">
        <x:v>70900</x:v>
      </x:c>
      <x:c r="BV22" s="1" t="n">
        <x:v>109700</x:v>
      </x:c>
      <x:c r="BW22" s="1" t="n">
        <x:v>43600</x:v>
      </x:c>
      <x:c r="BX22" s="1" t="n">
        <x:v>50400</x:v>
      </x:c>
      <x:c r="BY22" s="1" t="n">
        <x:v>42100</x:v>
      </x:c>
      <x:c r="BZ22" s="1" t="n">
        <x:v>57.385</x:v>
      </x:c>
      <x:c r="CA22" s="1" t="n">
        <x:v>53.425</x:v>
      </x:c>
      <x:c r="CB22" s="1" t="n">
        <x:v>88.95</x:v>
      </x:c>
      <x:c r="CC22" s="1" t="n">
        <x:v>70.7</x:v>
      </x:c>
      <x:c r="CD22" s="1" t="n">
        <x:v>121.4</x:v>
      </x:c>
      <x:c r="CE22" s="1" t="n">
        <x:v>112.28</x:v>
      </x:c>
      <x:c r="CF22" s="1" t="n">
        <x:v>117.04</x:v>
      </x:c>
      <x:c r="CG22" s="1" t="n">
        <x:v>41.61</x:v>
      </x:c>
      <x:c r="CH22" s="1" t="n">
        <x:v>41.45</x:v>
      </x:c>
      <x:c r="CI22" s="1" t="n">
        <x:v>132.49</x:v>
      </x:c>
      <x:c r="CJ22" s="1" t="n">
        <x:v>121.68</x:v>
      </x:c>
      <x:c r="CK22" s="1" t="n">
        <x:v>101.48</x:v>
      </x:c>
      <x:c r="CL22" s="1" t="n">
        <x:v>114.44</x:v>
      </x:c>
      <x:c r="CM22" s="1" t="n">
        <x:v>94.09</x:v>
      </x:c>
      <x:c r="CN22" s="1"/>
      <x:c r="CO22" s="1"/>
      <x:c r="CP22" s="1"/>
      <x:c r="CQ22" s="1"/>
      <x:c r="CR22" s="1" t="n">
        <x:v>43928.03</x:v>
      </x:c>
      <x:c r="CS22" s="1" t="n">
        <x:v>5502.04</x:v>
      </x:c>
      <x:c r="CT22" s="1" t="n">
        <x:v>136.91</x:v>
      </x:c>
      <x:c r="CU22" s="1" t="n">
        <x:v>156.3</x:v>
      </x:c>
      <x:c r="CV22" s="1" t="n">
        <x:v>157.76</x:v>
      </x:c>
      <x:c r="CW22" s="1" t="n">
        <x:v>185.72</x:v>
      </x:c>
      <x:c r="CX22" s="1" t="n">
        <x:v>19578.07</x:v>
      </x:c>
      <x:c r="CY22" s="1" t="n">
        <x:v>50394</x:v>
      </x:c>
      <x:c r="CZ22" s="1" t="n">
        <x:v>47695.21</x:v>
      </x:c>
      <x:c r="DA22" s="1" t="n">
        <x:v>20081.8</x:v>
      </x:c>
      <x:c r="DB22" s="1" t="n">
        <x:v>17504.15</x:v>
      </x:c>
      <x:c r="DC22" s="1" t="n">
        <x:v>6386.46</x:v>
      </x:c>
      <x:c r="DD22" s="1" t="n">
        <x:v>90485.48</x:v>
      </x:c>
      <x:c r="DE22" s="1" t="n">
        <x:v>17526.14</x:v>
      </x:c>
      <x:c r="DF22" s="1" t="n">
        <x:v>43263.6</x:v>
      </x:c>
      <x:c r="DG22" s="1" t="n">
        <x:v>47898.48</x:v>
      </x:c>
      <x:c r="DH22" s="1" t="n">
        <x:v>67130.54</x:v>
      </x:c>
      <x:c r="DI22" s="1" t="n">
        <x:v>68577.4</x:v>
      </x:c>
      <x:c r="DJ22" s="1" t="n">
        <x:v>79029.09</x:v>
      </x:c>
      <x:c r="DK22" s="1" t="n">
        <x:v>55529.52</x:v>
      </x:c>
      <x:c r="DL22" s="1" t="n">
        <x:v>87437.48</x:v>
      </x:c>
      <x:c r="DM22" s="1" t="n">
        <x:v>46136.68</x:v>
      </x:c>
    </x:row>
    <x:row r="23" ht="23" customHeight="1">
      <x:c r="A23" s="1" t="n">
        <x:v>18</x:v>
      </x:c>
      <x:c r="B23" s="1" t="str">
        <x:v>2-甲基丙醛</x:v>
      </x:c>
      <x:c r="C23" s="1" t="str">
        <x:v>78-84-2</x:v>
      </x:c>
      <x:c r="D23" s="1" t="n">
        <x:v>5.9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 t="n">
        <x:v>225</x:v>
      </x:c>
      <x:c r="O23" s="1" t="n">
        <x:v>394</x:v>
      </x:c>
      <x:c r="P23" s="1" t="n">
        <x:v>470</x:v>
      </x:c>
      <x:c r="Q23" s="1" t="n">
        <x:v>446</x:v>
      </x:c>
      <x:c r="R23" s="1" t="n">
        <x:v>447</x:v>
      </x:c>
      <x:c r="S23" s="1" t="n">
        <x:v>402</x:v>
      </x:c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 t="n">
        <x:v>2380</x:v>
      </x:c>
      <x:c r="AI23" s="1" t="n">
        <x:v>19640</x:v>
      </x:c>
      <x:c r="AJ23" s="1" t="n">
        <x:v>10650</x:v>
      </x:c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 t="n">
        <x:v>39</x:v>
      </x:c>
      <x:c r="BA23" s="1" t="n">
        <x:v>214</x:v>
      </x:c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 t="n">
        <x:v>4000</x:v>
      </x:c>
      <x:c r="BR23" s="1" t="n">
        <x:v>35900</x:v>
      </x:c>
      <x:c r="BS23" s="1" t="n">
        <x:v>11800</x:v>
      </x:c>
      <x:c r="BT23" s="1" t="n">
        <x:v>23400</x:v>
      </x:c>
      <x:c r="BU23" s="1" t="n">
        <x:v>21000</x:v>
      </x:c>
      <x:c r="BV23" s="1" t="n">
        <x:v>1900</x:v>
      </x:c>
      <x:c r="BW23" s="1" t="n">
        <x:v>1300</x:v>
      </x:c>
      <x:c r="BX23" s="1" t="n">
        <x:v>9600</x:v>
      </x:c>
      <x:c r="BY23" s="1" t="n">
        <x:v>3800</x:v>
      </x:c>
      <x:c r="BZ23" s="1" t="n">
        <x:v>310</x:v>
      </x:c>
      <x:c r="CA23" s="1" t="n">
        <x:v>288.81</x:v>
      </x:c>
      <x:c r="CB23" s="1" t="n">
        <x:v>656.65</x:v>
      </x:c>
      <x:c r="CC23" s="1" t="n">
        <x:v>526.6</x:v>
      </x:c>
      <x:c r="CD23" s="1" t="n">
        <x:v>1168.71</x:v>
      </x:c>
      <x:c r="CE23" s="1" t="n">
        <x:v>1060.25</x:v>
      </x:c>
      <x:c r="CF23" s="1" t="n">
        <x:v>658.16</x:v>
      </x:c>
      <x:c r="CG23" s="1" t="n">
        <x:v>374.2</x:v>
      </x:c>
      <x:c r="CH23" s="1" t="n">
        <x:v>287.15</x:v>
      </x:c>
      <x:c r="CI23" s="1" t="n">
        <x:v>1629.71</x:v>
      </x:c>
      <x:c r="CJ23" s="1" t="n">
        <x:v>2058.1</x:v>
      </x:c>
      <x:c r="CK23" s="1" t="n">
        <x:v>1036.25</x:v>
      </x:c>
      <x:c r="CL23" s="1" t="n">
        <x:v>810.15</x:v>
      </x:c>
      <x:c r="CM23" s="1" t="n">
        <x:v>871.87</x:v>
      </x:c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</x:row>
    <x:row r="24" ht="23" customHeight="1">
      <x:c r="A24" s="1" t="n">
        <x:v>19</x:v>
      </x:c>
      <x:c r="B24" s="1" t="str">
        <x:v>2-丁醇a</x:v>
      </x:c>
      <x:c r="C24" s="1" t="str">
        <x:v>78-92-2</x:v>
      </x:c>
      <x:c r="D24" s="1" t="n">
        <x:v>50000</x:v>
      </x:c>
      <x:c r="E24" s="1"/>
      <x:c r="F24" s="1"/>
      <x:c r="G24" s="1" t="n">
        <x:v>5.82</x:v>
      </x:c>
      <x:c r="H24" s="1"/>
      <x:c r="I24" s="1"/>
      <x:c r="J24" s="1"/>
      <x:c r="K24" s="1" t="n">
        <x:v>1.61</x:v>
      </x:c>
      <x:c r="L24" s="1"/>
      <x:c r="M24" s="1"/>
      <x:c r="N24" s="1"/>
      <x:c r="O24" s="1"/>
      <x:c r="P24" s="1"/>
      <x:c r="Q24" s="1"/>
      <x:c r="R24" s="1"/>
      <x:c r="S24" s="1"/>
      <x:c r="T24" s="1" t="n">
        <x:v>1</x:v>
      </x:c>
      <x:c r="U24" s="1" t="n">
        <x:v>0</x:v>
      </x:c>
      <x:c r="V24" s="1"/>
      <x:c r="W24" s="1"/>
      <x:c r="X24" s="1"/>
      <x:c r="Y24" s="1"/>
      <x:c r="Z24" s="1"/>
      <x:c r="AA24" s="1"/>
      <x:c r="AB24" s="1"/>
      <x:c r="AC24" s="1"/>
      <x:c r="AD24" s="1"/>
      <x:c r="AE24" s="1" t="n">
        <x:v>173670</x:v>
      </x:c>
      <x:c r="AF24" s="1"/>
      <x:c r="AG24" s="1"/>
      <x:c r="AH24" s="1" t="n">
        <x:v>2380</x:v>
      </x:c>
      <x:c r="AI24" s="1" t="n">
        <x:v>2740</x:v>
      </x:c>
      <x:c r="AJ24" s="1" t="n">
        <x:v>3250</x:v>
      </x:c>
      <x:c r="AK24" s="1" t="n">
        <x:v>5330</x:v>
      </x:c>
      <x:c r="AL24" s="1" t="n">
        <x:v>8330</x:v>
      </x:c>
      <x:c r="AM24" s="1"/>
      <x:c r="AN24" s="1"/>
      <x:c r="AO24" s="1"/>
      <x:c r="AP24" s="1"/>
      <x:c r="AQ24" s="1" t="n">
        <x:v>67.91</x:v>
      </x:c>
      <x:c r="AR24" s="1" t="n">
        <x:v>19.21</x:v>
      </x:c>
      <x:c r="AS24" s="1" t="n">
        <x:v>36.41</x:v>
      </x:c>
      <x:c r="AT24" s="1" t="n">
        <x:v>45.6</x:v>
      </x:c>
      <x:c r="AU24" s="1"/>
      <x:c r="AV24" s="1" t="n">
        <x:v>39200</x:v>
      </x:c>
      <x:c r="AW24" s="1"/>
      <x:c r="AX24" s="1" t="n">
        <x:v>60900</x:v>
      </x:c>
      <x:c r="AY24" s="1" t="n">
        <x:v>21800</x:v>
      </x:c>
      <x:c r="AZ24" s="1"/>
      <x:c r="BA24" s="1"/>
      <x:c r="BB24" s="1" t="n">
        <x:v>24.08</x:v>
      </x:c>
      <x:c r="BC24" s="1"/>
      <x:c r="BD24" s="1" t="n">
        <x:v>25.45</x:v>
      </x:c>
      <x:c r="BE24" s="1" t="n">
        <x:v>44.71</x:v>
      </x:c>
      <x:c r="BF24" s="1" t="n">
        <x:v>39.62</x:v>
      </x:c>
      <x:c r="BG24" s="1" t="n">
        <x:v>19.56</x:v>
      </x:c>
      <x:c r="BH24" s="1" t="n">
        <x:v>47.13</x:v>
      </x:c>
      <x:c r="BI24" s="1" t="n">
        <x:v>20.93</x:v>
      </x:c>
      <x:c r="BJ24" s="1" t="n">
        <x:v>27.17</x:v>
      </x:c>
      <x:c r="BK24" s="1" t="n">
        <x:v>59.79</x:v>
      </x:c>
      <x:c r="BL24" s="1" t="n">
        <x:v>64.73</x:v>
      </x:c>
      <x:c r="BM24" s="1" t="n">
        <x:v>68.93</x:v>
      </x:c>
      <x:c r="BN24" s="1" t="n">
        <x:v>59.82</x:v>
      </x:c>
      <x:c r="BO24" s="1" t="n">
        <x:v>50.35</x:v>
      </x:c>
      <x:c r="BP24" s="1" t="n">
        <x:v>62.96</x:v>
      </x:c>
      <x:c r="BQ24" s="1"/>
      <x:c r="BR24" s="1"/>
      <x:c r="BS24" s="1"/>
      <x:c r="BT24" s="1"/>
      <x:c r="BU24" s="1"/>
      <x:c r="BV24" s="1"/>
      <x:c r="BW24" s="1"/>
      <x:c r="BX24" s="1"/>
      <x:c r="BY24" s="1"/>
      <x:c r="BZ24" s="1" t="n">
        <x:v>2.935</x:v>
      </x:c>
      <x:c r="CA24" s="1" t="n">
        <x:v>1.025</x:v>
      </x:c>
      <x:c r="CB24" s="1" t="n">
        <x:v>171.54</x:v>
      </x:c>
      <x:c r="CC24" s="1" t="n">
        <x:v>74.53</x:v>
      </x:c>
      <x:c r="CD24" s="1" t="n">
        <x:v>291.86</x:v>
      </x:c>
      <x:c r="CE24" s="1" t="n">
        <x:v>97.56</x:v>
      </x:c>
      <x:c r="CF24" s="1" t="n">
        <x:v>36.54</x:v>
      </x:c>
      <x:c r="CG24" s="1" t="n">
        <x:v>17.37</x:v>
      </x:c>
      <x:c r="CH24" s="1" t="n">
        <x:v>12.81</x:v>
      </x:c>
      <x:c r="CI24" s="1" t="n">
        <x:v>77.49</x:v>
      </x:c>
      <x:c r="CJ24" s="1" t="n">
        <x:v>104.54</x:v>
      </x:c>
      <x:c r="CK24" s="1" t="n">
        <x:v>60.2</x:v>
      </x:c>
      <x:c r="CL24" s="1" t="n">
        <x:v>63.99</x:v>
      </x:c>
      <x:c r="CM24" s="1" t="n">
        <x:v>75.76</x:v>
      </x:c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 t="n">
        <x:v>6042.96</x:v>
      </x:c>
      <x:c r="CY24" s="1" t="n">
        <x:v>35971.24</x:v>
      </x:c>
      <x:c r="CZ24" s="1" t="n">
        <x:v>37999.95</x:v>
      </x:c>
      <x:c r="DA24" s="1" t="n">
        <x:v>8466.48</x:v>
      </x:c>
      <x:c r="DB24" s="1" t="n">
        <x:v>50941.29</x:v>
      </x:c>
      <x:c r="DC24" s="1" t="n">
        <x:v>8127.34</x:v>
      </x:c>
      <x:c r="DD24" s="1" t="n">
        <x:v>50596.51</x:v>
      </x:c>
      <x:c r="DE24" s="1" t="n">
        <x:v>11275.19</x:v>
      </x:c>
      <x:c r="DF24" s="1" t="n">
        <x:v>50380.79</x:v>
      </x:c>
      <x:c r="DG24" s="1" t="n">
        <x:v>9312.92</x:v>
      </x:c>
      <x:c r="DH24" s="1" t="n">
        <x:v>50438.45</x:v>
      </x:c>
      <x:c r="DI24" s="1" t="n">
        <x:v>12304.69</x:v>
      </x:c>
      <x:c r="DJ24" s="1" t="n">
        <x:v>62301.28</x:v>
      </x:c>
      <x:c r="DK24" s="1" t="n">
        <x:v>14993.95</x:v>
      </x:c>
      <x:c r="DL24" s="1" t="n">
        <x:v>79427.29</x:v>
      </x:c>
      <x:c r="DM24" s="1" t="n">
        <x:v>16452.72</x:v>
      </x:c>
    </x:row>
    <x:row r="25" ht="23" customHeight="1">
      <x:c r="A25" s="1" t="n">
        <x:v>20</x:v>
      </x:c>
      <x:c r="B25" s="1" t="str">
        <x:v>丙酸</x:v>
      </x:c>
      <x:c r="C25" s="1" t="str">
        <x:v>79-09-4</x:v>
      </x:c>
      <x:c r="D25" s="1" t="n">
        <x:v>18200</x:v>
      </x:c>
      <x:c r="E25" s="1" t="n">
        <x:v>1935</x:v>
      </x:c>
      <x:c r="F25" s="1" t="n">
        <x:v>13666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 t="n">
        <x:v>24220</x:v>
      </x:c>
      <x:c r="AF25" s="1" t="n">
        <x:v>23880</x:v>
      </x:c>
      <x:c r="AG25" s="1"/>
      <x:c r="AH25" s="1" t="n">
        <x:v>1325</x:v>
      </x:c>
      <x:c r="AI25" s="1" t="n">
        <x:v>760</x:v>
      </x:c>
      <x:c r="AJ25" s="1" t="n">
        <x:v>700</x:v>
      </x:c>
      <x:c r="AK25" s="1" t="n">
        <x:v>24900</x:v>
      </x:c>
      <x:c r="AL25" s="1" t="n">
        <x:v>24050</x:v>
      </x:c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 t="n">
        <x:v>6.39</x:v>
      </x:c>
      <x:c r="BC25" s="1"/>
      <x:c r="BD25" s="1" t="n">
        <x:v>10.98</x:v>
      </x:c>
      <x:c r="BE25" s="1" t="n">
        <x:v>15.99</x:v>
      </x:c>
      <x:c r="BF25" s="1" t="n">
        <x:v>14.4</x:v>
      </x:c>
      <x:c r="BG25" s="1" t="n">
        <x:v>10.23</x:v>
      </x:c>
      <x:c r="BH25" s="1" t="n">
        <x:v>10.89</x:v>
      </x:c>
      <x:c r="BI25" s="1" t="n">
        <x:v>10.25</x:v>
      </x:c>
      <x:c r="BJ25" s="1" t="n">
        <x:v>12.67</x:v>
      </x:c>
      <x:c r="BK25" s="1" t="n">
        <x:v>8.62</x:v>
      </x:c>
      <x:c r="BL25" s="1" t="n">
        <x:v>7.58</x:v>
      </x:c>
      <x:c r="BM25" s="1" t="n">
        <x:v>11.2</x:v>
      </x:c>
      <x:c r="BN25" s="1" t="n">
        <x:v>7.05</x:v>
      </x:c>
      <x:c r="BO25" s="1" t="n">
        <x:v>9.03</x:v>
      </x:c>
      <x:c r="BP25" s="1" t="n">
        <x:v>9.55</x:v>
      </x:c>
      <x:c r="BQ25" s="1" t="n">
        <x:v>8600</x:v>
      </x:c>
      <x:c r="BR25" s="1" t="n">
        <x:v>7800</x:v>
      </x:c>
      <x:c r="BS25" s="1" t="n">
        <x:v>10000</x:v>
      </x:c>
      <x:c r="BT25" s="1" t="n">
        <x:v>7200</x:v>
      </x:c>
      <x:c r="BU25" s="1" t="n">
        <x:v>9800</x:v>
      </x:c>
      <x:c r="BV25" s="1" t="n">
        <x:v>4000</x:v>
      </x:c>
      <x:c r="BW25" s="1" t="n">
        <x:v>9800</x:v>
      </x:c>
      <x:c r="BX25" s="1" t="n">
        <x:v>6900</x:v>
      </x:c>
      <x:c r="BY25" s="1" t="n">
        <x:v>7600</x:v>
      </x:c>
      <x:c r="BZ25" s="1" t="n">
        <x:v>5.99</x:v>
      </x:c>
      <x:c r="CA25" s="1" t="n">
        <x:v>6.045</x:v>
      </x:c>
      <x:c r="CB25" s="1" t="n">
        <x:v>14.53</x:v>
      </x:c>
      <x:c r="CC25" s="1" t="n">
        <x:v>15.33</x:v>
      </x:c>
      <x:c r="CD25" s="1" t="n">
        <x:v>16.29</x:v>
      </x:c>
      <x:c r="CE25" s="1" t="n">
        <x:v>19.06</x:v>
      </x:c>
      <x:c r="CF25" s="1" t="n">
        <x:v>14.5</x:v>
      </x:c>
      <x:c r="CG25" s="1" t="n">
        <x:v>10.03</x:v>
      </x:c>
      <x:c r="CH25" s="1" t="n">
        <x:v>9.8</x:v>
      </x:c>
      <x:c r="CI25" s="1" t="n">
        <x:v>18.46</x:v>
      </x:c>
      <x:c r="CJ25" s="1" t="n">
        <x:v>19.11</x:v>
      </x:c>
      <x:c r="CK25" s="1" t="n">
        <x:v>25.21</x:v>
      </x:c>
      <x:c r="CL25" s="1" t="n">
        <x:v>18.13</x:v>
      </x:c>
      <x:c r="CM25" s="1" t="n">
        <x:v>14.25</x:v>
      </x:c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 t="n">
        <x:v>10370.07</x:v>
      </x:c>
      <x:c r="CY25" s="1" t="n">
        <x:v>8699.07</x:v>
      </x:c>
      <x:c r="CZ25" s="1" t="n">
        <x:v>12095.95</x:v>
      </x:c>
      <x:c r="DA25" s="1" t="n">
        <x:v>5463.55</x:v>
      </x:c>
      <x:c r="DB25" s="1" t="n">
        <x:v>5474.98</x:v>
      </x:c>
      <x:c r="DC25" s="1" t="n">
        <x:v>6226.93</x:v>
      </x:c>
      <x:c r="DD25" s="1" t="n">
        <x:v>8002.66</x:v>
      </x:c>
      <x:c r="DE25" s="1" t="n">
        <x:v>6540.65</x:v>
      </x:c>
      <x:c r="DF25" s="1" t="n">
        <x:v>4721.94</x:v>
      </x:c>
      <x:c r="DG25" s="1" t="n">
        <x:v>5704.31</x:v>
      </x:c>
      <x:c r="DH25" s="1" t="n">
        <x:v>5760.81</x:v>
      </x:c>
      <x:c r="DI25" s="1" t="n">
        <x:v>3618.5</x:v>
      </x:c>
      <x:c r="DJ25" s="1" t="n">
        <x:v>4721.39</x:v>
      </x:c>
      <x:c r="DK25" s="1" t="n">
        <x:v>4567.35</x:v>
      </x:c>
      <x:c r="DL25" s="1" t="n">
        <x:v>6468.84</x:v>
      </x:c>
      <x:c r="DM25" s="1" t="n">
        <x:v>3422.11</x:v>
      </x:c>
    </x:row>
    <x:row r="26" ht="23" customHeight="1">
      <x:c r="A26" s="1" t="n">
        <x:v>21</x:v>
      </x:c>
      <x:c r="B26" s="1" t="str">
        <x:v>异丁酸</x:v>
      </x:c>
      <x:c r="C26" s="1" t="str">
        <x:v>79-31-2</x:v>
      </x:c>
      <x:c r="D26" s="1" t="n">
        <x:v>1580</x:v>
      </x:c>
      <x:c r="E26" s="1" t="n">
        <x:v>95</x:v>
      </x:c>
      <x:c r="F26" s="1" t="n">
        <x:v>1130</x:v>
      </x:c>
      <x:c r="G26" s="1" t="n">
        <x:v>4.17</x:v>
      </x:c>
      <x:c r="H26" s="1" t="n">
        <x:v>14.17</x:v>
      </x:c>
      <x:c r="I26" s="1" t="n">
        <x:v>0.66</x:v>
      </x:c>
      <x:c r="J26" s="1" t="n">
        <x:v>4.13</x:v>
      </x:c>
      <x:c r="K26" s="1" t="n">
        <x:v>0.37</x:v>
      </x:c>
      <x:c r="L26" s="1"/>
      <x:c r="M26" s="1"/>
      <x:c r="N26" s="1" t="n">
        <x:v>4761</x:v>
      </x:c>
      <x:c r="O26" s="1" t="n">
        <x:v>4222</x:v>
      </x:c>
      <x:c r="P26" s="1" t="n">
        <x:v>4638</x:v>
      </x:c>
      <x:c r="Q26" s="1" t="n">
        <x:v>3808</x:v>
      </x:c>
      <x:c r="R26" s="1" t="n">
        <x:v>3681</x:v>
      </x:c>
      <x:c r="S26" s="1" t="n">
        <x:v>4290</x:v>
      </x:c>
      <x:c r="T26" s="1" t="n">
        <x:v>40</x:v>
      </x:c>
      <x:c r="U26" s="1" t="n">
        <x:v>35</x:v>
      </x:c>
      <x:c r="V26" s="1"/>
      <x:c r="W26" s="1"/>
      <x:c r="X26" s="1"/>
      <x:c r="Y26" s="1"/>
      <x:c r="Z26" s="1"/>
      <x:c r="AA26" s="1"/>
      <x:c r="AB26" s="1"/>
      <x:c r="AC26" s="1"/>
      <x:c r="AD26" s="1"/>
      <x:c r="AE26" s="1" t="n">
        <x:v>490</x:v>
      </x:c>
      <x:c r="AF26" s="1" t="n">
        <x:v>2740</x:v>
      </x:c>
      <x:c r="AG26" s="1"/>
      <x:c r="AH26" s="1" t="n">
        <x:v>500</x:v>
      </x:c>
      <x:c r="AI26" s="1" t="n">
        <x:v>280</x:v>
      </x:c>
      <x:c r="AJ26" s="1" t="n">
        <x:v>350</x:v>
      </x:c>
      <x:c r="AK26" s="1"/>
      <x:c r="AL26" s="1"/>
      <x:c r="AM26" s="1"/>
      <x:c r="AN26" s="1"/>
      <x:c r="AO26" s="1"/>
      <x:c r="AP26" s="1"/>
      <x:c r="AQ26" s="1" t="n">
        <x:v>4.25</x:v>
      </x:c>
      <x:c r="AR26" s="1" t="n">
        <x:v>3.58</x:v>
      </x:c>
      <x:c r="AS26" s="1" t="n">
        <x:v>4.64</x:v>
      </x:c>
      <x:c r="AT26" s="1" t="n">
        <x:v>5.39</x:v>
      </x:c>
      <x:c r="AU26" s="1"/>
      <x:c r="AV26" s="1"/>
      <x:c r="AW26" s="1"/>
      <x:c r="AX26" s="1"/>
      <x:c r="AY26" s="1"/>
      <x:c r="AZ26" s="1"/>
      <x:c r="BA26" s="1"/>
      <x:c r="BB26" s="1" t="n">
        <x:v>4.76</x:v>
      </x:c>
      <x:c r="BC26" s="1"/>
      <x:c r="BD26" s="1" t="n">
        <x:v>8.74</x:v>
      </x:c>
      <x:c r="BE26" s="1" t="n">
        <x:v>12.19</x:v>
      </x:c>
      <x:c r="BF26" s="1" t="n">
        <x:v>11.6</x:v>
      </x:c>
      <x:c r="BG26" s="1" t="n">
        <x:v>8.6</x:v>
      </x:c>
      <x:c r="BH26" s="1" t="n">
        <x:v>9.33</x:v>
      </x:c>
      <x:c r="BI26" s="1" t="n">
        <x:v>9.57</x:v>
      </x:c>
      <x:c r="BJ26" s="1" t="n">
        <x:v>11.96</x:v>
      </x:c>
      <x:c r="BK26" s="1" t="n">
        <x:v>15.99</x:v>
      </x:c>
      <x:c r="BL26" s="1" t="n">
        <x:v>11.29</x:v>
      </x:c>
      <x:c r="BM26" s="1" t="n">
        <x:v>16.14</x:v>
      </x:c>
      <x:c r="BN26" s="1" t="n">
        <x:v>9.88</x:v>
      </x:c>
      <x:c r="BO26" s="1" t="n">
        <x:v>16.26</x:v>
      </x:c>
      <x:c r="BP26" s="1" t="n">
        <x:v>5.37</x:v>
      </x:c>
      <x:c r="BQ26" s="1"/>
      <x:c r="BR26" s="1"/>
      <x:c r="BS26" s="1"/>
      <x:c r="BT26" s="1"/>
      <x:c r="BU26" s="1"/>
      <x:c r="BV26" s="1"/>
      <x:c r="BW26" s="1"/>
      <x:c r="BX26" s="1"/>
      <x:c r="BY26" s="1"/>
      <x:c r="BZ26" s="1" t="n">
        <x:v>5.235</x:v>
      </x:c>
      <x:c r="CA26" s="1" t="n">
        <x:v>6.585</x:v>
      </x:c>
      <x:c r="CB26" s="1" t="n">
        <x:v>5.55</x:v>
      </x:c>
      <x:c r="CC26" s="1" t="n">
        <x:v>8.62</x:v>
      </x:c>
      <x:c r="CD26" s="1" t="n">
        <x:v>8.16</x:v>
      </x:c>
      <x:c r="CE26" s="1" t="n">
        <x:v>38.42</x:v>
      </x:c>
      <x:c r="CF26" s="1" t="n">
        <x:v>7.6</x:v>
      </x:c>
      <x:c r="CG26" s="1" t="n">
        <x:v>1.86</x:v>
      </x:c>
      <x:c r="CH26" s="1" t="n">
        <x:v>2</x:v>
      </x:c>
      <x:c r="CI26" s="1" t="n">
        <x:v>57.22</x:v>
      </x:c>
      <x:c r="CJ26" s="1" t="n">
        <x:v>15.67</x:v>
      </x:c>
      <x:c r="CK26" s="1" t="n">
        <x:v>15</x:v>
      </x:c>
      <x:c r="CL26" s="1" t="n">
        <x:v>17.26</x:v>
      </x:c>
      <x:c r="CM26" s="1" t="n">
        <x:v>14.97</x:v>
      </x:c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 t="n">
        <x:v>7073.44</x:v>
      </x:c>
      <x:c r="CY26" s="1" t="n">
        <x:v>6267.03</x:v>
      </x:c>
      <x:c r="CZ26" s="1" t="n">
        <x:v>5102.38</x:v>
      </x:c>
      <x:c r="DA26" s="1" t="n">
        <x:v>5181.62</x:v>
      </x:c>
      <x:c r="DB26" s="1" t="n">
        <x:v>2695.34</x:v>
      </x:c>
      <x:c r="DC26" s="1" t="n">
        <x:v>5502.99</x:v>
      </x:c>
      <x:c r="DD26" s="1" t="n">
        <x:v>11637.33</x:v>
      </x:c>
      <x:c r="DE26" s="1" t="n">
        <x:v>5907.56</x:v>
      </x:c>
      <x:c r="DF26" s="1" t="n">
        <x:v>7129.58</x:v>
      </x:c>
      <x:c r="DG26" s="1" t="n">
        <x:v>5210.99</x:v>
      </x:c>
      <x:c r="DH26" s="1" t="n">
        <x:v>3106.8</x:v>
      </x:c>
      <x:c r="DI26" s="1" t="n">
        <x:v>2693.7</x:v>
      </x:c>
      <x:c r="DJ26" s="1" t="n">
        <x:v>6823.71</x:v>
      </x:c>
      <x:c r="DK26" s="1" t="n">
        <x:v>4325.9</x:v>
      </x:c>
      <x:c r="DL26" s="1" t="n">
        <x:v>4767.81</x:v>
      </x:c>
      <x:c r="DM26" s="1" t="n">
        <x:v>3153</x:v>
      </x:c>
    </x:row>
    <x:row r="27" ht="23" customHeight="1">
      <x:c r="A27" s="1" t="n">
        <x:v>22</x:v>
      </x:c>
      <x:c r="B27" s="1"/>
      <x:c r="C27" s="1" t="str">
        <x:v>83-34-1</x:v>
      </x:c>
      <x:c r="D27" s="1"/>
      <x:c r="E27" s="1"/>
      <x:c r="F27" s="1" t="n">
        <x:v>46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</x:row>
    <x:row r="28" ht="23" customHeight="1">
      <x:c r="A28" s="1" t="n">
        <x:v>23</x:v>
      </x:c>
      <x:c r="B28" s="1"/>
      <x:c r="C28" s="1" t="str">
        <x:v>84-74-2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 t="n">
        <x:v>224</x:v>
      </x:c>
      <x:c r="O28" s="1" t="n">
        <x:v>1061</x:v>
      </x:c>
      <x:c r="P28" s="1" t="n">
        <x:v>1455</x:v>
      </x:c>
      <x:c r="Q28" s="1" t="n">
        <x:v>873</x:v>
      </x:c>
      <x:c r="R28" s="1" t="n">
        <x:v>1130</x:v>
      </x:c>
      <x:c r="S28" s="1" t="n">
        <x:v>1568</x:v>
      </x:c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</x:row>
    <x:row r="29" ht="23" customHeight="1">
      <x:c r="A29" s="1" t="n">
        <x:v>24</x:v>
      </x:c>
      <x:c r="B29" s="1" t="str">
        <x:v>百里酚</x:v>
      </x:c>
      <x:c r="C29" s="1" t="str">
        <x:v>89-83-8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 t="n">
        <x:v>1</x:v>
      </x:c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  <x:c r="DE29" s="1"/>
      <x:c r="DF29" s="1"/>
      <x:c r="DG29" s="1"/>
      <x:c r="DH29" s="1"/>
      <x:c r="DI29" s="1"/>
      <x:c r="DJ29" s="1"/>
      <x:c r="DK29" s="1"/>
      <x:c r="DL29" s="1"/>
      <x:c r="DM29" s="1"/>
    </x:row>
    <x:row r="30" ht="23" customHeight="1">
      <x:c r="A30" s="1" t="n">
        <x:v>25</x:v>
      </x:c>
      <x:c r="B30" s="1" t="str">
        <x:v>愈创木酚</x:v>
      </x:c>
      <x:c r="C30" s="1" t="str">
        <x:v>90-05-1</x:v>
      </x:c>
      <x:c r="D30" s="1" t="n">
        <x:v>9.2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 t="n">
        <x:v>40100</x:v>
      </x:c>
      <x:c r="BR30" s="1" t="n">
        <x:v>32800</x:v>
      </x:c>
      <x:c r="BS30" s="1" t="n">
        <x:v>15300</x:v>
      </x:c>
      <x:c r="BT30" s="1" t="n">
        <x:v>8700</x:v>
      </x:c>
      <x:c r="BU30" s="1" t="n">
        <x:v>25500</x:v>
      </x:c>
      <x:c r="BV30" s="1" t="n">
        <x:v>2000</x:v>
      </x:c>
      <x:c r="BW30" s="1" t="n">
        <x:v>35400</x:v>
      </x:c>
      <x:c r="BX30" s="1" t="n">
        <x:v>18200</x:v>
      </x:c>
      <x:c r="BY30" s="1" t="n">
        <x:v>35400</x:v>
      </x:c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</x:row>
    <x:row r="31" ht="23" customHeight="1">
      <x:c r="A31" s="1" t="n">
        <x:v>26</x:v>
      </x:c>
      <x:c r="B31" s="1" t="str">
        <x:v>2-甲氧基-4-甲基苯酚（2-甲氧基对甲酚）</x:v>
      </x:c>
      <x:c r="C31" s="1" t="str">
        <x:v>93-51-6</x:v>
      </x:c>
      <x:c r="D31" s="1"/>
      <x:c r="E31" s="1"/>
      <x:c r="F31" s="1" t="n">
        <x:v>425</x:v>
      </x:c>
      <x:c r="G31" s="1"/>
      <x:c r="H31" s="1"/>
      <x:c r="I31" s="1"/>
      <x:c r="J31" s="1"/>
      <x:c r="K31" s="1"/>
      <x:c r="L31" s="1" t="n">
        <x:v>579</x:v>
      </x:c>
      <x:c r="M31" s="1" t="n">
        <x:v>579</x:v>
      </x:c>
      <x:c r="N31" s="1"/>
      <x:c r="O31" s="1"/>
      <x:c r="P31" s="1"/>
      <x:c r="Q31" s="1"/>
      <x:c r="R31" s="1"/>
      <x:c r="S31" s="1"/>
      <x:c r="T31" s="1"/>
      <x:c r="U31" s="1"/>
      <x:c r="V31" s="1" t="n">
        <x:v>2</x:v>
      </x:c>
      <x:c r="W31" s="1"/>
      <x:c r="X31" s="1"/>
      <x:c r="Y31" s="1"/>
      <x:c r="Z31" s="1" t="n">
        <x:v>143</x:v>
      </x:c>
      <x:c r="AA31" s="1"/>
      <x:c r="AB31" s="1" t="n">
        <x:v>1140</x:v>
      </x:c>
      <x:c r="AC31" s="1" t="n">
        <x:v>514</x:v>
      </x:c>
      <x:c r="AD31" s="1" t="n">
        <x:v>600</x:v>
      </x:c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 t="n">
        <x:v>29</x:v>
      </x:c>
      <x:c r="BA31" s="1" t="n">
        <x:v>16</x:v>
      </x:c>
      <x:c r="BB31" s="1"/>
      <x:c r="BC31" s="1"/>
      <x:c r="BD31" s="1"/>
      <x:c r="BE31" s="1"/>
      <x:c r="BF31" s="1"/>
      <x:c r="BG31" s="1"/>
      <x:c r="BH31" s="1"/>
      <x:c r="BI31" s="1"/>
      <x:c r="BJ31" s="1"/>
      <x:c r="BK31" s="1" t="n">
        <x:v>1615.12</x:v>
      </x:c>
      <x:c r="BL31" s="1" t="n">
        <x:v>1931</x:v>
      </x:c>
      <x:c r="BM31" s="1" t="n">
        <x:v>728.83</x:v>
      </x:c>
      <x:c r="BN31" s="1" t="n">
        <x:v>504.32</x:v>
      </x:c>
      <x:c r="BO31" s="1" t="n">
        <x:v>431.81</x:v>
      </x:c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 t="n">
        <x:v>16.06</x:v>
      </x:c>
      <x:c r="CA31" s="1" t="n">
        <x:v>26.1</x:v>
      </x:c>
      <x:c r="CB31" s="1" t="n">
        <x:v>1527.08</x:v>
      </x:c>
      <x:c r="CC31" s="1" t="n">
        <x:v>317.41</x:v>
      </x:c>
      <x:c r="CD31" s="1" t="n">
        <x:v>684.45</x:v>
      </x:c>
      <x:c r="CE31" s="1" t="n">
        <x:v>994.41</x:v>
      </x:c>
      <x:c r="CF31" s="1" t="n">
        <x:v>94.92</x:v>
      </x:c>
      <x:c r="CG31" s="1" t="n">
        <x:v>20.54</x:v>
      </x:c>
      <x:c r="CH31" s="1" t="n">
        <x:v>11.26</x:v>
      </x:c>
      <x:c r="CI31" s="1" t="n">
        <x:v>197.85</x:v>
      </x:c>
      <x:c r="CJ31" s="1" t="n">
        <x:v>115.21</x:v>
      </x:c>
      <x:c r="CK31" s="1" t="n">
        <x:v>57.77</x:v>
      </x:c>
      <x:c r="CL31" s="1" t="n">
        <x:v>126.81</x:v>
      </x:c>
      <x:c r="CM31" s="1" t="n">
        <x:v>304.56</x:v>
      </x:c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 t="n">
        <x:v>14.87</x:v>
      </x:c>
      <x:c r="DA31" s="1"/>
      <x:c r="DB31" s="1"/>
      <x:c r="DC31" s="1" t="n">
        <x:v>163.52</x:v>
      </x:c>
      <x:c r="DD31" s="1" t="n">
        <x:v>22</x:v>
      </x:c>
      <x:c r="DE31" s="1" t="n">
        <x:v>245.74</x:v>
      </x:c>
      <x:c r="DF31" s="1" t="n">
        <x:v>54.1</x:v>
      </x:c>
      <x:c r="DG31" s="1"/>
      <x:c r="DH31" s="1"/>
      <x:c r="DI31" s="1"/>
      <x:c r="DJ31" s="1"/>
      <x:c r="DK31" s="1"/>
      <x:c r="DL31" s="1"/>
      <x:c r="DM31" s="1"/>
    </x:row>
    <x:row r="32" ht="23" customHeight="1">
      <x:c r="A32" s="1" t="n">
        <x:v>27</x:v>
      </x:c>
      <x:c r="B32" s="1" t="str">
        <x:v>苯甲酸甲酯</x:v>
      </x:c>
      <x:c r="C32" s="1" t="str">
        <x:v>93-58-3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 t="n">
        <x:v>21.015</x:v>
      </x:c>
      <x:c r="CA32" s="1" t="n">
        <x:v>16.965</x:v>
      </x:c>
      <x:c r="CB32" s="1" t="n">
        <x:v>151.92</x:v>
      </x:c>
      <x:c r="CC32" s="1" t="n">
        <x:v>147.17</x:v>
      </x:c>
      <x:c r="CD32" s="1" t="n">
        <x:v>210.59</x:v>
      </x:c>
      <x:c r="CE32" s="1" t="n">
        <x:v>224.22</x:v>
      </x:c>
      <x:c r="CF32" s="1" t="n">
        <x:v>79.72</x:v>
      </x:c>
      <x:c r="CG32" s="1" t="n">
        <x:v>65.68</x:v>
      </x:c>
      <x:c r="CH32" s="1" t="n">
        <x:v>41.3</x:v>
      </x:c>
      <x:c r="CI32" s="1" t="n">
        <x:v>114.17</x:v>
      </x:c>
      <x:c r="CJ32" s="1" t="n">
        <x:v>169.26</x:v>
      </x:c>
      <x:c r="CK32" s="1" t="n">
        <x:v>170.43</x:v>
      </x:c>
      <x:c r="CL32" s="1" t="n">
        <x:v>91.85</x:v>
      </x:c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</x:row>
    <x:row r="33" ht="23" customHeight="1">
      <x:c r="A33" s="1" t="n">
        <x:v>28</x:v>
      </x:c>
      <x:c r="B33" s="1" t="str">
        <x:v>苯甲酸乙酯</x:v>
      </x:c>
      <x:c r="C33" s="1" t="str">
        <x:v>93-89-0</x:v>
      </x:c>
      <x:c r="D33" s="1" t="n">
        <x:v>407</x:v>
      </x:c>
      <x:c r="E33" s="1" t="n">
        <x:v>62</x:v>
      </x:c>
      <x:c r="F33" s="1" t="n">
        <x:v>174</x:v>
      </x:c>
      <x:c r="G33" s="1"/>
      <x:c r="H33" s="1" t="n">
        <x:v>0.18</x:v>
      </x:c>
      <x:c r="I33" s="1"/>
      <x:c r="J33" s="1"/>
      <x:c r="K33" s="1" t="n">
        <x:v>0.74</x:v>
      </x:c>
      <x:c r="L33" s="1"/>
      <x:c r="M33" s="1"/>
      <x:c r="N33" s="1"/>
      <x:c r="O33" s="1"/>
      <x:c r="P33" s="1"/>
      <x:c r="Q33" s="1"/>
      <x:c r="R33" s="1"/>
      <x:c r="S33" s="1"/>
      <x:c r="T33" s="1" t="n">
        <x:v>1</x:v>
      </x:c>
      <x:c r="U33" s="1" t="n">
        <x:v>0</x:v>
      </x:c>
      <x:c r="V33" s="1" t="n">
        <x:v>2</x:v>
      </x:c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 t="n">
        <x:v>280</x:v>
      </x:c>
      <x:c r="AL33" s="1" t="n">
        <x:v>4640</x:v>
      </x:c>
      <x:c r="AM33" s="1"/>
      <x:c r="AN33" s="1"/>
      <x:c r="AO33" s="1"/>
      <x:c r="AP33" s="1"/>
      <x:c r="AQ33" s="1"/>
      <x:c r="AR33" s="1"/>
      <x:c r="AS33" s="1"/>
      <x:c r="AT33" s="1"/>
      <x:c r="AU33" s="1" t="n">
        <x:v>5.58</x:v>
      </x:c>
      <x:c r="AV33" s="1"/>
      <x:c r="AW33" s="1"/>
      <x:c r="AX33" s="1"/>
      <x:c r="AY33" s="1"/>
      <x:c r="AZ33" s="1" t="n">
        <x:v>532</x:v>
      </x:c>
      <x:c r="BA33" s="1"/>
      <x:c r="BB33" s="1"/>
      <x:c r="BC33" s="1"/>
      <x:c r="BD33" s="1" t="n">
        <x:v>189.52</x:v>
      </x:c>
      <x:c r="BE33" s="1" t="n">
        <x:v>886.13</x:v>
      </x:c>
      <x:c r="BF33" s="1" t="n">
        <x:v>546.41</x:v>
      </x:c>
      <x:c r="BG33" s="1" t="n">
        <x:v>81.16</x:v>
      </x:c>
      <x:c r="BH33" s="1"/>
      <x:c r="BI33" s="1" t="n">
        <x:v>90.55</x:v>
      </x:c>
      <x:c r="BJ33" s="1"/>
      <x:c r="BK33" s="1" t="n">
        <x:v>1724.43</x:v>
      </x:c>
      <x:c r="BL33" s="1" t="n">
        <x:v>1418.23</x:v>
      </x:c>
      <x:c r="BM33" s="1" t="n">
        <x:v>1959</x:v>
      </x:c>
      <x:c r="BN33" s="1" t="n">
        <x:v>1792</x:v>
      </x:c>
      <x:c r="BO33" s="1" t="n">
        <x:v>1532</x:v>
      </x:c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 t="n">
        <x:v>136.8</x:v>
      </x:c>
      <x:c r="CN33" s="1"/>
      <x:c r="CO33" s="1"/>
      <x:c r="CP33" s="1"/>
      <x:c r="CQ33" s="1"/>
      <x:c r="CR33" s="1" t="n">
        <x:v>595.77</x:v>
      </x:c>
      <x:c r="CS33" s="1" t="n">
        <x:v>683</x:v>
      </x:c>
      <x:c r="CT33" s="1"/>
      <x:c r="CU33" s="1"/>
      <x:c r="CV33" s="1"/>
      <x:c r="CW33" s="1"/>
      <x:c r="CX33" s="1"/>
      <x:c r="CY33" s="1" t="n">
        <x:v>10.78</x:v>
      </x:c>
      <x:c r="CZ33" s="1" t="n">
        <x:v>12.15</x:v>
      </x:c>
      <x:c r="DA33" s="1"/>
      <x:c r="DB33" s="1" t="n">
        <x:v>3.31</x:v>
      </x:c>
      <x:c r="DC33" s="1"/>
      <x:c r="DD33" s="1" t="n">
        <x:v>14.88</x:v>
      </x:c>
      <x:c r="DE33" s="1"/>
      <x:c r="DF33" s="1" t="n">
        <x:v>43.06</x:v>
      </x:c>
      <x:c r="DG33" s="1" t="n">
        <x:v>5.19</x:v>
      </x:c>
      <x:c r="DH33" s="1" t="n">
        <x:v>26.59</x:v>
      </x:c>
      <x:c r="DI33" s="1" t="n">
        <x:v>15.52</x:v>
      </x:c>
      <x:c r="DJ33" s="1" t="n">
        <x:v>16.3</x:v>
      </x:c>
      <x:c r="DK33" s="1" t="n">
        <x:v>3.75</x:v>
      </x:c>
      <x:c r="DL33" s="1" t="n">
        <x:v>47.94</x:v>
      </x:c>
      <x:c r="DM33" s="1" t="n">
        <x:v>2.16</x:v>
      </x:c>
    </x:row>
    <x:row r="34" ht="23" customHeight="1">
      <x:c r="A34" s="1" t="n">
        <x:v>29</x:v>
      </x:c>
      <x:c r="B34" s="1" t="str">
        <x:v>2-甲基丁醛</x:v>
      </x:c>
      <x:c r="C34" s="1" t="str">
        <x:v>96-17-3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 t="n">
        <x:v>6.26</x:v>
      </x:c>
      <x:c r="AR34" s="1" t="n">
        <x:v>10.78</x:v>
      </x:c>
      <x:c r="AS34" s="1" t="n">
        <x:v>6.53</x:v>
      </x:c>
      <x:c r="AT34" s="1" t="n">
        <x:v>6.05</x:v>
      </x:c>
      <x:c r="AU34" s="1"/>
      <x:c r="AV34" s="1"/>
      <x:c r="AW34" s="1"/>
      <x:c r="AX34" s="1"/>
      <x:c r="AY34" s="1"/>
      <x:c r="AZ34" s="1"/>
      <x:c r="BA34" s="1" t="n">
        <x:v>435</x:v>
      </x:c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</x:row>
    <x:row r="35" ht="23" customHeight="1">
      <x:c r="A35" s="1" t="n">
        <x:v>30</x:v>
      </x:c>
      <x:c r="B35" s="1"/>
      <x:c r="C35" s="1" t="str">
        <x:v>96-41-3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 t="n">
        <x:v>42900</x:v>
      </x:c>
      <x:c r="X35" s="1" t="n">
        <x:v>13900</x:v>
      </x:c>
      <x:c r="Y35" s="1" t="n">
        <x:v>9260</x:v>
      </x:c>
      <x:c r="Z35" s="1" t="n">
        <x:v>7720</x:v>
      </x:c>
      <x:c r="AA35" s="1" t="n">
        <x:v>6000</x:v>
      </x:c>
      <x:c r="AB35" s="1" t="n">
        <x:v>4000</x:v>
      </x:c>
      <x:c r="AC35" s="1" t="n">
        <x:v>4040</x:v>
      </x:c>
      <x:c r="AD35" s="1" t="n">
        <x:v>2500</x:v>
      </x:c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  <x:c r="DE35" s="1"/>
      <x:c r="DF35" s="1"/>
      <x:c r="DG35" s="1"/>
      <x:c r="DH35" s="1"/>
      <x:c r="DI35" s="1"/>
      <x:c r="DJ35" s="1"/>
      <x:c r="DK35" s="1"/>
      <x:c r="DL35" s="1"/>
      <x:c r="DM35" s="1"/>
    </x:row>
    <x:row r="36" ht="23" customHeight="1">
      <x:c r="A36" s="1" t="n">
        <x:v>31</x:v>
      </x:c>
      <x:c r="B36" s="1" t="str">
        <x:v>γ-丁内酯</x:v>
      </x:c>
      <x:c r="C36" s="1" t="str">
        <x:v>96-48-0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 t="n">
        <x:v>5.95</x:v>
      </x:c>
      <x:c r="CZ36" s="1" t="n">
        <x:v>13.48</x:v>
      </x:c>
      <x:c r="DA36" s="1"/>
      <x:c r="DB36" s="1" t="n">
        <x:v>7</x:v>
      </x:c>
      <x:c r="DC36" s="1" t="n">
        <x:v>4.01</x:v>
      </x:c>
      <x:c r="DD36" s="1" t="n">
        <x:v>14.88</x:v>
      </x:c>
      <x:c r="DE36" s="1"/>
      <x:c r="DF36" s="1" t="n">
        <x:v>8.22</x:v>
      </x:c>
      <x:c r="DG36" s="1" t="n">
        <x:v>3.82</x:v>
      </x:c>
      <x:c r="DH36" s="1" t="n">
        <x:v>5.16</x:v>
      </x:c>
      <x:c r="DI36" s="1" t="n">
        <x:v>7.85</x:v>
      </x:c>
      <x:c r="DJ36" s="1" t="n">
        <x:v>7.84</x:v>
      </x:c>
      <x:c r="DK36" s="1" t="n">
        <x:v>2.36</x:v>
      </x:c>
      <x:c r="DL36" s="1" t="n">
        <x:v>8.94</x:v>
      </x:c>
      <x:c r="DM36" s="1" t="n">
        <x:v>4.79</x:v>
      </x:c>
    </x:row>
    <x:row r="37" ht="23" customHeight="1">
      <x:c r="A37" s="1" t="n">
        <x:v>32</x:v>
      </x:c>
      <x:c r="B37" s="1" t="str">
        <x:v>异丁酸乙酯</x:v>
      </x:c>
      <x:c r="C37" s="1" t="str">
        <x:v>97-62-1</x:v>
      </x:c>
      <x:c r="D37" s="1" t="n">
        <x:v>57.5</x:v>
      </x:c>
      <x:c r="E37" s="1" t="n">
        <x:v>8766</x:v>
      </x:c>
      <x:c r="F37" s="1" t="n">
        <x:v>9437</x:v>
      </x:c>
      <x:c r="G37" s="1"/>
      <x:c r="H37" s="1"/>
      <x:c r="I37" s="1"/>
      <x:c r="J37" s="1"/>
      <x:c r="K37" s="1"/>
      <x:c r="L37" s="1"/>
      <x:c r="M37" s="1"/>
      <x:c r="N37" s="1" t="n">
        <x:v>423</x:v>
      </x:c>
      <x:c r="O37" s="1" t="n">
        <x:v>2609</x:v>
      </x:c>
      <x:c r="P37" s="1" t="n">
        <x:v>2399</x:v>
      </x:c>
      <x:c r="Q37" s="1" t="n">
        <x:v>1629</x:v>
      </x:c>
      <x:c r="R37" s="1" t="n">
        <x:v>1263</x:v>
      </x:c>
      <x:c r="S37" s="1" t="n">
        <x:v>1996</x:v>
      </x:c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 t="n">
        <x:v>278</x:v>
      </x:c>
      <x:c r="BA37" s="1" t="n">
        <x:v>1529</x:v>
      </x:c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 t="n">
        <x:v>316.1667</x:v>
      </x:c>
      <x:c r="CA37" s="1" t="n">
        <x:v>458.1367</x:v>
      </x:c>
      <x:c r="CB37" s="1" t="n">
        <x:v>139.41</x:v>
      </x:c>
      <x:c r="CC37" s="1" t="n">
        <x:v>112.74</x:v>
      </x:c>
      <x:c r="CD37" s="1" t="n">
        <x:v>168.68</x:v>
      </x:c>
      <x:c r="CE37" s="1" t="n">
        <x:v>101.53</x:v>
      </x:c>
      <x:c r="CF37" s="1" t="n">
        <x:v>32.16</x:v>
      </x:c>
      <x:c r="CG37" s="1" t="n">
        <x:v>27.67</x:v>
      </x:c>
      <x:c r="CH37" s="1" t="n">
        <x:v>18.68</x:v>
      </x:c>
      <x:c r="CI37" s="1" t="n">
        <x:v>163.09</x:v>
      </x:c>
      <x:c r="CJ37" s="1" t="n">
        <x:v>139.11</x:v>
      </x:c>
      <x:c r="CK37" s="1" t="n">
        <x:v>89.01</x:v>
      </x:c>
      <x:c r="CL37" s="1" t="n">
        <x:v>75.29</x:v>
      </x:c>
      <x:c r="CM37" s="1" t="n">
        <x:v>95.04</x:v>
      </x:c>
      <x:c r="CN37" s="1" t="n">
        <x:v>21326</x:v>
      </x:c>
      <x:c r="CO37" s="1" t="n">
        <x:v>37489</x:v>
      </x:c>
      <x:c r="CP37" s="1" t="n">
        <x:v>33475</x:v>
      </x:c>
      <x:c r="CQ37" s="1" t="n">
        <x:v>37250</x:v>
      </x:c>
      <x:c r="CR37" s="1"/>
      <x:c r="CS37" s="1"/>
      <x:c r="CT37" s="1"/>
      <x:c r="CU37" s="1"/>
      <x:c r="CV37" s="1"/>
      <x:c r="CW37" s="1"/>
      <x:c r="CX37" s="1" t="n">
        <x:v>4280.96</x:v>
      </x:c>
      <x:c r="CY37" s="1" t="n">
        <x:v>7501.54</x:v>
      </x:c>
      <x:c r="CZ37" s="1" t="n">
        <x:v>9686.24</x:v>
      </x:c>
      <x:c r="DA37" s="1" t="n">
        <x:v>4648.18</x:v>
      </x:c>
      <x:c r="DB37" s="1" t="n">
        <x:v>9045.98</x:v>
      </x:c>
      <x:c r="DC37" s="1" t="n">
        <x:v>3179.8</x:v>
      </x:c>
      <x:c r="DD37" s="1" t="n">
        <x:v>7994.54</x:v>
      </x:c>
      <x:c r="DE37" s="1" t="n">
        <x:v>3738.95</x:v>
      </x:c>
      <x:c r="DF37" s="1" t="n">
        <x:v>24164.91</x:v>
      </x:c>
      <x:c r="DG37" s="1" t="n">
        <x:v>5759.47</x:v>
      </x:c>
      <x:c r="DH37" s="1" t="n">
        <x:v>12778.8</x:v>
      </x:c>
      <x:c r="DI37" s="1" t="n">
        <x:v>3856.65</x:v>
      </x:c>
      <x:c r="DJ37" s="1" t="n">
        <x:v>11326.25</x:v>
      </x:c>
      <x:c r="DK37" s="1" t="n">
        <x:v>4007.07</x:v>
      </x:c>
      <x:c r="DL37" s="1" t="n">
        <x:v>15064.28</x:v>
      </x:c>
      <x:c r="DM37" s="1" t="n">
        <x:v>8215.18</x:v>
      </x:c>
    </x:row>
    <x:row r="38" ht="23" customHeight="1">
      <x:c r="A38" s="1" t="n">
        <x:v>33</x:v>
      </x:c>
      <x:c r="B38" s="1" t="str">
        <x:v>乳酸乙酯</x:v>
      </x:c>
      <x:c r="C38" s="1" t="str">
        <x:v>97-64-3</x:v>
      </x:c>
      <x:c r="D38" s="1" t="n">
        <x:v>100000</x:v>
      </x:c>
      <x:c r="E38" s="1"/>
      <x:c r="F38" s="1"/>
      <x:c r="G38" s="1" t="n">
        <x:v>301.95</x:v>
      </x:c>
      <x:c r="H38" s="1" t="n">
        <x:v>5.42</x:v>
      </x:c>
      <x:c r="I38" s="1" t="n">
        <x:v>58.95</x:v>
      </x:c>
      <x:c r="J38" s="1" t="n">
        <x:v>107.81</x:v>
      </x:c>
      <x:c r="K38" s="1" t="n">
        <x:v>17.43</x:v>
      </x:c>
      <x:c r="L38" s="1"/>
      <x:c r="M38" s="1"/>
      <x:c r="N38" s="1" t="n">
        <x:v>9536</x:v>
      </x:c>
      <x:c r="O38" s="1" t="n">
        <x:v>11834</x:v>
      </x:c>
      <x:c r="P38" s="1" t="n">
        <x:v>12452</x:v>
      </x:c>
      <x:c r="Q38" s="1" t="n">
        <x:v>14838</x:v>
      </x:c>
      <x:c r="R38" s="1" t="n">
        <x:v>13251</x:v>
      </x:c>
      <x:c r="S38" s="1" t="n">
        <x:v>10544</x:v>
      </x:c>
      <x:c r="T38" s="1" t="n">
        <x:v>4</x:v>
      </x:c>
      <x:c r="U38" s="1" t="n">
        <x:v>5</x:v>
      </x:c>
      <x:c r="V38" s="1"/>
      <x:c r="W38" s="1" t="n">
        <x:v>20700</x:v>
      </x:c>
      <x:c r="X38" s="1" t="n">
        <x:v>11600</x:v>
      </x:c>
      <x:c r="Y38" s="1" t="n">
        <x:v>13200</x:v>
      </x:c>
      <x:c r="Z38" s="1" t="n">
        <x:v>10900</x:v>
      </x:c>
      <x:c r="AA38" s="1" t="n">
        <x:v>14100</x:v>
      </x:c>
      <x:c r="AB38" s="1" t="n">
        <x:v>4870</x:v>
      </x:c>
      <x:c r="AC38" s="1" t="n">
        <x:v>6010</x:v>
      </x:c>
      <x:c r="AD38" s="1"/>
      <x:c r="AE38" s="1"/>
      <x:c r="AF38" s="1"/>
      <x:c r="AG38" s="1"/>
      <x:c r="AH38" s="1" t="n">
        <x:v>61130</x:v>
      </x:c>
      <x:c r="AI38" s="1" t="n">
        <x:v>63360</x:v>
      </x:c>
      <x:c r="AJ38" s="1" t="n">
        <x:v>94500</x:v>
      </x:c>
      <x:c r="AK38" s="1"/>
      <x:c r="AL38" s="1"/>
      <x:c r="AM38" s="1" t="n">
        <x:v>1610</x:v>
      </x:c>
      <x:c r="AN38" s="1" t="n">
        <x:v>3950</x:v>
      </x:c>
      <x:c r="AO38" s="1" t="n">
        <x:v>4140</x:v>
      </x:c>
      <x:c r="AP38" s="1" t="n">
        <x:v>1250</x:v>
      </x:c>
      <x:c r="AQ38" s="1" t="n">
        <x:v>385.91</x:v>
      </x:c>
      <x:c r="AR38" s="1" t="n">
        <x:v>758.7</x:v>
      </x:c>
      <x:c r="AS38" s="1" t="n">
        <x:v>599.95</x:v>
      </x:c>
      <x:c r="AT38" s="1" t="n">
        <x:v>605.5</x:v>
      </x:c>
      <x:c r="AU38" s="1" t="n">
        <x:v>496.83</x:v>
      </x:c>
      <x:c r="AV38" s="1" t="n">
        <x:v>204101.5</x:v>
      </x:c>
      <x:c r="AW38" s="1" t="n">
        <x:v>9</x:v>
      </x:c>
      <x:c r="AX38" s="1" t="n">
        <x:v>187451.5</x:v>
      </x:c>
      <x:c r="AY38" s="1" t="n">
        <x:v>543300</x:v>
      </x:c>
      <x:c r="AZ38" s="1"/>
      <x:c r="BA38" s="1"/>
      <x:c r="BB38" s="1" t="n">
        <x:v>730.22</x:v>
      </x:c>
      <x:c r="BC38" s="1" t="n">
        <x:v>8</x:v>
      </x:c>
      <x:c r="BD38" s="1" t="n">
        <x:v>714.42</x:v>
      </x:c>
      <x:c r="BE38" s="1" t="n">
        <x:v>591.5</x:v>
      </x:c>
      <x:c r="BF38" s="1" t="n">
        <x:v>434.805</x:v>
      </x:c>
      <x:c r="BG38" s="1" t="n">
        <x:v>980.56</x:v>
      </x:c>
      <x:c r="BH38" s="1" t="n">
        <x:v>1006.12</x:v>
      </x:c>
      <x:c r="BI38" s="1" t="n">
        <x:v>1122.95</x:v>
      </x:c>
      <x:c r="BJ38" s="1" t="n">
        <x:v>451.02</x:v>
      </x:c>
      <x:c r="BK38" s="1" t="n">
        <x:v>2728.89</x:v>
      </x:c>
      <x:c r="BL38" s="1" t="n">
        <x:v>1428</x:v>
      </x:c>
      <x:c r="BM38" s="1" t="n">
        <x:v>1529</x:v>
      </x:c>
      <x:c r="BN38" s="1" t="n">
        <x:v>1145.23</x:v>
      </x:c>
      <x:c r="BO38" s="1" t="n">
        <x:v>1290.21</x:v>
      </x:c>
      <x:c r="BP38" s="1" t="n">
        <x:v>635.52</x:v>
      </x:c>
      <x:c r="BQ38" s="1"/>
      <x:c r="BR38" s="1"/>
      <x:c r="BS38" s="1"/>
      <x:c r="BT38" s="1"/>
      <x:c r="BU38" s="1"/>
      <x:c r="BV38" s="1"/>
      <x:c r="BW38" s="1"/>
      <x:c r="BX38" s="1"/>
      <x:c r="BY38" s="1"/>
      <x:c r="BZ38" s="1" t="n">
        <x:v>652.9567</x:v>
      </x:c>
      <x:c r="CA38" s="1" t="n">
        <x:v>824.61</x:v>
      </x:c>
      <x:c r="CB38" s="1" t="n">
        <x:v>2260.79</x:v>
      </x:c>
      <x:c r="CC38" s="1" t="n">
        <x:v>2420</x:v>
      </x:c>
      <x:c r="CD38" s="1" t="n">
        <x:v>2429.4</x:v>
      </x:c>
      <x:c r="CE38" s="1" t="n">
        <x:v>1566.77</x:v>
      </x:c>
      <x:c r="CF38" s="1" t="n">
        <x:v>1701.58</x:v>
      </x:c>
      <x:c r="CG38" s="1" t="n">
        <x:v>810.97</x:v>
      </x:c>
      <x:c r="CH38" s="1" t="n">
        <x:v>996.29</x:v>
      </x:c>
      <x:c r="CI38" s="1" t="n">
        <x:v>1616.91</x:v>
      </x:c>
      <x:c r="CJ38" s="1" t="n">
        <x:v>1892.45</x:v>
      </x:c>
      <x:c r="CK38" s="1" t="n">
        <x:v>1169.25</x:v>
      </x:c>
      <x:c r="CL38" s="1" t="n">
        <x:v>2904.77</x:v>
      </x:c>
      <x:c r="CM38" s="1" t="n">
        <x:v>1801.47</x:v>
      </x:c>
      <x:c r="CN38" s="1" t="n">
        <x:v>858500</x:v>
      </x:c>
      <x:c r="CO38" s="1" t="n">
        <x:v>887454</x:v>
      </x:c>
      <x:c r="CP38" s="1" t="n">
        <x:v>1020605</x:v>
      </x:c>
      <x:c r="CQ38" s="1" t="n">
        <x:v>1067145</x:v>
      </x:c>
      <x:c r="CR38" s="1" t="n">
        <x:v>1056971</x:v>
      </x:c>
      <x:c r="CS38" s="1" t="n">
        <x:v>1025253</x:v>
      </x:c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  <x:c r="DE38" s="1"/>
      <x:c r="DF38" s="1"/>
      <x:c r="DG38" s="1"/>
      <x:c r="DH38" s="1"/>
      <x:c r="DI38" s="1"/>
      <x:c r="DJ38" s="1"/>
      <x:c r="DK38" s="1"/>
      <x:c r="DL38" s="1"/>
      <x:c r="DM38" s="1"/>
    </x:row>
    <x:row r="39" ht="23" customHeight="1">
      <x:c r="A39" s="1" t="n">
        <x:v>34</x:v>
      </x:c>
      <x:c r="B39" s="1" t="str">
        <x:v>糠醇</x:v>
      </x:c>
      <x:c r="C39" s="1" t="str">
        <x:v>98-00-0</x:v>
      </x:c>
      <x:c r="D39" s="1" t="n">
        <x:v>15000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 t="n">
        <x:v>0</x:v>
      </x:c>
      <x:c r="U39" s="1" t="n">
        <x:v>1</x:v>
      </x:c>
      <x:c r="V39" s="1"/>
      <x:c r="W39" s="1" t="n">
        <x:v>21200</x:v>
      </x:c>
      <x:c r="X39" s="1" t="n">
        <x:v>61600</x:v>
      </x:c>
      <x:c r="Y39" s="1" t="n">
        <x:v>99400</x:v>
      </x:c>
      <x:c r="Z39" s="1" t="n">
        <x:v>144000</x:v>
      </x:c>
      <x:c r="AA39" s="1" t="n">
        <x:v>186000</x:v>
      </x:c>
      <x:c r="AB39" s="1" t="n">
        <x:v>279000</x:v>
      </x:c>
      <x:c r="AC39" s="1" t="n">
        <x:v>276000</x:v>
      </x:c>
      <x:c r="AD39" s="1" t="n">
        <x:v>225000</x:v>
      </x:c>
      <x:c r="AE39" s="1" t="n">
        <x:v>3700</x:v>
      </x:c>
      <x:c r="AF39" s="1" t="n">
        <x:v>5250</x:v>
      </x:c>
      <x:c r="AG39" s="1" t="n">
        <x:v>7575</x:v>
      </x:c>
      <x:c r="AH39" s="1" t="n">
        <x:v>10</x:v>
      </x:c>
      <x:c r="AI39" s="1" t="n">
        <x:v>30</x:v>
      </x:c>
      <x:c r="AJ39" s="1" t="n">
        <x:v>30</x:v>
      </x:c>
      <x:c r="AK39" s="1"/>
      <x:c r="AL39" s="1"/>
      <x:c r="AM39" s="1"/>
      <x:c r="AN39" s="1"/>
      <x:c r="AO39" s="1"/>
      <x:c r="AP39" s="1"/>
      <x:c r="AQ39" s="1" t="n">
        <x:v>1.71</x:v>
      </x:c>
      <x:c r="AR39" s="1" t="n">
        <x:v>2.32</x:v>
      </x:c>
      <x:c r="AS39" s="1" t="n">
        <x:v>4.21</x:v>
      </x:c>
      <x:c r="AT39" s="1" t="n">
        <x:v>4.24</x:v>
      </x:c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 t="n">
        <x:v>1900</x:v>
      </x:c>
      <x:c r="BR39" s="1" t="n">
        <x:v>1900</x:v>
      </x:c>
      <x:c r="BS39" s="1" t="n">
        <x:v>2100</x:v>
      </x:c>
      <x:c r="BT39" s="1" t="n">
        <x:v>4300</x:v>
      </x:c>
      <x:c r="BU39" s="1" t="n">
        <x:v>6200</x:v>
      </x:c>
      <x:c r="BV39" s="1" t="n">
        <x:v>5000</x:v>
      </x:c>
      <x:c r="BW39" s="1" t="n">
        <x:v>1600</x:v>
      </x:c>
      <x:c r="BX39" s="1" t="n">
        <x:v>6900</x:v>
      </x:c>
      <x:c r="BY39" s="1" t="n">
        <x:v>1500</x:v>
      </x:c>
      <x:c r="BZ39" s="1" t="n">
        <x:v>4.065</x:v>
      </x:c>
      <x:c r="CA39" s="1" t="n">
        <x:v>4.145</x:v>
      </x:c>
      <x:c r="CB39" s="1" t="n">
        <x:v>6.49</x:v>
      </x:c>
      <x:c r="CC39" s="1" t="n">
        <x:v>11.28</x:v>
      </x:c>
      <x:c r="CD39" s="1" t="n">
        <x:v>11.37</x:v>
      </x:c>
      <x:c r="CE39" s="1" t="n">
        <x:v>9.88</x:v>
      </x:c>
      <x:c r="CF39" s="1" t="n">
        <x:v>7.66</x:v>
      </x:c>
      <x:c r="CG39" s="1" t="n">
        <x:v>7</x:v>
      </x:c>
      <x:c r="CH39" s="1" t="n">
        <x:v>6.89</x:v>
      </x:c>
      <x:c r="CI39" s="1" t="n">
        <x:v>13.02</x:v>
      </x:c>
      <x:c r="CJ39" s="1" t="n">
        <x:v>9.69</x:v>
      </x:c>
      <x:c r="CK39" s="1" t="n">
        <x:v>9.25</x:v>
      </x:c>
      <x:c r="CL39" s="1" t="n">
        <x:v>8.68</x:v>
      </x:c>
      <x:c r="CM39" s="1" t="n">
        <x:v>8.49</x:v>
      </x:c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</x:row>
    <x:row r="40" ht="23" customHeight="1">
      <x:c r="A40" s="1" t="n">
        <x:v>35</x:v>
      </x:c>
      <x:c r="B40" s="1" t="str">
        <x:v>糠醛</x:v>
      </x:c>
      <x:c r="C40" s="1" t="str">
        <x:v>98-01-1</x:v>
      </x:c>
      <x:c r="D40" s="1" t="n">
        <x:v>44000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 t="n">
        <x:v>0</x:v>
      </x:c>
      <x:c r="U40" s="1" t="n">
        <x:v>1</x:v>
      </x:c>
      <x:c r="V40" s="1"/>
      <x:c r="W40" s="1" t="n">
        <x:v>51100</x:v>
      </x:c>
      <x:c r="X40" s="1" t="n">
        <x:v>22800</x:v>
      </x:c>
      <x:c r="Y40" s="1" t="n">
        <x:v>34700</x:v>
      </x:c>
      <x:c r="Z40" s="1" t="n">
        <x:v>19600</x:v>
      </x:c>
      <x:c r="AA40" s="1" t="n">
        <x:v>41400</x:v>
      </x:c>
      <x:c r="AB40" s="1" t="n">
        <x:v>20500</x:v>
      </x:c>
      <x:c r="AC40" s="1" t="n">
        <x:v>38400</x:v>
      </x:c>
      <x:c r="AD40" s="1" t="n">
        <x:v>3880</x:v>
      </x:c>
      <x:c r="AE40" s="1" t="n">
        <x:v>2390</x:v>
      </x:c>
      <x:c r="AF40" s="1" t="n">
        <x:v>3210</x:v>
      </x:c>
      <x:c r="AG40" s="1" t="n">
        <x:v>13445</x:v>
      </x:c>
      <x:c r="AH40" s="1" t="n">
        <x:v>20</x:v>
      </x:c>
      <x:c r="AI40" s="1"/>
      <x:c r="AJ40" s="1"/>
      <x:c r="AK40" s="1" t="n">
        <x:v>15500</x:v>
      </x:c>
      <x:c r="AL40" s="1" t="n">
        <x:v>9570</x:v>
      </x:c>
      <x:c r="AM40" s="1"/>
      <x:c r="AN40" s="1"/>
      <x:c r="AO40" s="1"/>
      <x:c r="AP40" s="1"/>
      <x:c r="AQ40" s="1"/>
      <x:c r="AR40" s="1" t="n">
        <x:v>12.36</x:v>
      </x:c>
      <x:c r="AS40" s="1" t="n">
        <x:v>23.41</x:v>
      </x:c>
      <x:c r="AT40" s="1" t="n">
        <x:v>25.93</x:v>
      </x:c>
      <x:c r="AU40" s="1" t="n">
        <x:v>28.43</x:v>
      </x:c>
      <x:c r="AV40" s="1"/>
      <x:c r="AW40" s="1"/>
      <x:c r="AX40" s="1"/>
      <x:c r="AY40" s="1"/>
      <x:c r="AZ40" s="1" t="n">
        <x:v>351</x:v>
      </x:c>
      <x:c r="BA40" s="1"/>
      <x:c r="BB40" s="1"/>
      <x:c r="BC40" s="1"/>
      <x:c r="BD40" s="1" t="n">
        <x:v>13.08</x:v>
      </x:c>
      <x:c r="BE40" s="1" t="n">
        <x:v>28.78</x:v>
      </x:c>
      <x:c r="BF40" s="1" t="n">
        <x:v>17.5</x:v>
      </x:c>
      <x:c r="BG40" s="1" t="n">
        <x:v>10.81</x:v>
      </x:c>
      <x:c r="BH40" s="1"/>
      <x:c r="BI40" s="1" t="n">
        <x:v>11.09</x:v>
      </x:c>
      <x:c r="BJ40" s="1"/>
      <x:c r="BK40" s="1" t="n">
        <x:v>4198.21</x:v>
      </x:c>
      <x:c r="BL40" s="1" t="n">
        <x:v>2141</x:v>
      </x:c>
      <x:c r="BM40" s="1" t="n">
        <x:v>5813.34</x:v>
      </x:c>
      <x:c r="BN40" s="1"/>
      <x:c r="BO40" s="1" t="n">
        <x:v>713.72</x:v>
      </x:c>
      <x:c r="BP40" s="1"/>
      <x:c r="BQ40" s="1" t="n">
        <x:v>96000</x:v>
      </x:c>
      <x:c r="BR40" s="1" t="n">
        <x:v>57300</x:v>
      </x:c>
      <x:c r="BS40" s="1" t="n">
        <x:v>24300</x:v>
      </x:c>
      <x:c r="BT40" s="1" t="n">
        <x:v>70600</x:v>
      </x:c>
      <x:c r="BU40" s="1" t="n">
        <x:v>55000</x:v>
      </x:c>
      <x:c r="BV40" s="1" t="n">
        <x:v>122400</x:v>
      </x:c>
      <x:c r="BW40" s="1" t="n">
        <x:v>68400</x:v>
      </x:c>
      <x:c r="BX40" s="1" t="n">
        <x:v>202500</x:v>
      </x:c>
      <x:c r="BY40" s="1" t="n">
        <x:v>69000</x:v>
      </x:c>
      <x:c r="BZ40" s="1" t="n">
        <x:v>14.715</x:v>
      </x:c>
      <x:c r="CA40" s="1" t="n">
        <x:v>7.96</x:v>
      </x:c>
      <x:c r="CB40" s="1" t="n">
        <x:v>9.26</x:v>
      </x:c>
      <x:c r="CC40" s="1" t="n">
        <x:v>68.09</x:v>
      </x:c>
      <x:c r="CD40" s="1" t="n">
        <x:v>27.3</x:v>
      </x:c>
      <x:c r="CE40" s="1" t="n">
        <x:v>53.7</x:v>
      </x:c>
      <x:c r="CF40" s="1" t="n">
        <x:v>21.74</x:v>
      </x:c>
      <x:c r="CG40" s="1" t="n">
        <x:v>8.68</x:v>
      </x:c>
      <x:c r="CH40" s="1" t="n">
        <x:v>2.36</x:v>
      </x:c>
      <x:c r="CI40" s="1" t="n">
        <x:v>145.88</x:v>
      </x:c>
      <x:c r="CJ40" s="1" t="n">
        <x:v>114.18</x:v>
      </x:c>
      <x:c r="CK40" s="1" t="n">
        <x:v>58.65</x:v>
      </x:c>
      <x:c r="CL40" s="1" t="n">
        <x:v>25.03</x:v>
      </x:c>
      <x:c r="CM40" s="1" t="n">
        <x:v>47.28</x:v>
      </x:c>
      <x:c r="CN40" s="1"/>
      <x:c r="CO40" s="1"/>
      <x:c r="CP40" s="1"/>
      <x:c r="CQ40" s="1"/>
      <x:c r="CR40" s="1" t="n">
        <x:v>14795.45</x:v>
      </x:c>
      <x:c r="CS40" s="1" t="n">
        <x:v>25341.79</x:v>
      </x:c>
      <x:c r="CT40" s="1"/>
      <x:c r="CU40" s="1"/>
      <x:c r="CV40" s="1"/>
      <x:c r="CW40" s="1"/>
      <x:c r="CX40" s="1" t="n">
        <x:v>8577.67</x:v>
      </x:c>
      <x:c r="CY40" s="1" t="n">
        <x:v>27990.73</x:v>
      </x:c>
      <x:c r="CZ40" s="1" t="n">
        <x:v>49042.56</x:v>
      </x:c>
      <x:c r="DA40" s="1" t="n">
        <x:v>12792.01</x:v>
      </x:c>
      <x:c r="DB40" s="1" t="n">
        <x:v>49044.67</x:v>
      </x:c>
      <x:c r="DC40" s="1" t="n">
        <x:v>6102.98</x:v>
      </x:c>
      <x:c r="DD40" s="1" t="n">
        <x:v>56557.1</x:v>
      </x:c>
      <x:c r="DE40" s="1" t="n">
        <x:v>6931.64</x:v>
      </x:c>
      <x:c r="DF40" s="1" t="n">
        <x:v>99557.66</x:v>
      </x:c>
      <x:c r="DG40" s="1" t="n">
        <x:v>7729.41</x:v>
      </x:c>
      <x:c r="DH40" s="1" t="n">
        <x:v>102809.55</x:v>
      </x:c>
      <x:c r="DI40" s="1" t="n">
        <x:v>7132.02</x:v>
      </x:c>
      <x:c r="DJ40" s="1" t="n">
        <x:v>80825.83</x:v>
      </x:c>
      <x:c r="DK40" s="1" t="n">
        <x:v>4960.43</x:v>
      </x:c>
      <x:c r="DL40" s="1" t="n">
        <x:v>21057.66</x:v>
      </x:c>
      <x:c r="DM40" s="1" t="n">
        <x:v>11654.91</x:v>
      </x:c>
    </x:row>
    <x:row r="41" ht="23" customHeight="1">
      <x:c r="A41" s="1" t="n">
        <x:v>36</x:v>
      </x:c>
      <x:c r="B41" s="1"/>
      <x:c r="C41" s="1" t="str">
        <x:v>98-03-3</x:v>
      </x:c>
      <x:c r="D41" s="1"/>
      <x:c r="E41" s="1" t="n">
        <x:v>11</x:v>
      </x:c>
      <x:c r="F41" s="1" t="n">
        <x:v>22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  <x:c r="DE41" s="1"/>
      <x:c r="DF41" s="1"/>
      <x:c r="DG41" s="1"/>
      <x:c r="DH41" s="1"/>
      <x:c r="DI41" s="1"/>
      <x:c r="DJ41" s="1"/>
      <x:c r="DK41" s="1"/>
      <x:c r="DL41" s="1"/>
      <x:c r="DM41" s="1"/>
    </x:row>
    <x:row r="42" ht="23" customHeight="1">
      <x:c r="A42" s="1" t="n">
        <x:v>37</x:v>
      </x:c>
      <x:c r="B42" s="1" t="str">
        <x:v>苯乙酮</x:v>
      </x:c>
      <x:c r="C42" s="1" t="str">
        <x:v>98-86-2</x:v>
      </x:c>
      <x:c r="D42" s="1" t="n">
        <x:v>256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 t="n">
        <x:v>1.375</x:v>
      </x:c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 t="n">
        <x:v>369</x:v>
      </x:c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 t="n">
        <x:v>30.61</x:v>
      </x:c>
      <x:c r="CA42" s="1" t="n">
        <x:v>19.705</x:v>
      </x:c>
      <x:c r="CB42" s="1" t="n">
        <x:v>19.91</x:v>
      </x:c>
      <x:c r="CC42" s="1" t="n">
        <x:v>18.39</x:v>
      </x:c>
      <x:c r="CD42" s="1" t="n">
        <x:v>43.69</x:v>
      </x:c>
      <x:c r="CE42" s="1" t="n">
        <x:v>37.31</x:v>
      </x:c>
      <x:c r="CF42" s="1" t="n">
        <x:v>96.48</x:v>
      </x:c>
      <x:c r="CG42" s="1" t="n">
        <x:v>8.78</x:v>
      </x:c>
      <x:c r="CH42" s="1" t="n">
        <x:v>12.06</x:v>
      </x:c>
      <x:c r="CI42" s="1" t="n">
        <x:v>43.13</x:v>
      </x:c>
      <x:c r="CJ42" s="1" t="n">
        <x:v>34.23</x:v>
      </x:c>
      <x:c r="CK42" s="1" t="n">
        <x:v>35.11</x:v>
      </x:c>
      <x:c r="CL42" s="1" t="n">
        <x:v>17.38</x:v>
      </x:c>
      <x:c r="CM42" s="1" t="n">
        <x:v>32.8</x:v>
      </x:c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 t="n">
        <x:v>32.24</x:v>
      </x:c>
      <x:c r="CY42" s="1" t="n">
        <x:v>56.01</x:v>
      </x:c>
      <x:c r="CZ42" s="1" t="n">
        <x:v>24.62</x:v>
      </x:c>
      <x:c r="DA42" s="1" t="n">
        <x:v>57.67</x:v>
      </x:c>
      <x:c r="DB42" s="1"/>
      <x:c r="DC42" s="1" t="n">
        <x:v>70.37</x:v>
      </x:c>
      <x:c r="DD42" s="1" t="n">
        <x:v>68.24</x:v>
      </x:c>
      <x:c r="DE42" s="1" t="n">
        <x:v>44.97</x:v>
      </x:c>
      <x:c r="DF42" s="1" t="n">
        <x:v>213.28</x:v>
      </x:c>
      <x:c r="DG42" s="1" t="n">
        <x:v>79.01</x:v>
      </x:c>
      <x:c r="DH42" s="1" t="n">
        <x:v>311.24</x:v>
      </x:c>
      <x:c r="DI42" s="1" t="n">
        <x:v>93.69</x:v>
      </x:c>
      <x:c r="DJ42" s="1" t="n">
        <x:v>342.79</x:v>
      </x:c>
      <x:c r="DK42" s="1" t="n">
        <x:v>79.74</x:v>
      </x:c>
      <x:c r="DL42" s="1" t="n">
        <x:v>48.93</x:v>
      </x:c>
      <x:c r="DM42" s="1" t="n">
        <x:v>38.03</x:v>
      </x:c>
    </x:row>
    <x:row r="43" ht="23" customHeight="1">
      <x:c r="A43" s="1" t="n">
        <x:v>38</x:v>
      </x:c>
      <x:c r="B43" s="1" t="str">
        <x:v>苯甲醇</x:v>
      </x:c>
      <x:c r="C43" s="1" t="str">
        <x:v>100-51-6</x:v>
      </x:c>
      <x:c r="D43" s="1" t="n">
        <x:v>40927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 t="n">
        <x:v>1.75</x:v>
      </x:c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 t="n">
        <x:v>79.32</x:v>
      </x:c>
      <x:c r="CY43" s="1" t="n">
        <x:v>86.43</x:v>
      </x:c>
      <x:c r="CZ43" s="1" t="n">
        <x:v>112.82</x:v>
      </x:c>
      <x:c r="DA43" s="1" t="n">
        <x:v>125.07</x:v>
      </x:c>
      <x:c r="DB43" s="1" t="n">
        <x:v>46.69</x:v>
      </x:c>
      <x:c r="DC43" s="1" t="n">
        <x:v>26.7</x:v>
      </x:c>
      <x:c r="DD43" s="1" t="n">
        <x:v>20.96</x:v>
      </x:c>
      <x:c r="DE43" s="1" t="n">
        <x:v>93.64</x:v>
      </x:c>
      <x:c r="DF43" s="1" t="n">
        <x:v>6.3</x:v>
      </x:c>
      <x:c r="DG43" s="1" t="n">
        <x:v>5.32</x:v>
      </x:c>
      <x:c r="DH43" s="1" t="n">
        <x:v>11.46</x:v>
      </x:c>
      <x:c r="DI43" s="1" t="n">
        <x:v>2.94</x:v>
      </x:c>
      <x:c r="DJ43" s="1" t="n">
        <x:v>8.66</x:v>
      </x:c>
      <x:c r="DK43" s="1" t="n">
        <x:v>4.64</x:v>
      </x:c>
      <x:c r="DL43" s="1" t="n">
        <x:v>65.17</x:v>
      </x:c>
      <x:c r="DM43" s="1" t="n">
        <x:v>40.95</x:v>
      </x:c>
    </x:row>
    <x:row r="44" ht="23" customHeight="1">
      <x:c r="A44" s="1" t="n">
        <x:v>39</x:v>
      </x:c>
      <x:c r="B44" s="1" t="str">
        <x:v>苯甲醛</x:v>
      </x:c>
      <x:c r="C44" s="1" t="str">
        <x:v>100-52-7</x:v>
      </x:c>
      <x:c r="D44" s="1" t="n">
        <x:v>4203</x:v>
      </x:c>
      <x:c r="E44" s="1"/>
      <x:c r="F44" s="1"/>
      <x:c r="G44" s="1"/>
      <x:c r="H44" s="1" t="n">
        <x:v>6.38</x:v>
      </x:c>
      <x:c r="I44" s="1" t="n">
        <x:v>1.78</x:v>
      </x:c>
      <x:c r="J44" s="1" t="n">
        <x:v>6.4</x:v>
      </x:c>
      <x:c r="K44" s="1" t="n">
        <x:v>1.52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 t="n">
        <x:v>1940</x:v>
      </x:c>
      <x:c r="AF44" s="1" t="n">
        <x:v>2410</x:v>
      </x:c>
      <x:c r="AG44" s="1" t="n">
        <x:v>1870</x:v>
      </x:c>
      <x:c r="AH44" s="1" t="n">
        <x:v>80</x:v>
      </x:c>
      <x:c r="AI44" s="1"/>
      <x:c r="AJ44" s="1" t="n">
        <x:v>5</x:v>
      </x:c>
      <x:c r="AK44" s="1" t="n">
        <x:v>1280</x:v>
      </x:c>
      <x:c r="AL44" s="1" t="n">
        <x:v>1550</x:v>
      </x:c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 t="n">
        <x:v>237</x:v>
      </x:c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 t="n">
        <x:v>6400</x:v>
      </x:c>
      <x:c r="BR44" s="1" t="n">
        <x:v>6800</x:v>
      </x:c>
      <x:c r="BS44" s="1" t="n">
        <x:v>4300</x:v>
      </x:c>
      <x:c r="BT44" s="1" t="n">
        <x:v>4300</x:v>
      </x:c>
      <x:c r="BU44" s="1" t="n">
        <x:v>5500</x:v>
      </x:c>
      <x:c r="BV44" s="1" t="n">
        <x:v>1100</x:v>
      </x:c>
      <x:c r="BW44" s="1" t="n">
        <x:v>2300</x:v>
      </x:c>
      <x:c r="BX44" s="1" t="n">
        <x:v>6000</x:v>
      </x:c>
      <x:c r="BY44" s="1" t="n">
        <x:v>3100</x:v>
      </x:c>
      <x:c r="BZ44" s="1" t="n">
        <x:v>1515.35</x:v>
      </x:c>
      <x:c r="CA44" s="1" t="n">
        <x:v>1081.79</x:v>
      </x:c>
      <x:c r="CB44" s="1" t="n">
        <x:v>4111.54</x:v>
      </x:c>
      <x:c r="CC44" s="1" t="n">
        <x:v>2714.1</x:v>
      </x:c>
      <x:c r="CD44" s="1" t="n">
        <x:v>8572.82</x:v>
      </x:c>
      <x:c r="CE44" s="1" t="n">
        <x:v>5496.27</x:v>
      </x:c>
      <x:c r="CF44" s="1" t="n">
        <x:v>2264.37</x:v>
      </x:c>
      <x:c r="CG44" s="1" t="n">
        <x:v>3335.37</x:v>
      </x:c>
      <x:c r="CH44" s="1" t="n">
        <x:v>756.08</x:v>
      </x:c>
      <x:c r="CI44" s="1" t="n">
        <x:v>6034.3</x:v>
      </x:c>
      <x:c r="CJ44" s="1" t="n">
        <x:v>6800.39</x:v>
      </x:c>
      <x:c r="CK44" s="1" t="n">
        <x:v>7920.95</x:v>
      </x:c>
      <x:c r="CL44" s="1" t="n">
        <x:v>2409.07</x:v>
      </x:c>
      <x:c r="CM44" s="1" t="n">
        <x:v>3893.36</x:v>
      </x:c>
      <x:c r="CN44" s="1"/>
      <x:c r="CO44" s="1"/>
      <x:c r="CP44" s="1"/>
      <x:c r="CQ44" s="1"/>
      <x:c r="CR44" s="1"/>
      <x:c r="CS44" s="1" t="n">
        <x:v>74.72</x:v>
      </x:c>
      <x:c r="CT44" s="1"/>
      <x:c r="CU44" s="1"/>
      <x:c r="CV44" s="1"/>
      <x:c r="CW44" s="1"/>
      <x:c r="CX44" s="1"/>
      <x:c r="CY44" s="1" t="n">
        <x:v>987.02</x:v>
      </x:c>
      <x:c r="CZ44" s="1" t="n">
        <x:v>875.39</x:v>
      </x:c>
      <x:c r="DA44" s="1"/>
      <x:c r="DB44" s="1" t="n">
        <x:v>207.5</x:v>
      </x:c>
      <x:c r="DC44" s="1"/>
      <x:c r="DD44" s="1" t="n">
        <x:v>591.82</x:v>
      </x:c>
      <x:c r="DE44" s="1"/>
      <x:c r="DF44" s="1" t="n">
        <x:v>837.5</x:v>
      </x:c>
      <x:c r="DG44" s="1"/>
      <x:c r="DH44" s="1" t="n">
        <x:v>876.67</x:v>
      </x:c>
      <x:c r="DI44" s="1"/>
      <x:c r="DJ44" s="1" t="n">
        <x:v>681.59</x:v>
      </x:c>
      <x:c r="DK44" s="1"/>
      <x:c r="DL44" s="1" t="n">
        <x:v>866.03</x:v>
      </x:c>
      <x:c r="DM44" s="1"/>
    </x:row>
    <x:row r="45" ht="23" customHeight="1">
      <x:c r="A45" s="1" t="n">
        <x:v>40</x:v>
      </x:c>
      <x:c r="B45" s="1" t="str">
        <x:v>苯乙酸乙酯</x:v>
      </x:c>
      <x:c r="C45" s="1" t="str">
        <x:v>101-97-3</x:v>
      </x:c>
      <x:c r="D45" s="1" t="n">
        <x:v>407</x:v>
      </x:c>
      <x:c r="E45" s="1" t="n">
        <x:v>61</x:v>
      </x:c>
      <x:c r="F45" s="1" t="n">
        <x:v>341</x:v>
      </x:c>
      <x:c r="G45" s="1" t="n">
        <x:v>6.62</x:v>
      </x:c>
      <x:c r="H45" s="1" t="n">
        <x:v>5.24</x:v>
      </x:c>
      <x:c r="I45" s="1" t="n">
        <x:v>1.9</x:v>
      </x:c>
      <x:c r="J45" s="1" t="n">
        <x:v>3.05</x:v>
      </x:c>
      <x:c r="K45" s="1" t="n">
        <x:v>2.52</x:v>
      </x:c>
      <x:c r="L45" s="1" t="n">
        <x:v>515</x:v>
      </x:c>
      <x:c r="M45" s="1" t="n">
        <x:v>457</x:v>
      </x:c>
      <x:c r="N45" s="1" t="n">
        <x:v>6967</x:v>
      </x:c>
      <x:c r="O45" s="1" t="n">
        <x:v>11475</x:v>
      </x:c>
      <x:c r="P45" s="1" t="n">
        <x:v>12405</x:v>
      </x:c>
      <x:c r="Q45" s="1" t="n">
        <x:v>9560</x:v>
      </x:c>
      <x:c r="R45" s="1" t="n">
        <x:v>10421</x:v>
      </x:c>
      <x:c r="S45" s="1" t="n">
        <x:v>10783</x:v>
      </x:c>
      <x:c r="T45" s="1"/>
      <x:c r="U45" s="1"/>
      <x:c r="V45" s="1" t="n">
        <x:v>1.875</x:v>
      </x:c>
      <x:c r="W45" s="1" t="n">
        <x:v>6740</x:v>
      </x:c>
      <x:c r="X45" s="1" t="n">
        <x:v>4230</x:v>
      </x:c>
      <x:c r="Y45" s="1" t="n">
        <x:v>5510</x:v>
      </x:c>
      <x:c r="Z45" s="1" t="n">
        <x:v>7660</x:v>
      </x:c>
      <x:c r="AA45" s="1" t="n">
        <x:v>9890</x:v>
      </x:c>
      <x:c r="AB45" s="1" t="n">
        <x:v>17100</x:v>
      </x:c>
      <x:c r="AC45" s="1" t="n">
        <x:v>16700</x:v>
      </x:c>
      <x:c r="AD45" s="1" t="n">
        <x:v>21400</x:v>
      </x:c>
      <x:c r="AE45" s="1" t="n">
        <x:v>2980</x:v>
      </x:c>
      <x:c r="AF45" s="1" t="n">
        <x:v>3940</x:v>
      </x:c>
      <x:c r="AG45" s="1" t="n">
        <x:v>4870</x:v>
      </x:c>
      <x:c r="AH45" s="1" t="n">
        <x:v>10</x:v>
      </x:c>
      <x:c r="AI45" s="1" t="n">
        <x:v>10</x:v>
      </x:c>
      <x:c r="AJ45" s="1" t="n">
        <x:v>20</x:v>
      </x:c>
      <x:c r="AK45" s="1" t="n">
        <x:v>2680</x:v>
      </x:c>
      <x:c r="AL45" s="1" t="n">
        <x:v>4480</x:v>
      </x:c>
      <x:c r="AM45" s="1"/>
      <x:c r="AN45" s="1"/>
      <x:c r="AO45" s="1"/>
      <x:c r="AP45" s="1"/>
      <x:c r="AQ45" s="1" t="n">
        <x:v>3.22</x:v>
      </x:c>
      <x:c r="AR45" s="1" t="n">
        <x:v>9.36</x:v>
      </x:c>
      <x:c r="AS45" s="1" t="n">
        <x:v>5.39</x:v>
      </x:c>
      <x:c r="AT45" s="1" t="n">
        <x:v>5.56</x:v>
      </x:c>
      <x:c r="AU45" s="1" t="n">
        <x:v>15.61</x:v>
      </x:c>
      <x:c r="AV45" s="1"/>
      <x:c r="AW45" s="1"/>
      <x:c r="AX45" s="1"/>
      <x:c r="AY45" s="1"/>
      <x:c r="AZ45" s="1" t="n">
        <x:v>5251</x:v>
      </x:c>
      <x:c r="BA45" s="1" t="n">
        <x:v>5878</x:v>
      </x:c>
      <x:c r="BB45" s="1"/>
      <x:c r="BC45" s="1"/>
      <x:c r="BD45" s="1" t="n">
        <x:v>1619</x:v>
      </x:c>
      <x:c r="BE45" s="1" t="n">
        <x:v>5923.89</x:v>
      </x:c>
      <x:c r="BF45" s="1" t="n">
        <x:v>3615.12</x:v>
      </x:c>
      <x:c r="BG45" s="1" t="n">
        <x:v>895.33</x:v>
      </x:c>
      <x:c r="BH45" s="1"/>
      <x:c r="BI45" s="1" t="n">
        <x:v>883.62</x:v>
      </x:c>
      <x:c r="BJ45" s="1"/>
      <x:c r="BK45" s="1" t="n">
        <x:v>7.56</x:v>
      </x:c>
      <x:c r="BL45" s="1" t="n">
        <x:v>18.59</x:v>
      </x:c>
      <x:c r="BM45" s="1" t="n">
        <x:v>13.04</x:v>
      </x:c>
      <x:c r="BN45" s="1" t="n">
        <x:v>6.66</x:v>
      </x:c>
      <x:c r="BO45" s="1" t="n">
        <x:v>12.36</x:v>
      </x:c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 t="n">
        <x:v>129.585</x:v>
      </x:c>
      <x:c r="CA45" s="1" t="n">
        <x:v>115.88</x:v>
      </x:c>
      <x:c r="CB45" s="1" t="n">
        <x:v>487.45</x:v>
      </x:c>
      <x:c r="CC45" s="1" t="n">
        <x:v>501.29</x:v>
      </x:c>
      <x:c r="CD45" s="1" t="n">
        <x:v>433.09</x:v>
      </x:c>
      <x:c r="CE45" s="1" t="n">
        <x:v>536.16</x:v>
      </x:c>
      <x:c r="CF45" s="1" t="n">
        <x:v>73.34</x:v>
      </x:c>
      <x:c r="CG45" s="1" t="n">
        <x:v>118.35</x:v>
      </x:c>
      <x:c r="CH45" s="1" t="n">
        <x:v>76.28</x:v>
      </x:c>
      <x:c r="CI45" s="1" t="n">
        <x:v>1169.83</x:v>
      </x:c>
      <x:c r="CJ45" s="1" t="n">
        <x:v>1527.85</x:v>
      </x:c>
      <x:c r="CK45" s="1" t="n">
        <x:v>200.51</x:v>
      </x:c>
      <x:c r="CL45" s="1" t="n">
        <x:v>448.45</x:v>
      </x:c>
      <x:c r="CM45" s="1" t="n">
        <x:v>447.37</x:v>
      </x:c>
      <x:c r="CN45" s="1"/>
      <x:c r="CO45" s="1"/>
      <x:c r="CP45" s="1"/>
      <x:c r="CQ45" s="1"/>
      <x:c r="CR45" s="1" t="n">
        <x:v>532.83</x:v>
      </x:c>
      <x:c r="CS45" s="1" t="n">
        <x:v>653.66</x:v>
      </x:c>
      <x:c r="CT45" s="1" t="n">
        <x:v>682.71</x:v>
      </x:c>
      <x:c r="CU45" s="1" t="n">
        <x:v>242.78</x:v>
      </x:c>
      <x:c r="CV45" s="1" t="n">
        <x:v>447.77</x:v>
      </x:c>
      <x:c r="CW45" s="1" t="n">
        <x:v>321.33</x:v>
      </x:c>
      <x:c r="CX45" s="1" t="n">
        <x:v>1715.58</x:v>
      </x:c>
      <x:c r="CY45" s="1" t="n">
        <x:v>6105.93</x:v>
      </x:c>
      <x:c r="CZ45" s="1" t="n">
        <x:v>4272.3</x:v>
      </x:c>
      <x:c r="DA45" s="1" t="n">
        <x:v>1742.83</x:v>
      </x:c>
      <x:c r="DB45" s="1" t="n">
        <x:v>1999.99</x:v>
      </x:c>
      <x:c r="DC45" s="1" t="n">
        <x:v>455.88</x:v>
      </x:c>
      <x:c r="DD45" s="1" t="n">
        <x:v>4959.56</x:v>
      </x:c>
      <x:c r="DE45" s="1" t="n">
        <x:v>1565.36</x:v>
      </x:c>
      <x:c r="DF45" s="1" t="n">
        <x:v>11489.53</x:v>
      </x:c>
      <x:c r="DG45" s="1" t="n">
        <x:v>2249.51</x:v>
      </x:c>
      <x:c r="DH45" s="1" t="n">
        <x:v>2591.4</x:v>
      </x:c>
      <x:c r="DI45" s="1" t="n">
        <x:v>995.19</x:v>
      </x:c>
      <x:c r="DJ45" s="1" t="n">
        <x:v>6359.93</x:v>
      </x:c>
      <x:c r="DK45" s="1" t="n">
        <x:v>1248.95</x:v>
      </x:c>
      <x:c r="DL45" s="1" t="n">
        <x:v>14657.97</x:v>
      </x:c>
      <x:c r="DM45" s="1" t="n">
        <x:v>2470.75</x:v>
      </x:c>
    </x:row>
    <x:row r="46" ht="23" customHeight="1">
      <x:c r="A46" s="1" t="n">
        <x:v>41</x:v>
      </x:c>
      <x:c r="B46" s="1" t="str">
        <x:v>乙酸苯乙酯</x:v>
      </x:c>
      <x:c r="C46" s="1" t="str">
        <x:v>103-45-7</x:v>
      </x:c>
      <x:c r="D46" s="1" t="n">
        <x:v>909</x:v>
      </x:c>
      <x:c r="E46" s="1" t="n">
        <x:v>992</x:v>
      </x:c>
      <x:c r="F46" s="1" t="n">
        <x:v>2075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 t="n">
        <x:v>1</x:v>
      </x:c>
      <x:c r="W46" s="1" t="n">
        <x:v>20300</x:v>
      </x:c>
      <x:c r="X46" s="1" t="n">
        <x:v>11400</x:v>
      </x:c>
      <x:c r="Y46" s="1" t="n">
        <x:v>22400</x:v>
      </x:c>
      <x:c r="Z46" s="1" t="n">
        <x:v>36400</x:v>
      </x:c>
      <x:c r="AA46" s="1" t="n">
        <x:v>50400</x:v>
      </x:c>
      <x:c r="AB46" s="1" t="n">
        <x:v>82500</x:v>
      </x:c>
      <x:c r="AC46" s="1" t="n">
        <x:v>94400</x:v>
      </x:c>
      <x:c r="AD46" s="1" t="n">
        <x:v>94600</x:v>
      </x:c>
      <x:c r="AE46" s="1"/>
      <x:c r="AF46" s="1" t="n">
        <x:v>2660</x:v>
      </x:c>
      <x:c r="AG46" s="1" t="n">
        <x:v>2775</x:v>
      </x:c>
      <x:c r="AH46" s="1" t="n">
        <x:v>20</x:v>
      </x:c>
      <x:c r="AI46" s="1" t="n">
        <x:v>20</x:v>
      </x:c>
      <x:c r="AJ46" s="1" t="n">
        <x:v>30</x:v>
      </x:c>
      <x:c r="AK46" s="1" t="n">
        <x:v>290</x:v>
      </x:c>
      <x:c r="AL46" s="1" t="n">
        <x:v>1200</x:v>
      </x:c>
      <x:c r="AM46" s="1"/>
      <x:c r="AN46" s="1"/>
      <x:c r="AO46" s="1"/>
      <x:c r="AP46" s="1"/>
      <x:c r="AQ46" s="1"/>
      <x:c r="AR46" s="1"/>
      <x:c r="AS46" s="1"/>
      <x:c r="AT46" s="1"/>
      <x:c r="AU46" s="1" t="n">
        <x:v>13.62</x:v>
      </x:c>
      <x:c r="AV46" s="1"/>
      <x:c r="AW46" s="1"/>
      <x:c r="AX46" s="1"/>
      <x:c r="AY46" s="1"/>
      <x:c r="AZ46" s="1" t="n">
        <x:v>516</x:v>
      </x:c>
      <x:c r="BA46" s="1" t="n">
        <x:v>1451</x:v>
      </x:c>
      <x:c r="BB46" s="1"/>
      <x:c r="BC46" s="1"/>
      <x:c r="BD46" s="1" t="n">
        <x:v>119.22</x:v>
      </x:c>
      <x:c r="BE46" s="1" t="n">
        <x:v>234.12</x:v>
      </x:c>
      <x:c r="BF46" s="1" t="n">
        <x:v>289.72</x:v>
      </x:c>
      <x:c r="BG46" s="1" t="n">
        <x:v>67.23</x:v>
      </x:c>
      <x:c r="BH46" s="1"/>
      <x:c r="BI46" s="1" t="n">
        <x:v>88.11</x:v>
      </x:c>
      <x:c r="BJ46" s="1"/>
      <x:c r="BK46" s="1" t="n">
        <x:v>960.6</x:v>
      </x:c>
      <x:c r="BL46" s="1" t="n">
        <x:v>1104.21</x:v>
      </x:c>
      <x:c r="BM46" s="1" t="n">
        <x:v>1095</x:v>
      </x:c>
      <x:c r="BN46" s="1" t="n">
        <x:v>539</x:v>
      </x:c>
      <x:c r="BO46" s="1" t="n">
        <x:v>1028.11</x:v>
      </x:c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 t="n">
        <x:v>25.365</x:v>
      </x:c>
      <x:c r="CA46" s="1" t="n">
        <x:v>24.61</x:v>
      </x:c>
      <x:c r="CB46" s="1" t="n">
        <x:v>22.92</x:v>
      </x:c>
      <x:c r="CC46" s="1" t="n">
        <x:v>25.08</x:v>
      </x:c>
      <x:c r="CD46" s="1" t="n">
        <x:v>60.04</x:v>
      </x:c>
      <x:c r="CE46" s="1" t="n">
        <x:v>39.28</x:v>
      </x:c>
      <x:c r="CF46" s="1" t="n">
        <x:v>295.1</x:v>
      </x:c>
      <x:c r="CG46" s="1" t="n">
        <x:v>28.19</x:v>
      </x:c>
      <x:c r="CH46" s="1" t="n">
        <x:v>25.85</x:v>
      </x:c>
      <x:c r="CI46" s="1" t="n">
        <x:v>102.5</x:v>
      </x:c>
      <x:c r="CJ46" s="1" t="n">
        <x:v>162.4</x:v>
      </x:c>
      <x:c r="CK46" s="1" t="n">
        <x:v>1023.65</x:v>
      </x:c>
      <x:c r="CL46" s="1" t="n">
        <x:v>89.06</x:v>
      </x:c>
      <x:c r="CM46" s="1" t="n">
        <x:v>133.51</x:v>
      </x:c>
      <x:c r="CN46" s="1"/>
      <x:c r="CO46" s="1"/>
      <x:c r="CP46" s="1"/>
      <x:c r="CQ46" s="1"/>
      <x:c r="CR46" s="1" t="n">
        <x:v>234.1</x:v>
      </x:c>
      <x:c r="CS46" s="1" t="n">
        <x:v>264.65</x:v>
      </x:c>
      <x:c r="CT46" s="1"/>
      <x:c r="CU46" s="1"/>
      <x:c r="CV46" s="1"/>
      <x:c r="CW46" s="1"/>
      <x:c r="CX46" s="1" t="n">
        <x:v>181.85</x:v>
      </x:c>
      <x:c r="CY46" s="1" t="n">
        <x:v>299.41</x:v>
      </x:c>
      <x:c r="CZ46" s="1" t="n">
        <x:v>297.49</x:v>
      </x:c>
      <x:c r="DA46" s="1" t="n">
        <x:v>176.66</x:v>
      </x:c>
      <x:c r="DB46" s="1" t="n">
        <x:v>287.58</x:v>
      </x:c>
      <x:c r="DC46" s="1" t="n">
        <x:v>168.2</x:v>
      </x:c>
      <x:c r="DD46" s="1" t="n">
        <x:v>321.79</x:v>
      </x:c>
      <x:c r="DE46" s="1" t="n">
        <x:v>180.04</x:v>
      </x:c>
      <x:c r="DF46" s="1" t="n">
        <x:v>370.26</x:v>
      </x:c>
      <x:c r="DG46" s="1"/>
      <x:c r="DH46" s="1" t="n">
        <x:v>307.37</x:v>
      </x:c>
      <x:c r="DI46" s="1"/>
      <x:c r="DJ46" s="1" t="n">
        <x:v>303.5</x:v>
      </x:c>
      <x:c r="DK46" s="1"/>
      <x:c r="DL46" s="1" t="n">
        <x:v>343.61</x:v>
      </x:c>
      <x:c r="DM46" s="1"/>
    </x:row>
    <x:row r="47" ht="23" customHeight="1">
      <x:c r="A47" s="1" t="n">
        <x:v>42</x:v>
      </x:c>
      <x:c r="B47" s="1" t="str">
        <x:v>异丁酸苯乙酯</x:v>
      </x:c>
      <x:c r="C47" s="1" t="str">
        <x:v>103-48-0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 t="n">
        <x:v>152</x:v>
      </x:c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  <x:c r="DE47" s="1"/>
      <x:c r="DF47" s="1"/>
      <x:c r="DG47" s="1"/>
      <x:c r="DH47" s="1"/>
      <x:c r="DI47" s="1"/>
      <x:c r="DJ47" s="1"/>
      <x:c r="DK47" s="1"/>
      <x:c r="DL47" s="1"/>
      <x:c r="DM47" s="1"/>
    </x:row>
    <x:row r="48" ht="23" customHeight="1">
      <x:c r="A48" s="1" t="n">
        <x:v>43</x:v>
      </x:c>
      <x:c r="B48" s="1" t="str">
        <x:v>丁酸-2-苯乙酯</x:v>
      </x:c>
      <x:c r="C48" s="1" t="str">
        <x:v>103-52-6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 t="n">
        <x:v>203</x:v>
      </x:c>
      <x:c r="BB48" s="1"/>
      <x:c r="BC48" s="1"/>
      <x:c r="BD48" s="1" t="n">
        <x:v>266</x:v>
      </x:c>
      <x:c r="BE48" s="1" t="n">
        <x:v>338.32</x:v>
      </x:c>
      <x:c r="BF48" s="1" t="n">
        <x:v>620.21</x:v>
      </x:c>
      <x:c r="BG48" s="1" t="n">
        <x:v>239.72</x:v>
      </x:c>
      <x:c r="BH48" s="1"/>
      <x:c r="BI48" s="1" t="n">
        <x:v>256</x:v>
      </x:c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 t="n">
        <x:v>1.68</x:v>
      </x:c>
      <x:c r="CA48" s="1" t="n">
        <x:v>2.495</x:v>
      </x:c>
      <x:c r="CB48" s="1" t="n">
        <x:v>1.55</x:v>
      </x:c>
      <x:c r="CC48" s="1" t="n">
        <x:v>3.37</x:v>
      </x:c>
      <x:c r="CD48" s="1" t="n">
        <x:v>35.56</x:v>
      </x:c>
      <x:c r="CE48" s="1" t="n">
        <x:v>16.28</x:v>
      </x:c>
      <x:c r="CF48" s="1" t="n">
        <x:v>11.72</x:v>
      </x:c>
      <x:c r="CG48" s="1" t="n">
        <x:v>13.69</x:v>
      </x:c>
      <x:c r="CH48" s="1" t="n">
        <x:v>7.97</x:v>
      </x:c>
      <x:c r="CI48" s="1" t="n">
        <x:v>60.52</x:v>
      </x:c>
      <x:c r="CJ48" s="1" t="n">
        <x:v>74.13</x:v>
      </x:c>
      <x:c r="CK48" s="1" t="n">
        <x:v>36.61</x:v>
      </x:c>
      <x:c r="CL48" s="1" t="n">
        <x:v>24.26</x:v>
      </x:c>
      <x:c r="CM48" s="1" t="n">
        <x:v>21.49</x:v>
      </x:c>
      <x:c r="CN48" s="1"/>
      <x:c r="CO48" s="1"/>
      <x:c r="CP48" s="1"/>
      <x:c r="CQ48" s="1"/>
      <x:c r="CR48" s="1" t="n">
        <x:v>519.46</x:v>
      </x:c>
      <x:c r="CS48" s="1" t="n">
        <x:v>591.5</x:v>
      </x:c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  <x:c r="DE48" s="1"/>
      <x:c r="DF48" s="1"/>
      <x:c r="DG48" s="1"/>
      <x:c r="DH48" s="1"/>
      <x:c r="DI48" s="1"/>
      <x:c r="DJ48" s="1"/>
      <x:c r="DK48" s="1"/>
      <x:c r="DL48" s="1"/>
      <x:c r="DM48" s="1"/>
    </x:row>
    <x:row r="49" ht="23" customHeight="1">
      <x:c r="A49" s="1" t="n">
        <x:v>44</x:v>
      </x:c>
      <x:c r="B49" s="1"/>
      <x:c r="C49" s="1" t="str">
        <x:v>103-82-2</x:v>
      </x:c>
      <x:c r="D49" s="1"/>
      <x:c r="E49" s="1" t="n">
        <x:v>415</x:v>
      </x:c>
      <x:c r="F49" s="1" t="n">
        <x:v>469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  <x:c r="DE49" s="1"/>
      <x:c r="DF49" s="1"/>
      <x:c r="DG49" s="1"/>
      <x:c r="DH49" s="1"/>
      <x:c r="DI49" s="1"/>
      <x:c r="DJ49" s="1"/>
      <x:c r="DK49" s="1"/>
      <x:c r="DL49" s="1"/>
      <x:c r="DM49" s="1"/>
    </x:row>
    <x:row r="50" ht="23" customHeight="1">
      <x:c r="A50" s="1" t="n">
        <x:v>45</x:v>
      </x:c>
      <x:c r="B50" s="1" t="str">
        <x:v>γ-辛内酯</x:v>
      </x:c>
      <x:c r="C50" s="1" t="str">
        <x:v>104-50-7</x:v>
      </x:c>
      <x:c r="D50" s="1" t="n">
        <x:v>2816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 t="n">
        <x:v>1.3125</x:v>
      </x:c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 t="n">
        <x:v>14.24</x:v>
      </x:c>
      <x:c r="CZ50" s="1" t="n">
        <x:v>28.9</x:v>
      </x:c>
      <x:c r="DA50" s="1"/>
      <x:c r="DB50" s="1"/>
      <x:c r="DC50" s="1"/>
      <x:c r="DD50" s="1" t="n">
        <x:v>29.28</x:v>
      </x:c>
      <x:c r="DE50" s="1"/>
      <x:c r="DF50" s="1" t="n">
        <x:v>50.79</x:v>
      </x:c>
      <x:c r="DG50" s="1" t="n">
        <x:v>3.47</x:v>
      </x:c>
      <x:c r="DH50" s="1" t="n">
        <x:v>15.28</x:v>
      </x:c>
      <x:c r="DI50" s="1" t="n">
        <x:v>9.94</x:v>
      </x:c>
      <x:c r="DJ50" s="1" t="n">
        <x:v>31.09</x:v>
      </x:c>
      <x:c r="DK50" s="1" t="n">
        <x:v>2.19</x:v>
      </x:c>
      <x:c r="DL50" s="1" t="n">
        <x:v>15.65</x:v>
      </x:c>
      <x:c r="DM50" s="1" t="n">
        <x:v>5.14</x:v>
      </x:c>
    </x:row>
    <x:row r="51" ht="23" customHeight="1">
      <x:c r="A51" s="1" t="n">
        <x:v>46</x:v>
      </x:c>
      <x:c r="B51" s="1" t="str">
        <x:v>γ-壬内酯</x:v>
      </x:c>
      <x:c r="C51" s="1" t="str">
        <x:v>104-61-0</x:v>
      </x:c>
      <x:c r="D51" s="1" t="n">
        <x:v>90.7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 t="n">
        <x:v>1.125</x:v>
      </x:c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 t="n">
        <x:v>1</x:v>
      </x:c>
      <x:c r="CA51" s="1" t="n">
        <x:v>1</x:v>
      </x:c>
      <x:c r="CB51" s="1" t="n">
        <x:v>52.01</x:v>
      </x:c>
      <x:c r="CC51" s="1" t="n">
        <x:v>24.02</x:v>
      </x:c>
      <x:c r="CD51" s="1" t="n">
        <x:v>43.05</x:v>
      </x:c>
      <x:c r="CE51" s="1" t="n">
        <x:v>124.62</x:v>
      </x:c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 t="n">
        <x:v>97.94</x:v>
      </x:c>
      <x:c r="CZ51" s="1" t="n">
        <x:v>158.87</x:v>
      </x:c>
      <x:c r="DA51" s="1"/>
      <x:c r="DB51" s="1" t="n">
        <x:v>94.61</x:v>
      </x:c>
      <x:c r="DC51" s="1" t="n">
        <x:v>18.22</x:v>
      </x:c>
      <x:c r="DD51" s="1" t="n">
        <x:v>191.58</x:v>
      </x:c>
      <x:c r="DE51" s="1" t="n">
        <x:v>20.01</x:v>
      </x:c>
      <x:c r="DF51" s="1" t="n">
        <x:v>181.34</x:v>
      </x:c>
      <x:c r="DG51" s="1" t="n">
        <x:v>28.36</x:v>
      </x:c>
      <x:c r="DH51" s="1" t="n">
        <x:v>108.76</x:v>
      </x:c>
      <x:c r="DI51" s="1" t="n">
        <x:v>93.65</x:v>
      </x:c>
      <x:c r="DJ51" s="1" t="n">
        <x:v>150.64</x:v>
      </x:c>
      <x:c r="DK51" s="1" t="n">
        <x:v>43.54</x:v>
      </x:c>
      <x:c r="DL51" s="1" t="n">
        <x:v>166.24</x:v>
      </x:c>
      <x:c r="DM51" s="1" t="n">
        <x:v>68.65</x:v>
      </x:c>
    </x:row>
    <x:row r="52" ht="23" customHeight="1">
      <x:c r="A52" s="1" t="n">
        <x:v>47</x:v>
      </x:c>
      <x:c r="B52" s="1"/>
      <x:c r="C52" s="1" t="str">
        <x:v>104-67-6</x:v>
      </x:c>
      <x:c r="D52" s="1"/>
      <x:c r="E52" s="1"/>
      <x:c r="F52" s="1"/>
      <x:c r="G52" s="1"/>
      <x:c r="H52" s="1" t="n">
        <x:v>0.16</x:v>
      </x:c>
      <x:c r="I52" s="1"/>
      <x:c r="J52" s="1"/>
      <x:c r="K52" s="1" t="n">
        <x:v>0.2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  <x:c r="DE52" s="1"/>
      <x:c r="DF52" s="1"/>
      <x:c r="DG52" s="1"/>
      <x:c r="DH52" s="1"/>
      <x:c r="DI52" s="1"/>
      <x:c r="DJ52" s="1"/>
      <x:c r="DK52" s="1"/>
      <x:c r="DL52" s="1"/>
      <x:c r="DM52" s="1"/>
    </x:row>
    <x:row r="53" ht="23" customHeight="1">
      <x:c r="A53" s="1" t="n">
        <x:v>48</x:v>
      </x:c>
      <x:c r="B53" s="1" t="str">
        <x:v>γ-庚内酯</x:v>
      </x:c>
      <x:c r="C53" s="1" t="str">
        <x:v>105-21-5</x:v>
      </x:c>
      <x:c r="D53" s="1" t="n">
        <x:v>1000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 t="n">
        <x:v>1.25</x:v>
      </x:c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 t="n">
        <x:v>4.98</x:v>
      </x:c>
      <x:c r="CZ53" s="1"/>
      <x:c r="DA53" s="1" t="n">
        <x:v>5.05</x:v>
      </x:c>
      <x:c r="DB53" s="1"/>
      <x:c r="DC53" s="1" t="n">
        <x:v>4.84</x:v>
      </x:c>
      <x:c r="DD53" s="1" t="n">
        <x:v>15.99</x:v>
      </x:c>
      <x:c r="DE53" s="1"/>
      <x:c r="DF53" s="1" t="n">
        <x:v>13.81</x:v>
      </x:c>
      <x:c r="DG53" s="1"/>
      <x:c r="DH53" s="1" t="n">
        <x:v>6.54</x:v>
      </x:c>
      <x:c r="DI53" s="1" t="n">
        <x:v>4.83</x:v>
      </x:c>
      <x:c r="DJ53" s="1" t="n">
        <x:v>9.9</x:v>
      </x:c>
      <x:c r="DK53" s="1"/>
      <x:c r="DL53" s="1" t="n">
        <x:v>6.97</x:v>
      </x:c>
      <x:c r="DM53" s="1"/>
    </x:row>
    <x:row r="54" ht="23" customHeight="1">
      <x:c r="A54" s="1" t="n">
        <x:v>49</x:v>
      </x:c>
      <x:c r="B54" s="1" t="str">
        <x:v>丙酸乙酯a</x:v>
      </x:c>
      <x:c r="C54" s="1" t="str">
        <x:v>105-37-3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 t="n">
        <x:v>1162</x:v>
      </x:c>
      <x:c r="O54" s="1"/>
      <x:c r="P54" s="1"/>
      <x:c r="Q54" s="1" t="n">
        <x:v>1162</x:v>
      </x:c>
      <x:c r="R54" s="1" t="n">
        <x:v>1162</x:v>
      </x:c>
      <x:c r="S54" s="1" t="n">
        <x:v>1162</x:v>
      </x:c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 t="n">
        <x:v>5450.5</x:v>
      </x:c>
      <x:c r="AW54" s="1"/>
      <x:c r="AX54" s="1" t="n">
        <x:v>8500.5</x:v>
      </x:c>
      <x:c r="AY54" s="1" t="n">
        <x:v>0</x:v>
      </x:c>
      <x:c r="AZ54" s="1" t="n">
        <x:v>388</x:v>
      </x:c>
      <x:c r="BA54" s="1" t="n">
        <x:v>1546</x:v>
      </x:c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 t="n">
        <x:v>7.17</x:v>
      </x:c>
      <x:c r="CA54" s="1" t="n">
        <x:v>9.22</x:v>
      </x:c>
      <x:c r="CB54" s="1" t="n">
        <x:v>47.77</x:v>
      </x:c>
      <x:c r="CC54" s="1" t="n">
        <x:v>27.91</x:v>
      </x:c>
      <x:c r="CD54" s="1" t="n">
        <x:v>75.19</x:v>
      </x:c>
      <x:c r="CE54" s="1" t="n">
        <x:v>31.72</x:v>
      </x:c>
      <x:c r="CF54" s="1" t="n">
        <x:v>15.1</x:v>
      </x:c>
      <x:c r="CG54" s="1" t="n">
        <x:v>12.04</x:v>
      </x:c>
      <x:c r="CH54" s="1" t="n">
        <x:v>8.29</x:v>
      </x:c>
      <x:c r="CI54" s="1" t="n">
        <x:v>72.35</x:v>
      </x:c>
      <x:c r="CJ54" s="1" t="n">
        <x:v>105.48</x:v>
      </x:c>
      <x:c r="CK54" s="1" t="n">
        <x:v>46.14</x:v>
      </x:c>
      <x:c r="CL54" s="1" t="n">
        <x:v>49.64</x:v>
      </x:c>
      <x:c r="CM54" s="1" t="n">
        <x:v>42.57</x:v>
      </x:c>
      <x:c r="CN54" s="1" t="n">
        <x:v>4613</x:v>
      </x:c>
      <x:c r="CO54" s="1" t="n">
        <x:v>6556</x:v>
      </x:c>
      <x:c r="CP54" s="1" t="n">
        <x:v>4552</x:v>
      </x:c>
      <x:c r="CQ54" s="1" t="n">
        <x:v>5330</x:v>
      </x:c>
      <x:c r="CR54" s="1" t="n">
        <x:v>10149.08</x:v>
      </x:c>
      <x:c r="CS54" s="1" t="n">
        <x:v>13828.86</x:v>
      </x:c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  <x:c r="DE54" s="1"/>
      <x:c r="DF54" s="1"/>
      <x:c r="DG54" s="1"/>
      <x:c r="DH54" s="1"/>
      <x:c r="DI54" s="1"/>
      <x:c r="DJ54" s="1"/>
      <x:c r="DK54" s="1"/>
      <x:c r="DL54" s="1"/>
      <x:c r="DM54" s="1"/>
    </x:row>
    <x:row r="55" ht="23" customHeight="1">
      <x:c r="A55" s="1" t="n">
        <x:v>50</x:v>
      </x:c>
      <x:c r="B55" s="1"/>
      <x:c r="C55" s="1" t="str">
        <x:v>105-43-1</x:v>
      </x:c>
      <x:c r="D55" s="1"/>
      <x:c r="E55" s="1"/>
      <x:c r="F55" s="1"/>
      <x:c r="G55" s="1"/>
      <x:c r="H55" s="1" t="n">
        <x:v>126.52</x:v>
      </x:c>
      <x:c r="I55" s="1" t="n">
        <x:v>1.85</x:v>
      </x:c>
      <x:c r="J55" s="1" t="n">
        <x:v>5.34</x:v>
      </x:c>
      <x:c r="K55" s="1" t="n">
        <x:v>5.58</x:v>
      </x:c>
      <x:c r="L55" s="1"/>
      <x:c r="M55" s="1"/>
      <x:c r="N55" s="1"/>
      <x:c r="O55" s="1"/>
      <x:c r="P55" s="1"/>
      <x:c r="Q55" s="1"/>
      <x:c r="R55" s="1"/>
      <x:c r="S55" s="1"/>
      <x:c r="T55" s="1" t="n">
        <x:v>0</x:v>
      </x:c>
      <x:c r="U55" s="1" t="n">
        <x:v>0</x:v>
      </x:c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  <x:c r="DE55" s="1"/>
      <x:c r="DF55" s="1"/>
      <x:c r="DG55" s="1"/>
      <x:c r="DH55" s="1"/>
      <x:c r="DI55" s="1"/>
      <x:c r="DJ55" s="1"/>
      <x:c r="DK55" s="1"/>
      <x:c r="DL55" s="1"/>
      <x:c r="DM55" s="1"/>
    </x:row>
    <x:row r="56" ht="23" customHeight="1">
      <x:c r="A56" s="1" t="n">
        <x:v>51</x:v>
      </x:c>
      <x:c r="B56" s="1" t="str">
        <x:v>乙酸仲丁酯</x:v>
      </x:c>
      <x:c r="C56" s="1" t="str">
        <x:v>105-46-4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 t="n">
        <x:v>238</x:v>
      </x:c>
      <x:c r="BA56" s="1" t="n">
        <x:v>316</x:v>
      </x:c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  <x:c r="DE56" s="1"/>
      <x:c r="DF56" s="1"/>
      <x:c r="DG56" s="1"/>
      <x:c r="DH56" s="1"/>
      <x:c r="DI56" s="1"/>
      <x:c r="DJ56" s="1"/>
      <x:c r="DK56" s="1"/>
      <x:c r="DL56" s="1"/>
      <x:c r="DM56" s="1"/>
    </x:row>
    <x:row r="57" ht="23" customHeight="1">
      <x:c r="A57" s="1" t="n">
        <x:v>52</x:v>
      </x:c>
      <x:c r="B57" s="1" t="str">
        <x:v>丁酸乙酯</x:v>
      </x:c>
      <x:c r="C57" s="1" t="str">
        <x:v>105-54-4</x:v>
      </x:c>
      <x:c r="D57" s="1" t="n">
        <x:v>81.5</x:v>
      </x:c>
      <x:c r="E57" s="1" t="n">
        <x:v>217932</x:v>
      </x:c>
      <x:c r="F57" s="1" t="n">
        <x:v>622200</x:v>
      </x:c>
      <x:c r="G57" s="1" t="n">
        <x:v>695.74</x:v>
      </x:c>
      <x:c r="H57" s="1" t="n">
        <x:v>145.7</x:v>
      </x:c>
      <x:c r="I57" s="1" t="n">
        <x:v>245.25</x:v>
      </x:c>
      <x:c r="J57" s="1" t="n">
        <x:v>1202.85</x:v>
      </x:c>
      <x:c r="K57" s="1" t="n">
        <x:v>262.58</x:v>
      </x:c>
      <x:c r="L57" s="1" t="n">
        <x:v>165929</x:v>
      </x:c>
      <x:c r="M57" s="1" t="n">
        <x:v>181049</x:v>
      </x:c>
      <x:c r="N57" s="1" t="n">
        <x:v>57685</x:v>
      </x:c>
      <x:c r="O57" s="1" t="n">
        <x:v>94441</x:v>
      </x:c>
      <x:c r="P57" s="1" t="n">
        <x:v>106623</x:v>
      </x:c>
      <x:c r="Q57" s="1" t="n">
        <x:v>103360</x:v>
      </x:c>
      <x:c r="R57" s="1" t="n">
        <x:v>96548</x:v>
      </x:c>
      <x:c r="S57" s="1" t="n">
        <x:v>105311</x:v>
      </x:c>
      <x:c r="T57" s="1" t="n">
        <x:v>2011</x:v>
      </x:c>
      <x:c r="U57" s="1" t="n">
        <x:v>2558</x:v>
      </x:c>
      <x:c r="V57" s="1"/>
      <x:c r="W57" s="1" t="n">
        <x:v>940000</x:v>
      </x:c>
      <x:c r="X57" s="1" t="n">
        <x:v>206000</x:v>
      </x:c>
      <x:c r="Y57" s="1" t="n">
        <x:v>138000</x:v>
      </x:c>
      <x:c r="Z57" s="1" t="n">
        <x:v>113000</x:v>
      </x:c>
      <x:c r="AA57" s="1" t="n">
        <x:v>73000</x:v>
      </x:c>
      <x:c r="AB57" s="1" t="n">
        <x:v>57000</x:v>
      </x:c>
      <x:c r="AC57" s="1" t="n">
        <x:v>20300</x:v>
      </x:c>
      <x:c r="AD57" s="1" t="n">
        <x:v>19100</x:v>
      </x:c>
      <x:c r="AE57" s="1" t="n">
        <x:v>702350</x:v>
      </x:c>
      <x:c r="AF57" s="1" t="n">
        <x:v>276530</x:v>
      </x:c>
      <x:c r="AG57" s="1" t="n">
        <x:v>1290235</x:v>
      </x:c>
      <x:c r="AH57" s="1" t="n">
        <x:v>21430</x:v>
      </x:c>
      <x:c r="AI57" s="1" t="n">
        <x:v>9260</x:v>
      </x:c>
      <x:c r="AJ57" s="1" t="n">
        <x:v>21050</x:v>
      </x:c>
      <x:c r="AK57" s="1" t="n">
        <x:v>146550</x:v>
      </x:c>
      <x:c r="AL57" s="1" t="n">
        <x:v>105840</x:v>
      </x:c>
      <x:c r="AM57" s="1"/>
      <x:c r="AN57" s="1"/>
      <x:c r="AO57" s="1"/>
      <x:c r="AP57" s="1"/>
      <x:c r="AQ57" s="1" t="n">
        <x:v>384.98</x:v>
      </x:c>
      <x:c r="AR57" s="1" t="n">
        <x:v>84.16</x:v>
      </x:c>
      <x:c r="AS57" s="1" t="n">
        <x:v>253.24</x:v>
      </x:c>
      <x:c r="AT57" s="1" t="n">
        <x:v>247.28</x:v>
      </x:c>
      <x:c r="AU57" s="1" t="n">
        <x:v>4.24</x:v>
      </x:c>
      <x:c r="AV57" s="1" t="n">
        <x:v>37454</x:v>
      </x:c>
      <x:c r="AW57" s="1" t="n">
        <x:v>1166</x:v>
      </x:c>
      <x:c r="AX57" s="1" t="n">
        <x:v>63216.5</x:v>
      </x:c>
      <x:c r="AY57" s="1" t="n">
        <x:v>68900</x:v>
      </x:c>
      <x:c r="AZ57" s="1" t="n">
        <x:v>10870</x:v>
      </x:c>
      <x:c r="BA57" s="1" t="n">
        <x:v>11516</x:v>
      </x:c>
      <x:c r="BB57" s="1" t="n">
        <x:v>99.1</x:v>
      </x:c>
      <x:c r="BC57" s="1" t="n">
        <x:v>5482</x:v>
      </x:c>
      <x:c r="BD57" s="1" t="n">
        <x:v>553</x:v>
      </x:c>
      <x:c r="BE57" s="1" t="n">
        <x:v>3281.86</x:v>
      </x:c>
      <x:c r="BF57" s="1" t="n">
        <x:v>3644.16</x:v>
      </x:c>
      <x:c r="BG57" s="1" t="n">
        <x:v>360.62</x:v>
      </x:c>
      <x:c r="BH57" s="1" t="n">
        <x:v>235.91</x:v>
      </x:c>
      <x:c r="BI57" s="1" t="n">
        <x:v>290.41</x:v>
      </x:c>
      <x:c r="BJ57" s="1" t="n">
        <x:v>177.44</x:v>
      </x:c>
      <x:c r="BK57" s="1" t="n">
        <x:v>530.2</x:v>
      </x:c>
      <x:c r="BL57" s="1" t="n">
        <x:v>907.42</x:v>
      </x:c>
      <x:c r="BM57" s="1" t="n">
        <x:v>843.81</x:v>
      </x:c>
      <x:c r="BN57" s="1" t="n">
        <x:v>613.21</x:v>
      </x:c>
      <x:c r="BO57" s="1" t="n">
        <x:v>742.02</x:v>
      </x:c>
      <x:c r="BP57" s="1" t="n">
        <x:v>267.42</x:v>
      </x:c>
      <x:c r="BQ57" s="1"/>
      <x:c r="BR57" s="1"/>
      <x:c r="BS57" s="1"/>
      <x:c r="BT57" s="1"/>
      <x:c r="BU57" s="1"/>
      <x:c r="BV57" s="1"/>
      <x:c r="BW57" s="1"/>
      <x:c r="BX57" s="1"/>
      <x:c r="BY57" s="1"/>
      <x:c r="BZ57" s="1" t="n">
        <x:v>5291.8667</x:v>
      </x:c>
      <x:c r="CA57" s="1" t="n">
        <x:v>5054.58</x:v>
      </x:c>
      <x:c r="CB57" s="1" t="n">
        <x:v>631.22</x:v>
      </x:c>
      <x:c r="CC57" s="1" t="n">
        <x:v>435.23</x:v>
      </x:c>
      <x:c r="CD57" s="1" t="n">
        <x:v>765.15</x:v>
      </x:c>
      <x:c r="CE57" s="1" t="n">
        <x:v>609.5</x:v>
      </x:c>
      <x:c r="CF57" s="1" t="n">
        <x:v>728.38</x:v>
      </x:c>
      <x:c r="CG57" s="1" t="n">
        <x:v>216.7</x:v>
      </x:c>
      <x:c r="CH57" s="1" t="n">
        <x:v>193.92</x:v>
      </x:c>
      <x:c r="CI57" s="1" t="n">
        <x:v>770.57</x:v>
      </x:c>
      <x:c r="CJ57" s="1" t="n">
        <x:v>1275.09</x:v>
      </x:c>
      <x:c r="CK57" s="1" t="n">
        <x:v>780.38</x:v>
      </x:c>
      <x:c r="CL57" s="1" t="n">
        <x:v>738.71</x:v>
      </x:c>
      <x:c r="CM57" s="1" t="n">
        <x:v>618.76</x:v>
      </x:c>
      <x:c r="CN57" s="1" t="n">
        <x:v>122800</x:v>
      </x:c>
      <x:c r="CO57" s="1" t="n">
        <x:v>111954</x:v>
      </x:c>
      <x:c r="CP57" s="1" t="n">
        <x:v>65850</x:v>
      </x:c>
      <x:c r="CQ57" s="1" t="n">
        <x:v>73978</x:v>
      </x:c>
      <x:c r="CR57" s="1"/>
      <x:c r="CS57" s="1"/>
      <x:c r="CT57" s="1" t="n">
        <x:v>1788.78</x:v>
      </x:c>
      <x:c r="CU57" s="1" t="n">
        <x:v>1305.68</x:v>
      </x:c>
      <x:c r="CV57" s="1" t="n">
        <x:v>1153.39</x:v>
      </x:c>
      <x:c r="CW57" s="1" t="n">
        <x:v>2058.97</x:v>
      </x:c>
      <x:c r="CX57" s="1" t="n">
        <x:v>21528.74</x:v>
      </x:c>
      <x:c r="CY57" s="1" t="n">
        <x:v>243652.36</x:v>
      </x:c>
      <x:c r="CZ57" s="1" t="n">
        <x:v>250159.53</x:v>
      </x:c>
      <x:c r="DA57" s="1" t="n">
        <x:v>25279.5</x:v>
      </x:c>
      <x:c r="DB57" s="1" t="n">
        <x:v>227872.71</x:v>
      </x:c>
      <x:c r="DC57" s="1" t="n">
        <x:v>195870.58</x:v>
      </x:c>
      <x:c r="DD57" s="1" t="n">
        <x:v>268895.2</x:v>
      </x:c>
      <x:c r="DE57" s="1" t="n">
        <x:v>218310.51</x:v>
      </x:c>
      <x:c r="DF57" s="1" t="n">
        <x:v>325676.93</x:v>
      </x:c>
      <x:c r="DG57" s="1" t="n">
        <x:v>321680.74</x:v>
      </x:c>
      <x:c r="DH57" s="1" t="n">
        <x:v>315952.62</x:v>
      </x:c>
      <x:c r="DI57" s="1" t="n">
        <x:v>152314.6</x:v>
      </x:c>
      <x:c r="DJ57" s="1" t="n">
        <x:v>390794.04</x:v>
      </x:c>
      <x:c r="DK57" s="1" t="n">
        <x:v>223772.19</x:v>
      </x:c>
      <x:c r="DL57" s="1" t="n">
        <x:v>435825.21</x:v>
      </x:c>
      <x:c r="DM57" s="1" t="n">
        <x:v>246918.17</x:v>
      </x:c>
    </x:row>
    <x:row r="58" ht="23" customHeight="1">
      <x:c r="A58" s="1" t="n">
        <x:v>53</x:v>
      </x:c>
      <x:c r="B58" s="1" t="str">
        <x:v>乙醛二乙缩醛</x:v>
      </x:c>
      <x:c r="C58" s="1" t="str">
        <x:v>105-57-7</x:v>
      </x:c>
      <x:c r="D58" s="1" t="n">
        <x:v>2090</x:v>
      </x:c>
      <x:c r="E58" s="1"/>
      <x:c r="F58" s="1"/>
      <x:c r="G58" s="1" t="n">
        <x:v>212.95</x:v>
      </x:c>
      <x:c r="H58" s="1" t="n">
        <x:v>472.55</x:v>
      </x:c>
      <x:c r="I58" s="1" t="n">
        <x:v>676.65</x:v>
      </x:c>
      <x:c r="J58" s="1" t="n">
        <x:v>2745.25</x:v>
      </x:c>
      <x:c r="K58" s="1" t="n">
        <x:v>428.66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 t="n">
        <x:v>661890</x:v>
      </x:c>
      <x:c r="AF58" s="1" t="n">
        <x:v>411110</x:v>
      </x:c>
      <x:c r="AG58" s="1"/>
      <x:c r="AH58" s="1" t="n">
        <x:v>30280</x:v>
      </x:c>
      <x:c r="AI58" s="1" t="n">
        <x:v>23420</x:v>
      </x:c>
      <x:c r="AJ58" s="1" t="n">
        <x:v>29300</x:v>
      </x:c>
      <x:c r="AK58" s="1" t="n">
        <x:v>154060</x:v>
      </x:c>
      <x:c r="AL58" s="1" t="n">
        <x:v>191190</x:v>
      </x:c>
      <x:c r="AM58" s="1"/>
      <x:c r="AN58" s="1"/>
      <x:c r="AO58" s="1"/>
      <x:c r="AP58" s="1"/>
      <x:c r="AQ58" s="1"/>
      <x:c r="AR58" s="1"/>
      <x:c r="AS58" s="1"/>
      <x:c r="AT58" s="1"/>
      <x:c r="AU58" s="1"/>
      <x:c r="AV58" s="1" t="n">
        <x:v>113300</x:v>
      </x:c>
      <x:c r="AW58" s="1"/>
      <x:c r="AX58" s="1" t="n">
        <x:v>250900</x:v>
      </x:c>
      <x:c r="AY58" s="1" t="n">
        <x:v>77200</x:v>
      </x:c>
      <x:c r="AZ58" s="1"/>
      <x:c r="BA58" s="1"/>
      <x:c r="BB58" s="1"/>
      <x:c r="BC58" s="1"/>
      <x:c r="BD58" s="1" t="n">
        <x:v>19.17</x:v>
      </x:c>
      <x:c r="BE58" s="1" t="n">
        <x:v>90.36</x:v>
      </x:c>
      <x:c r="BF58" s="1" t="n">
        <x:v>53.52</x:v>
      </x:c>
      <x:c r="BG58" s="1" t="n">
        <x:v>12.09</x:v>
      </x:c>
      <x:c r="BH58" s="1"/>
      <x:c r="BI58" s="1" t="n">
        <x:v>9.61</x:v>
      </x:c>
      <x:c r="BJ58" s="1"/>
      <x:c r="BK58" s="1" t="n">
        <x:v>32.4</x:v>
      </x:c>
      <x:c r="BL58" s="1" t="n">
        <x:v>30.34</x:v>
      </x:c>
      <x:c r="BM58" s="1" t="n">
        <x:v>47.06</x:v>
      </x:c>
      <x:c r="BN58" s="1" t="n">
        <x:v>52.16</x:v>
      </x:c>
      <x:c r="BO58" s="1" t="n">
        <x:v>39.23</x:v>
      </x:c>
      <x:c r="BP58" s="1"/>
      <x:c r="BQ58" s="1" t="n">
        <x:v>784300</x:v>
      </x:c>
      <x:c r="BR58" s="1" t="n">
        <x:v>447800</x:v>
      </x:c>
      <x:c r="BS58" s="1" t="n">
        <x:v>91700</x:v>
      </x:c>
      <x:c r="BT58" s="1" t="n">
        <x:v>118500</x:v>
      </x:c>
      <x:c r="BU58" s="1" t="n">
        <x:v>89000</x:v>
      </x:c>
      <x:c r="BV58" s="1" t="n">
        <x:v>153700</x:v>
      </x:c>
      <x:c r="BW58" s="1" t="n">
        <x:v>127500</x:v>
      </x:c>
      <x:c r="BX58" s="1" t="n">
        <x:v>205200</x:v>
      </x:c>
      <x:c r="BY58" s="1" t="n">
        <x:v>138500</x:v>
      </x:c>
      <x:c r="BZ58" s="1" t="n">
        <x:v>81.7833</x:v>
      </x:c>
      <x:c r="CA58" s="1" t="n">
        <x:v>86.01</x:v>
      </x:c>
      <x:c r="CB58" s="1" t="n">
        <x:v>134.15</x:v>
      </x:c>
      <x:c r="CC58" s="1" t="n">
        <x:v>227.21</x:v>
      </x:c>
      <x:c r="CD58" s="1" t="n">
        <x:v>285.95</x:v>
      </x:c>
      <x:c r="CE58" s="1" t="n">
        <x:v>179.15</x:v>
      </x:c>
      <x:c r="CF58" s="1" t="n">
        <x:v>409.22</x:v>
      </x:c>
      <x:c r="CG58" s="1" t="n">
        <x:v>147.75</x:v>
      </x:c>
      <x:c r="CH58" s="1" t="n">
        <x:v>135.29</x:v>
      </x:c>
      <x:c r="CI58" s="1" t="n">
        <x:v>147.99</x:v>
      </x:c>
      <x:c r="CJ58" s="1" t="n">
        <x:v>141.38</x:v>
      </x:c>
      <x:c r="CK58" s="1" t="n">
        <x:v>125.81</x:v>
      </x:c>
      <x:c r="CL58" s="1" t="n">
        <x:v>412.62</x:v>
      </x:c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 t="n">
        <x:v>122848.32</x:v>
      </x:c>
      <x:c r="CY58" s="1" t="n">
        <x:v>124775.57</x:v>
      </x:c>
      <x:c r="CZ58" s="1" t="n">
        <x:v>191053.08</x:v>
      </x:c>
      <x:c r="DA58" s="1" t="n">
        <x:v>149466.04</x:v>
      </x:c>
      <x:c r="DB58" s="1" t="n">
        <x:v>89743.22</x:v>
      </x:c>
      <x:c r="DC58" s="1" t="n">
        <x:v>121995.46</x:v>
      </x:c>
      <x:c r="DD58" s="1" t="n">
        <x:v>113392.36</x:v>
      </x:c>
      <x:c r="DE58" s="1" t="n">
        <x:v>116649.41</x:v>
      </x:c>
      <x:c r="DF58" s="1" t="n">
        <x:v>121700.65</x:v>
      </x:c>
      <x:c r="DG58" s="1" t="n">
        <x:v>142399.3</x:v>
      </x:c>
      <x:c r="DH58" s="1" t="n">
        <x:v>125917.39</x:v>
      </x:c>
      <x:c r="DI58" s="1" t="n">
        <x:v>124499.69</x:v>
      </x:c>
      <x:c r="DJ58" s="1" t="n">
        <x:v>123094.98</x:v>
      </x:c>
      <x:c r="DK58" s="1" t="n">
        <x:v>125154.05</x:v>
      </x:c>
      <x:c r="DL58" s="1" t="n">
        <x:v>127871.03</x:v>
      </x:c>
      <x:c r="DM58" s="1" t="n">
        <x:v>159549.82</x:v>
      </x:c>
    </x:row>
    <x:row r="59" ht="23" customHeight="1">
      <x:c r="A59" s="1" t="n">
        <x:v>54</x:v>
      </x:c>
      <x:c r="B59" s="1" t="str">
        <x:v>丁酸丙酯propyl butanoate</x:v>
      </x:c>
      <x:c r="C59" s="1" t="str">
        <x:v>105-66-8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 t="n">
        <x:v>593</x:v>
      </x:c>
      <x:c r="CO59" s="1" t="n">
        <x:v>1150</x:v>
      </x:c>
      <x:c r="CP59" s="1" t="n">
        <x:v>605</x:v>
      </x:c>
      <x:c r="CQ59" s="1" t="n">
        <x:v>853</x:v>
      </x:c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  <x:c r="DE59" s="1"/>
      <x:c r="DF59" s="1"/>
      <x:c r="DG59" s="1"/>
      <x:c r="DH59" s="1"/>
      <x:c r="DI59" s="1"/>
      <x:c r="DJ59" s="1"/>
      <x:c r="DK59" s="1"/>
      <x:c r="DL59" s="1"/>
      <x:c r="DM59" s="1"/>
    </x:row>
    <x:row r="60" ht="23" customHeight="1">
      <x:c r="A60" s="1" t="n">
        <x:v>55</x:v>
      </x:c>
      <x:c r="B60" s="1" t="str">
        <x:v>己酸异丁酯</x:v>
      </x:c>
      <x:c r="C60" s="1" t="str">
        <x:v>105-79-3</x:v>
      </x:c>
      <x:c r="D60" s="1" t="n">
        <x:v>5350</x:v>
      </x:c>
      <x:c r="E60" s="1" t="n">
        <x:v>81</x:v>
      </x:c>
      <x:c r="F60" s="1" t="n">
        <x:v>461</x:v>
      </x:c>
      <x:c r="G60" s="1"/>
      <x:c r="H60" s="1" t="n">
        <x:v>29.32</x:v>
      </x:c>
      <x:c r="I60" s="1" t="n">
        <x:v>3.05</x:v>
      </x:c>
      <x:c r="J60" s="1" t="n">
        <x:v>9.96</x:v>
      </x:c>
      <x:c r="K60" s="1" t="n">
        <x:v>2.93</x:v>
      </x:c>
      <x:c r="L60" s="1"/>
      <x:c r="M60" s="1"/>
      <x:c r="N60" s="1" t="n">
        <x:v>9020</x:v>
      </x:c>
      <x:c r="O60" s="1" t="n">
        <x:v>8555</x:v>
      </x:c>
      <x:c r="P60" s="1"/>
      <x:c r="Q60" s="1" t="n">
        <x:v>1268</x:v>
      </x:c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 t="n">
        <x:v>2800</x:v>
      </x:c>
      <x:c r="BA60" s="1" t="n">
        <x:v>2107</x:v>
      </x:c>
      <x:c r="BB60" s="1" t="n">
        <x:v>1112.21</x:v>
      </x:c>
      <x:c r="BC60" s="1" t="n">
        <x:v>1</x:v>
      </x:c>
      <x:c r="BD60" s="1" t="n">
        <x:v>1430.95</x:v>
      </x:c>
      <x:c r="BE60" s="1" t="n">
        <x:v>1532.965</x:v>
      </x:c>
      <x:c r="BF60" s="1" t="n">
        <x:v>1575.06</x:v>
      </x:c>
      <x:c r="BG60" s="1" t="n">
        <x:v>201.33</x:v>
      </x:c>
      <x:c r="BH60" s="1" t="n">
        <x:v>6412.11</x:v>
      </x:c>
      <x:c r="BI60" s="1" t="n">
        <x:v>95.19</x:v>
      </x:c>
      <x:c r="BJ60" s="1" t="n">
        <x:v>180.91</x:v>
      </x:c>
      <x:c r="BK60" s="1" t="n">
        <x:v>6.285</x:v>
      </x:c>
      <x:c r="BL60" s="1" t="n">
        <x:v>6.49</x:v>
      </x:c>
      <x:c r="BM60" s="1" t="n">
        <x:v>10.86</x:v>
      </x:c>
      <x:c r="BN60" s="1" t="n">
        <x:v>10.26</x:v>
      </x:c>
      <x:c r="BO60" s="1" t="n">
        <x:v>12.16</x:v>
      </x:c>
      <x:c r="BP60" s="1" t="n">
        <x:v>3021</x:v>
      </x:c>
      <x:c r="BQ60" s="1"/>
      <x:c r="BR60" s="1"/>
      <x:c r="BS60" s="1"/>
      <x:c r="BT60" s="1"/>
      <x:c r="BU60" s="1"/>
      <x:c r="BV60" s="1"/>
      <x:c r="BW60" s="1"/>
      <x:c r="BX60" s="1"/>
      <x:c r="BY60" s="1"/>
      <x:c r="BZ60" s="1" t="n">
        <x:v>5119.87</x:v>
      </x:c>
      <x:c r="CA60" s="1" t="n">
        <x:v>3784.51</x:v>
      </x:c>
      <x:c r="CB60" s="1" t="n">
        <x:v>4046.94</x:v>
      </x:c>
      <x:c r="CC60" s="1" t="n">
        <x:v>4399.84</x:v>
      </x:c>
      <x:c r="CD60" s="1" t="n">
        <x:v>6927.46</x:v>
      </x:c>
      <x:c r="CE60" s="1" t="n">
        <x:v>5483.44</x:v>
      </x:c>
      <x:c r="CF60" s="1" t="n">
        <x:v>4978.37</x:v>
      </x:c>
      <x:c r="CG60" s="1" t="n">
        <x:v>3459.61</x:v>
      </x:c>
      <x:c r="CH60" s="1" t="n">
        <x:v>2930.14</x:v>
      </x:c>
      <x:c r="CI60" s="1" t="n">
        <x:v>9701.66</x:v>
      </x:c>
      <x:c r="CJ60" s="1" t="n">
        <x:v>3815.2</x:v>
      </x:c>
      <x:c r="CK60" s="1" t="n">
        <x:v>16185.38</x:v>
      </x:c>
      <x:c r="CL60" s="1" t="n">
        <x:v>7002.37</x:v>
      </x:c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 t="n">
        <x:v>419.26</x:v>
      </x:c>
      <x:c r="CY60" s="1" t="n">
        <x:v>125.4</x:v>
      </x:c>
      <x:c r="CZ60" s="1" t="n">
        <x:v>178.15</x:v>
      </x:c>
      <x:c r="DA60" s="1" t="n">
        <x:v>679.59</x:v>
      </x:c>
      <x:c r="DB60" s="1" t="n">
        <x:v>42.37</x:v>
      </x:c>
      <x:c r="DC60" s="1" t="n">
        <x:v>383.92</x:v>
      </x:c>
      <x:c r="DD60" s="1" t="n">
        <x:v>354.27</x:v>
      </x:c>
      <x:c r="DE60" s="1" t="n">
        <x:v>243.69</x:v>
      </x:c>
      <x:c r="DF60" s="1" t="n">
        <x:v>341.22</x:v>
      </x:c>
      <x:c r="DG60" s="1" t="n">
        <x:v>192.89</x:v>
      </x:c>
      <x:c r="DH60" s="1" t="n">
        <x:v>284.27</x:v>
      </x:c>
      <x:c r="DI60" s="1" t="n">
        <x:v>460.76</x:v>
      </x:c>
      <x:c r="DJ60" s="1" t="n">
        <x:v>166.62</x:v>
      </x:c>
      <x:c r="DK60" s="1" t="n">
        <x:v>338.68</x:v>
      </x:c>
      <x:c r="DL60" s="1" t="n">
        <x:v>569.41</x:v>
      </x:c>
      <x:c r="DM60" s="1" t="n">
        <x:v>224.52</x:v>
      </x:c>
    </x:row>
    <x:row r="61" ht="23" customHeight="1">
      <x:c r="A61" s="1" t="n">
        <x:v>56</x:v>
      </x:c>
      <x:c r="B61" s="1" t="str">
        <x:v>丁酸异戊酯</x:v>
      </x:c>
      <x:c r="C61" s="1" t="str">
        <x:v>106-27-4</x:v>
      </x:c>
      <x:c r="D61" s="1" t="n">
        <x:v>915</x:v>
      </x:c>
      <x:c r="E61" s="1"/>
      <x:c r="F61" s="1"/>
      <x:c r="G61" s="1"/>
      <x:c r="H61" s="1"/>
      <x:c r="I61" s="1"/>
      <x:c r="J61" s="1"/>
      <x:c r="K61" s="1"/>
      <x:c r="L61" s="1"/>
      <x:c r="M61" s="1"/>
      <x:c r="N61" s="1" t="n">
        <x:v>4105</x:v>
      </x:c>
      <x:c r="O61" s="1" t="n">
        <x:v>3424</x:v>
      </x:c>
      <x:c r="P61" s="1" t="n">
        <x:v>3828</x:v>
      </x:c>
      <x:c r="Q61" s="1" t="n">
        <x:v>3635</x:v>
      </x:c>
      <x:c r="R61" s="1" t="n">
        <x:v>3371</x:v>
      </x:c>
      <x:c r="S61" s="1" t="n">
        <x:v>3579</x:v>
      </x:c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 t="n">
        <x:v>1190</x:v>
      </x:c>
      <x:c r="AL61" s="1" t="n">
        <x:v>1670</x:v>
      </x:c>
      <x:c r="AM61" s="1"/>
      <x:c r="AN61" s="1"/>
      <x:c r="AO61" s="1"/>
      <x:c r="AP61" s="1"/>
      <x:c r="AQ61" s="1" t="n">
        <x:v>5.48</x:v>
      </x:c>
      <x:c r="AR61" s="1" t="n">
        <x:v>0.94</x:v>
      </x:c>
      <x:c r="AS61" s="1"/>
      <x:c r="AT61" s="1"/>
      <x:c r="AU61" s="1"/>
      <x:c r="AV61" s="1"/>
      <x:c r="AW61" s="1"/>
      <x:c r="AX61" s="1"/>
      <x:c r="AY61" s="1"/>
      <x:c r="AZ61" s="1" t="n">
        <x:v>127</x:v>
      </x:c>
      <x:c r="BA61" s="1"/>
      <x:c r="BB61" s="1" t="n">
        <x:v>314.61</x:v>
      </x:c>
      <x:c r="BC61" s="1" t="n">
        <x:v>1</x:v>
      </x:c>
      <x:c r="BD61" s="1" t="n">
        <x:v>504.32</x:v>
      </x:c>
      <x:c r="BE61" s="1" t="n">
        <x:v>384.97</x:v>
      </x:c>
      <x:c r="BF61" s="1" t="n">
        <x:v>433.605</x:v>
      </x:c>
      <x:c r="BG61" s="1" t="n">
        <x:v>246.41</x:v>
      </x:c>
      <x:c r="BH61" s="1" t="n">
        <x:v>990.32</x:v>
      </x:c>
      <x:c r="BI61" s="1" t="n">
        <x:v>222.92</x:v>
      </x:c>
      <x:c r="BJ61" s="1" t="n">
        <x:v>267.42</x:v>
      </x:c>
      <x:c r="BK61" s="1" t="n">
        <x:v>1241.03</x:v>
      </x:c>
      <x:c r="BL61" s="1" t="n">
        <x:v>1557</x:v>
      </x:c>
      <x:c r="BM61" s="1" t="n">
        <x:v>2579.12</x:v>
      </x:c>
      <x:c r="BN61" s="1" t="n">
        <x:v>2320.21</x:v>
      </x:c>
      <x:c r="BO61" s="1" t="n">
        <x:v>1761.12</x:v>
      </x:c>
      <x:c r="BP61" s="1" t="n">
        <x:v>600.61</x:v>
      </x:c>
      <x:c r="BQ61" s="1"/>
      <x:c r="BR61" s="1"/>
      <x:c r="BS61" s="1"/>
      <x:c r="BT61" s="1"/>
      <x:c r="BU61" s="1"/>
      <x:c r="BV61" s="1"/>
      <x:c r="BW61" s="1"/>
      <x:c r="BX61" s="1"/>
      <x:c r="BY61" s="1"/>
      <x:c r="BZ61" s="1" t="n">
        <x:v>394.43</x:v>
      </x:c>
      <x:c r="CA61" s="1" t="n">
        <x:v>338.38</x:v>
      </x:c>
      <x:c r="CB61" s="1" t="n">
        <x:v>606.36</x:v>
      </x:c>
      <x:c r="CC61" s="1" t="n">
        <x:v>626.07</x:v>
      </x:c>
      <x:c r="CD61" s="1" t="n">
        <x:v>1534.46</x:v>
      </x:c>
      <x:c r="CE61" s="1" t="n">
        <x:v>743.85</x:v>
      </x:c>
      <x:c r="CF61" s="1" t="n">
        <x:v>1093.38</x:v>
      </x:c>
      <x:c r="CG61" s="1" t="n">
        <x:v>541.17</x:v>
      </x:c>
      <x:c r="CH61" s="1" t="n">
        <x:v>387.02</x:v>
      </x:c>
      <x:c r="CI61" s="1" t="n">
        <x:v>2135.53</x:v>
      </x:c>
      <x:c r="CJ61" s="1" t="n">
        <x:v>2104.37</x:v>
      </x:c>
      <x:c r="CK61" s="1" t="n">
        <x:v>2883.61</x:v>
      </x:c>
      <x:c r="CL61" s="1" t="n">
        <x:v>1263.22</x:v>
      </x:c>
      <x:c r="CM61" s="1" t="n">
        <x:v>1152.59</x:v>
      </x:c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 t="n">
        <x:v>112.52</x:v>
      </x:c>
      <x:c r="CY61" s="1" t="n">
        <x:v>1330.13</x:v>
      </x:c>
      <x:c r="CZ61" s="1" t="n">
        <x:v>1716.51</x:v>
      </x:c>
      <x:c r="DA61" s="1" t="n">
        <x:v>83.42</x:v>
      </x:c>
      <x:c r="DB61" s="1" t="n">
        <x:v>2190.04</x:v>
      </x:c>
      <x:c r="DC61" s="1" t="n">
        <x:v>72.34</x:v>
      </x:c>
      <x:c r="DD61" s="1" t="n">
        <x:v>2059.89</x:v>
      </x:c>
      <x:c r="DE61" s="1" t="n">
        <x:v>206.87</x:v>
      </x:c>
      <x:c r="DF61" s="1" t="n">
        <x:v>1463.78</x:v>
      </x:c>
      <x:c r="DG61" s="1" t="n">
        <x:v>233.8</x:v>
      </x:c>
      <x:c r="DH61" s="1" t="n">
        <x:v>1581.34</x:v>
      </x:c>
      <x:c r="DI61" s="1" t="n">
        <x:v>413.35</x:v>
      </x:c>
      <x:c r="DJ61" s="1" t="n">
        <x:v>1512.74</x:v>
      </x:c>
      <x:c r="DK61" s="1" t="n">
        <x:v>224.65</x:v>
      </x:c>
      <x:c r="DL61" s="1" t="n">
        <x:v>2907.57</x:v>
      </x:c>
      <x:c r="DM61" s="1" t="n">
        <x:v>313.92</x:v>
      </x:c>
    </x:row>
    <x:row r="62" ht="23" customHeight="1">
      <x:c r="A62" s="1" t="n">
        <x:v>57</x:v>
      </x:c>
      <x:c r="B62" s="1" t="str">
        <x:v>庚酸乙酯</x:v>
      </x:c>
      <x:c r="C62" s="1" t="str">
        <x:v>106-30-9</x:v>
      </x:c>
      <x:c r="D62" s="1" t="n">
        <x:v>13153</x:v>
      </x:c>
      <x:c r="E62" s="1" t="n">
        <x:v>5859</x:v>
      </x:c>
      <x:c r="F62" s="1" t="n">
        <x:v>44450</x:v>
      </x:c>
      <x:c r="G62" s="1" t="n">
        <x:v>162.42</x:v>
      </x:c>
      <x:c r="H62" s="1" t="n">
        <x:v>67.59</x:v>
      </x:c>
      <x:c r="I62" s="1" t="n">
        <x:v>92.79</x:v>
      </x:c>
      <x:c r="J62" s="1" t="n">
        <x:v>359.81</x:v>
      </x:c>
      <x:c r="K62" s="1" t="n">
        <x:v>41.72</x:v>
      </x:c>
      <x:c r="L62" s="1"/>
      <x:c r="M62" s="1"/>
      <x:c r="N62" s="1" t="n">
        <x:v>348671</x:v>
      </x:c>
      <x:c r="O62" s="1" t="n">
        <x:v>297115</x:v>
      </x:c>
      <x:c r="P62" s="1" t="n">
        <x:v>264634</x:v>
      </x:c>
      <x:c r="Q62" s="1" t="n">
        <x:v>234362</x:v>
      </x:c>
      <x:c r="R62" s="1" t="n">
        <x:v>263123</x:v>
      </x:c>
      <x:c r="S62" s="1" t="n">
        <x:v>242733</x:v>
      </x:c>
      <x:c r="T62" s="1" t="n">
        <x:v>5</x:v>
      </x:c>
      <x:c r="U62" s="1" t="n">
        <x:v>8</x:v>
      </x:c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 t="n">
        <x:v>1210</x:v>
      </x:c>
      <x:c r="AI62" s="1" t="n">
        <x:v>1500</x:v>
      </x:c>
      <x:c r="AJ62" s="1" t="n">
        <x:v>2200</x:v>
      </x:c>
      <x:c r="AK62" s="1" t="n">
        <x:v>7580</x:v>
      </x:c>
      <x:c r="AL62" s="1" t="n">
        <x:v>18860</x:v>
      </x:c>
      <x:c r="AM62" s="1" t="n">
        <x:v>15360</x:v>
      </x:c>
      <x:c r="AN62" s="1" t="n">
        <x:v>8710</x:v>
      </x:c>
      <x:c r="AO62" s="1" t="n">
        <x:v>8600</x:v>
      </x:c>
      <x:c r="AP62" s="1" t="n">
        <x:v>21820</x:v>
      </x:c>
      <x:c r="AQ62" s="1" t="n">
        <x:v>245.62</x:v>
      </x:c>
      <x:c r="AR62" s="1" t="n">
        <x:v>97.51</x:v>
      </x:c>
      <x:c r="AS62" s="1" t="n">
        <x:v>54.15</x:v>
      </x:c>
      <x:c r="AT62" s="1" t="n">
        <x:v>62.18</x:v>
      </x:c>
      <x:c r="AU62" s="1" t="n">
        <x:v>7.08</x:v>
      </x:c>
      <x:c r="AV62" s="1" t="n">
        <x:v>4550.5</x:v>
      </x:c>
      <x:c r="AW62" s="1" t="n">
        <x:v>3</x:v>
      </x:c>
      <x:c r="AX62" s="1" t="n">
        <x:v>11251</x:v>
      </x:c>
      <x:c r="AY62" s="1" t="n">
        <x:v>0</x:v>
      </x:c>
      <x:c r="AZ62" s="1"/>
      <x:c r="BA62" s="1" t="n">
        <x:v>24974</x:v>
      </x:c>
      <x:c r="BB62" s="1" t="n">
        <x:v>12.14</x:v>
      </x:c>
      <x:c r="BC62" s="1" t="n">
        <x:v>2</x:v>
      </x:c>
      <x:c r="BD62" s="1" t="n">
        <x:v>14.66</x:v>
      </x:c>
      <x:c r="BE62" s="1" t="n">
        <x:v>14.875</x:v>
      </x:c>
      <x:c r="BF62" s="1" t="n">
        <x:v>10.27</x:v>
      </x:c>
      <x:c r="BG62" s="1" t="n">
        <x:v>8.81</x:v>
      </x:c>
      <x:c r="BH62" s="1" t="n">
        <x:v>24.92</x:v>
      </x:c>
      <x:c r="BI62" s="1" t="n">
        <x:v>8.19</x:v>
      </x:c>
      <x:c r="BJ62" s="1" t="n">
        <x:v>13.82</x:v>
      </x:c>
      <x:c r="BK62" s="1" t="n">
        <x:v>67.9</x:v>
      </x:c>
      <x:c r="BL62" s="1" t="n">
        <x:v>77.32</x:v>
      </x:c>
      <x:c r="BM62" s="1" t="n">
        <x:v>76.32</x:v>
      </x:c>
      <x:c r="BN62" s="1" t="n">
        <x:v>67.42</x:v>
      </x:c>
      <x:c r="BO62" s="1" t="n">
        <x:v>103.72</x:v>
      </x:c>
      <x:c r="BP62" s="1" t="n">
        <x:v>34.32</x:v>
      </x:c>
      <x:c r="BQ62" s="1"/>
      <x:c r="BR62" s="1"/>
      <x:c r="BS62" s="1"/>
      <x:c r="BT62" s="1"/>
      <x:c r="BU62" s="1"/>
      <x:c r="BV62" s="1"/>
      <x:c r="BW62" s="1"/>
      <x:c r="BX62" s="1"/>
      <x:c r="BY62" s="1"/>
      <x:c r="BZ62" s="1" t="n">
        <x:v>46.695</x:v>
      </x:c>
      <x:c r="CA62" s="1" t="n">
        <x:v>40.105</x:v>
      </x:c>
      <x:c r="CB62" s="1" t="n">
        <x:v>121.21</x:v>
      </x:c>
      <x:c r="CC62" s="1" t="n">
        <x:v>145</x:v>
      </x:c>
      <x:c r="CD62" s="1" t="n">
        <x:v>275.13</x:v>
      </x:c>
      <x:c r="CE62" s="1" t="n">
        <x:v>166.92</x:v>
      </x:c>
      <x:c r="CF62" s="1" t="n">
        <x:v>85.43</x:v>
      </x:c>
      <x:c r="CG62" s="1" t="n">
        <x:v>30.43</x:v>
      </x:c>
      <x:c r="CH62" s="1" t="n">
        <x:v>20.66</x:v>
      </x:c>
      <x:c r="CI62" s="1" t="n">
        <x:v>271.98</x:v>
      </x:c>
      <x:c r="CJ62" s="1" t="n">
        <x:v>338.35</x:v>
      </x:c>
      <x:c r="CK62" s="1" t="n">
        <x:v>273.56</x:v>
      </x:c>
      <x:c r="CL62" s="1" t="n">
        <x:v>126.68</x:v>
      </x:c>
      <x:c r="CM62" s="1" t="n">
        <x:v>158.94</x:v>
      </x:c>
      <x:c r="CN62" s="1" t="n">
        <x:v>29811</x:v>
      </x:c>
      <x:c r="CO62" s="1" t="n">
        <x:v>149744</x:v>
      </x:c>
      <x:c r="CP62" s="1" t="n">
        <x:v>40434</x:v>
      </x:c>
      <x:c r="CQ62" s="1" t="n">
        <x:v>41085</x:v>
      </x:c>
      <x:c r="CR62" s="1"/>
      <x:c r="CS62" s="1"/>
      <x:c r="CT62" s="1" t="n">
        <x:v>3320.56</x:v>
      </x:c>
      <x:c r="CU62" s="1" t="n">
        <x:v>1637.67</x:v>
      </x:c>
      <x:c r="CV62" s="1" t="n">
        <x:v>3432.57</x:v>
      </x:c>
      <x:c r="CW62" s="1" t="n">
        <x:v>2580.27</x:v>
      </x:c>
      <x:c r="CX62" s="1" t="n">
        <x:v>16771.17</x:v>
      </x:c>
      <x:c r="CY62" s="1" t="n">
        <x:v>10855.36</x:v>
      </x:c>
      <x:c r="CZ62" s="1" t="n">
        <x:v>11763.79</x:v>
      </x:c>
      <x:c r="DA62" s="1" t="n">
        <x:v>18090.2</x:v>
      </x:c>
      <x:c r="DB62" s="1" t="n">
        <x:v>9836.04</x:v>
      </x:c>
      <x:c r="DC62" s="1" t="n">
        <x:v>23532.96</x:v>
      </x:c>
      <x:c r="DD62" s="1" t="n">
        <x:v>18160.25</x:v>
      </x:c>
      <x:c r="DE62" s="1" t="n">
        <x:v>23726.83</x:v>
      </x:c>
      <x:c r="DF62" s="1" t="n">
        <x:v>15784.75</x:v>
      </x:c>
      <x:c r="DG62" s="1" t="n">
        <x:v>20092.34</x:v>
      </x:c>
      <x:c r="DH62" s="1" t="n">
        <x:v>18405.05</x:v>
      </x:c>
      <x:c r="DI62" s="1" t="n">
        <x:v>15295.82</x:v>
      </x:c>
      <x:c r="DJ62" s="1" t="n">
        <x:v>25352.46</x:v>
      </x:c>
      <x:c r="DK62" s="1" t="n">
        <x:v>23337.05</x:v>
      </x:c>
      <x:c r="DL62" s="1" t="n">
        <x:v>36894.93</x:v>
      </x:c>
      <x:c r="DM62" s="1" t="n">
        <x:v>20465.48</x:v>
      </x:c>
    </x:row>
    <x:row r="63" ht="23" customHeight="1">
      <x:c r="A63" s="1" t="n">
        <x:v>58</x:v>
      </x:c>
      <x:c r="B63" s="1" t="str">
        <x:v>辛酸乙酯</x:v>
      </x:c>
      <x:c r="C63" s="1" t="str">
        <x:v>106-32-1</x:v>
      </x:c>
      <x:c r="D63" s="1" t="n">
        <x:v>12.9</x:v>
      </x:c>
      <x:c r="E63" s="1" t="n">
        <x:v>2382</x:v>
      </x:c>
      <x:c r="F63" s="1" t="n">
        <x:v>43878</x:v>
      </x:c>
      <x:c r="G63" s="1" t="n">
        <x:v>149.27</x:v>
      </x:c>
      <x:c r="H63" s="1" t="n">
        <x:v>86.76</x:v>
      </x:c>
      <x:c r="I63" s="1" t="n">
        <x:v>136.05</x:v>
      </x:c>
      <x:c r="J63" s="1" t="n">
        <x:v>572.73</x:v>
      </x:c>
      <x:c r="K63" s="1" t="n">
        <x:v>71.71</x:v>
      </x:c>
      <x:c r="L63" s="1" t="n">
        <x:v>940</x:v>
      </x:c>
      <x:c r="M63" s="1" t="n">
        <x:v>1672</x:v>
      </x:c>
      <x:c r="N63" s="1" t="n">
        <x:v>539066</x:v>
      </x:c>
      <x:c r="O63" s="1" t="n">
        <x:v>492647</x:v>
      </x:c>
      <x:c r="P63" s="1" t="n">
        <x:v>545636</x:v>
      </x:c>
      <x:c r="Q63" s="1" t="n">
        <x:v>383160</x:v>
      </x:c>
      <x:c r="R63" s="1" t="n">
        <x:v>431965</x:v>
      </x:c>
      <x:c r="S63" s="1" t="n">
        <x:v>445513</x:v>
      </x:c>
      <x:c r="T63" s="1" t="n">
        <x:v>10273</x:v>
      </x:c>
      <x:c r="U63" s="1" t="n">
        <x:v>5625</x:v>
      </x:c>
      <x:c r="V63" s="1"/>
      <x:c r="W63" s="1" t="n">
        <x:v>318</x:v>
      </x:c>
      <x:c r="X63" s="1" t="n">
        <x:v>502</x:v>
      </x:c>
      <x:c r="Y63" s="1" t="n">
        <x:v>855</x:v>
      </x:c>
      <x:c r="Z63" s="1" t="n">
        <x:v>1240</x:v>
      </x:c>
      <x:c r="AA63" s="1" t="n">
        <x:v>1530</x:v>
      </x:c>
      <x:c r="AB63" s="1" t="n">
        <x:v>2670</x:v>
      </x:c>
      <x:c r="AC63" s="1" t="n">
        <x:v>3330</x:v>
      </x:c>
      <x:c r="AD63" s="1" t="n">
        <x:v>3340</x:v>
      </x:c>
      <x:c r="AE63" s="1" t="n">
        <x:v>81610</x:v>
      </x:c>
      <x:c r="AF63" s="1" t="n">
        <x:v>76440</x:v>
      </x:c>
      <x:c r="AG63" s="1" t="n">
        <x:v>1865945</x:v>
      </x:c>
      <x:c r="AH63" s="1" t="n">
        <x:v>62</x:v>
      </x:c>
      <x:c r="AI63" s="1" t="n">
        <x:v>46</x:v>
      </x:c>
      <x:c r="AJ63" s="1" t="n">
        <x:v>60</x:v>
      </x:c>
      <x:c r="AK63" s="1" t="n">
        <x:v>4970</x:v>
      </x:c>
      <x:c r="AL63" s="1" t="n">
        <x:v>2160</x:v>
      </x:c>
      <x:c r="AM63" s="1" t="n">
        <x:v>64110</x:v>
      </x:c>
      <x:c r="AN63" s="1"/>
      <x:c r="AO63" s="1" t="n">
        <x:v>6250</x:v>
      </x:c>
      <x:c r="AP63" s="1" t="n">
        <x:v>26590</x:v>
      </x:c>
      <x:c r="AQ63" s="1" t="n">
        <x:v>171.9</x:v>
      </x:c>
      <x:c r="AR63" s="1" t="n">
        <x:v>65.04</x:v>
      </x:c>
      <x:c r="AS63" s="1" t="n">
        <x:v>29.65</x:v>
      </x:c>
      <x:c r="AT63" s="1" t="n">
        <x:v>34.06</x:v>
      </x:c>
      <x:c r="AU63" s="1" t="n">
        <x:v>5.06</x:v>
      </x:c>
      <x:c r="AV63" s="1" t="n">
        <x:v>0</x:v>
      </x:c>
      <x:c r="AW63" s="1" t="n">
        <x:v>738</x:v>
      </x:c>
      <x:c r="AX63" s="1" t="n">
        <x:v>11146</x:v>
      </x:c>
      <x:c r="AY63" s="1" t="n">
        <x:v>0</x:v>
      </x:c>
      <x:c r="AZ63" s="1" t="n">
        <x:v>32509</x:v>
      </x:c>
      <x:c r="BA63" s="1" t="n">
        <x:v>39578</x:v>
      </x:c>
      <x:c r="BB63" s="1" t="n">
        <x:v>22.47</x:v>
      </x:c>
      <x:c r="BC63" s="1" t="n">
        <x:v>2779.5</x:v>
      </x:c>
      <x:c r="BD63" s="1" t="n">
        <x:v>23.92</x:v>
      </x:c>
      <x:c r="BE63" s="1" t="n">
        <x:v>1196.81</x:v>
      </x:c>
      <x:c r="BF63" s="1" t="n">
        <x:v>944.675</x:v>
      </x:c>
      <x:c r="BG63" s="1" t="n">
        <x:v>15.48</x:v>
      </x:c>
      <x:c r="BH63" s="1" t="n">
        <x:v>67.72</x:v>
      </x:c>
      <x:c r="BI63" s="1" t="n">
        <x:v>14.57</x:v>
      </x:c>
      <x:c r="BJ63" s="1" t="n">
        <x:v>15.19</x:v>
      </x:c>
      <x:c r="BK63" s="1" t="n">
        <x:v>130.91</x:v>
      </x:c>
      <x:c r="BL63" s="1" t="n">
        <x:v>111.82</x:v>
      </x:c>
      <x:c r="BM63" s="1" t="n">
        <x:v>174.92</x:v>
      </x:c>
      <x:c r="BN63" s="1" t="n">
        <x:v>121.32</x:v>
      </x:c>
      <x:c r="BO63" s="1" t="n">
        <x:v>203.81</x:v>
      </x:c>
      <x:c r="BP63" s="1" t="n">
        <x:v>31.82</x:v>
      </x:c>
      <x:c r="BQ63" s="1"/>
      <x:c r="BR63" s="1"/>
      <x:c r="BS63" s="1"/>
      <x:c r="BT63" s="1"/>
      <x:c r="BU63" s="1"/>
      <x:c r="BV63" s="1"/>
      <x:c r="BW63" s="1"/>
      <x:c r="BX63" s="1"/>
      <x:c r="BY63" s="1"/>
      <x:c r="BZ63" s="1" t="n">
        <x:v>3733.8733</x:v>
      </x:c>
      <x:c r="CA63" s="1" t="n">
        <x:v>2949.5267</x:v>
      </x:c>
      <x:c r="CB63" s="1" t="n">
        <x:v>75.26</x:v>
      </x:c>
      <x:c r="CC63" s="1" t="n">
        <x:v>39.43</x:v>
      </x:c>
      <x:c r="CD63" s="1" t="n">
        <x:v>204.22</x:v>
      </x:c>
      <x:c r="CE63" s="1" t="n">
        <x:v>79.67</x:v>
      </x:c>
      <x:c r="CF63" s="1" t="n">
        <x:v>76.55</x:v>
      </x:c>
      <x:c r="CG63" s="1" t="n">
        <x:v>17.16</x:v>
      </x:c>
      <x:c r="CH63" s="1" t="n">
        <x:v>11.67</x:v>
      </x:c>
      <x:c r="CI63" s="1" t="n">
        <x:v>163.33</x:v>
      </x:c>
      <x:c r="CJ63" s="1" t="n">
        <x:v>168.76</x:v>
      </x:c>
      <x:c r="CK63" s="1" t="n">
        <x:v>188.97</x:v>
      </x:c>
      <x:c r="CL63" s="1" t="n">
        <x:v>95.1</x:v>
      </x:c>
      <x:c r="CM63" s="1" t="n">
        <x:v>101.15</x:v>
      </x:c>
      <x:c r="CN63" s="1" t="n">
        <x:v>5819</x:v>
      </x:c>
      <x:c r="CO63" s="1" t="n">
        <x:v>27516</x:v>
      </x:c>
      <x:c r="CP63" s="1" t="n">
        <x:v>10539</x:v>
      </x:c>
      <x:c r="CQ63" s="1" t="n">
        <x:v>12084</x:v>
      </x:c>
      <x:c r="CR63" s="1"/>
      <x:c r="CS63" s="1"/>
      <x:c r="CT63" s="1" t="n">
        <x:v>3568.03</x:v>
      </x:c>
      <x:c r="CU63" s="1" t="n">
        <x:v>1990.45</x:v>
      </x:c>
      <x:c r="CV63" s="1" t="n">
        <x:v>3520.13</x:v>
      </x:c>
      <x:c r="CW63" s="1" t="n">
        <x:v>2306.02</x:v>
      </x:c>
      <x:c r="CX63" s="1" t="n">
        <x:v>1496.6</x:v>
      </x:c>
      <x:c r="CY63" s="1" t="n">
        <x:v>4405.19</x:v>
      </x:c>
      <x:c r="CZ63" s="1" t="n">
        <x:v>6398.71</x:v>
      </x:c>
      <x:c r="DA63" s="1" t="n">
        <x:v>2195.82</x:v>
      </x:c>
      <x:c r="DB63" s="1" t="n">
        <x:v>2279.01</x:v>
      </x:c>
      <x:c r="DC63" s="1" t="n">
        <x:v>2786.7</x:v>
      </x:c>
      <x:c r="DD63" s="1" t="n">
        <x:v>8910.89</x:v>
      </x:c>
      <x:c r="DE63" s="1" t="n">
        <x:v>2056.71</x:v>
      </x:c>
      <x:c r="DF63" s="1" t="n">
        <x:v>4359.25</x:v>
      </x:c>
      <x:c r="DG63" s="1" t="n">
        <x:v>1984.69</x:v>
      </x:c>
      <x:c r="DH63" s="1" t="n">
        <x:v>5025.79</x:v>
      </x:c>
      <x:c r="DI63" s="1" t="n">
        <x:v>1877.21</x:v>
      </x:c>
      <x:c r="DJ63" s="1" t="n">
        <x:v>4983.38</x:v>
      </x:c>
      <x:c r="DK63" s="1" t="n">
        <x:v>1519.82</x:v>
      </x:c>
      <x:c r="DL63" s="1" t="n">
        <x:v>5308.37</x:v>
      </x:c>
      <x:c r="DM63" s="1" t="n">
        <x:v>3042.49</x:v>
      </x:c>
    </x:row>
    <x:row r="64" ht="23" customHeight="1">
      <x:c r="A64" s="1" t="n">
        <x:v>59</x:v>
      </x:c>
      <x:c r="B64" s="1" t="str">
        <x:v>癸酸乙酯</x:v>
      </x:c>
      <x:c r="C64" s="1" t="str">
        <x:v>106-33-2</x:v>
      </x:c>
      <x:c r="D64" s="1" t="n">
        <x:v>1120</x:v>
      </x:c>
      <x:c r="E64" s="1"/>
      <x:c r="F64" s="1"/>
      <x:c r="G64" s="1"/>
      <x:c r="H64" s="1" t="n">
        <x:v>14.42</x:v>
      </x:c>
      <x:c r="I64" s="1" t="n">
        <x:v>2.42</x:v>
      </x:c>
      <x:c r="J64" s="1" t="n">
        <x:v>4.79</x:v>
      </x:c>
      <x:c r="K64" s="1" t="n">
        <x:v>1.63</x:v>
      </x:c>
      <x:c r="L64" s="1"/>
      <x:c r="M64" s="1"/>
      <x:c r="N64" s="1" t="n">
        <x:v>24536</x:v>
      </x:c>
      <x:c r="O64" s="1" t="n">
        <x:v>17119</x:v>
      </x:c>
      <x:c r="P64" s="1" t="n">
        <x:v>6766</x:v>
      </x:c>
      <x:c r="Q64" s="1" t="n">
        <x:v>3556</x:v>
      </x:c>
      <x:c r="R64" s="1" t="n">
        <x:v>12572</x:v>
      </x:c>
      <x:c r="S64" s="1" t="n">
        <x:v>21615</x:v>
      </x:c>
      <x:c r="T64" s="1"/>
      <x:c r="U64" s="1"/>
      <x:c r="V64" s="1" t="n">
        <x:v>1.8125</x:v>
      </x:c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 t="n">
        <x:v>30</x:v>
      </x:c>
      <x:c r="AI64" s="1" t="n">
        <x:v>10</x:v>
      </x:c>
      <x:c r="AJ64" s="1" t="n">
        <x:v>10</x:v>
      </x:c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 t="n">
        <x:v>101.31</x:v>
      </x:c>
      <x:c r="BC64" s="1"/>
      <x:c r="BD64" s="1" t="n">
        <x:v>38.52</x:v>
      </x:c>
      <x:c r="BE64" s="1" t="n">
        <x:v>68.51</x:v>
      </x:c>
      <x:c r="BF64" s="1" t="n">
        <x:v>103.81</x:v>
      </x:c>
      <x:c r="BG64" s="1" t="n">
        <x:v>26.83</x:v>
      </x:c>
      <x:c r="BH64" s="1" t="n">
        <x:v>286.92</x:v>
      </x:c>
      <x:c r="BI64" s="1" t="n">
        <x:v>26.02</x:v>
      </x:c>
      <x:c r="BJ64" s="1" t="n">
        <x:v>37.46</x:v>
      </x:c>
      <x:c r="BK64" s="1" t="n">
        <x:v>126.02</x:v>
      </x:c>
      <x:c r="BL64" s="1" t="n">
        <x:v>144.51</x:v>
      </x:c>
      <x:c r="BM64" s="1" t="n">
        <x:v>178.12</x:v>
      </x:c>
      <x:c r="BN64" s="1" t="n">
        <x:v>203.7</x:v>
      </x:c>
      <x:c r="BO64" s="1" t="n">
        <x:v>194.81</x:v>
      </x:c>
      <x:c r="BP64" s="1" t="n">
        <x:v>122.22</x:v>
      </x:c>
      <x:c r="BQ64" s="1"/>
      <x:c r="BR64" s="1"/>
      <x:c r="BS64" s="1"/>
      <x:c r="BT64" s="1"/>
      <x:c r="BU64" s="1"/>
      <x:c r="BV64" s="1"/>
      <x:c r="BW64" s="1"/>
      <x:c r="BX64" s="1"/>
      <x:c r="BY64" s="1"/>
      <x:c r="BZ64" s="1" t="n">
        <x:v>20.315</x:v>
      </x:c>
      <x:c r="CA64" s="1" t="n">
        <x:v>21.02</x:v>
      </x:c>
      <x:c r="CB64" s="1" t="n">
        <x:v>45.16</x:v>
      </x:c>
      <x:c r="CC64" s="1" t="n">
        <x:v>46.58</x:v>
      </x:c>
      <x:c r="CD64" s="1" t="n">
        <x:v>47.15</x:v>
      </x:c>
      <x:c r="CE64" s="1" t="n">
        <x:v>43.63</x:v>
      </x:c>
      <x:c r="CF64" s="1" t="n">
        <x:v>49.33</x:v>
      </x:c>
      <x:c r="CG64" s="1" t="n">
        <x:v>260.46</x:v>
      </x:c>
      <x:c r="CH64" s="1" t="n">
        <x:v>175.33</x:v>
      </x:c>
      <x:c r="CI64" s="1" t="n">
        <x:v>53.59</x:v>
      </x:c>
      <x:c r="CJ64" s="1" t="n">
        <x:v>49.97</x:v>
      </x:c>
      <x:c r="CK64" s="1" t="n">
        <x:v>706.21</x:v>
      </x:c>
      <x:c r="CL64" s="1" t="n">
        <x:v>48.37</x:v>
      </x:c>
      <x:c r="CM64" s="1"/>
      <x:c r="CN64" s="1" t="n">
        <x:v>495</x:v>
      </x:c>
      <x:c r="CO64" s="1" t="n">
        <x:v>607</x:v>
      </x:c>
      <x:c r="CP64" s="1" t="n">
        <x:v>268</x:v>
      </x:c>
      <x:c r="CQ64" s="1" t="n">
        <x:v>378</x:v>
      </x:c>
      <x:c r="CR64" s="1" t="n">
        <x:v>3292.66</x:v>
      </x:c>
      <x:c r="CS64" s="1" t="n">
        <x:v>7270.66</x:v>
      </x:c>
      <x:c r="CT64" s="1" t="n">
        <x:v>260.17</x:v>
      </x:c>
      <x:c r="CU64" s="1" t="n">
        <x:v>90.26</x:v>
      </x:c>
      <x:c r="CV64" s="1" t="n">
        <x:v>105.59</x:v>
      </x:c>
      <x:c r="CW64" s="1" t="n">
        <x:v>74.8</x:v>
      </x:c>
      <x:c r="CX64" s="1" t="n">
        <x:v>5023.15</x:v>
      </x:c>
      <x:c r="CY64" s="1" t="n">
        <x:v>185.61</x:v>
      </x:c>
      <x:c r="CZ64" s="1" t="n">
        <x:v>48.58</x:v>
      </x:c>
      <x:c r="DA64" s="1" t="n">
        <x:v>1882.89</x:v>
      </x:c>
      <x:c r="DB64" s="1" t="n">
        <x:v>102.94</x:v>
      </x:c>
      <x:c r="DC64" s="1" t="n">
        <x:v>5141.3</x:v>
      </x:c>
      <x:c r="DD64" s="1" t="n">
        <x:v>1438.94</x:v>
      </x:c>
      <x:c r="DE64" s="1" t="n">
        <x:v>4036.88</x:v>
      </x:c>
      <x:c r="DF64" s="1" t="n">
        <x:v>1665.5</x:v>
      </x:c>
      <x:c r="DG64" s="1" t="n">
        <x:v>1077.74</x:v>
      </x:c>
      <x:c r="DH64" s="1" t="n">
        <x:v>1792.37</x:v>
      </x:c>
      <x:c r="DI64" s="1" t="n">
        <x:v>1007.6</x:v>
      </x:c>
      <x:c r="DJ64" s="1" t="n">
        <x:v>4525.17</x:v>
      </x:c>
      <x:c r="DK64" s="1" t="n">
        <x:v>694.13</x:v>
      </x:c>
      <x:c r="DL64" s="1" t="n">
        <x:v>375.47</x:v>
      </x:c>
      <x:c r="DM64" s="1" t="n">
        <x:v>153.19</x:v>
      </x:c>
    </x:row>
    <x:row r="65" ht="23" customHeight="1">
      <x:c r="A65" s="1" t="n">
        <x:v>60</x:v>
      </x:c>
      <x:c r="B65" s="1" t="str">
        <x:v>丙酸正丙酯</x:v>
      </x:c>
      <x:c r="C65" s="1" t="str">
        <x:v>106-36-5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 t="n">
        <x:v>157</x:v>
      </x:c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  <x:c r="DE65" s="1"/>
      <x:c r="DF65" s="1"/>
      <x:c r="DG65" s="1"/>
      <x:c r="DH65" s="1"/>
      <x:c r="DI65" s="1"/>
      <x:c r="DJ65" s="1"/>
      <x:c r="DK65" s="1"/>
      <x:c r="DL65" s="1"/>
      <x:c r="DM65" s="1"/>
    </x:row>
    <x:row r="66" ht="23" customHeight="1">
      <x:c r="A66" s="1" t="n">
        <x:v>61</x:v>
      </x:c>
      <x:c r="B66" s="1" t="str">
        <x:v>对甲酚</x:v>
      </x:c>
      <x:c r="C66" s="1" t="str">
        <x:v>106-44-5</x:v>
      </x:c>
      <x:c r="D66" s="1" t="n">
        <x:v>167</x:v>
      </x:c>
      <x:c r="E66" s="1" t="n">
        <x:v>571</x:v>
      </x:c>
      <x:c r="F66" s="1" t="n">
        <x:v>3271</x:v>
      </x:c>
      <x:c r="G66" s="1" t="n">
        <x:v>0.54</x:v>
      </x:c>
      <x:c r="H66" s="1" t="n">
        <x:v>0.51</x:v>
      </x:c>
      <x:c r="I66" s="1"/>
      <x:c r="J66" s="1" t="n">
        <x:v>4.41</x:v>
      </x:c>
      <x:c r="K66" s="1" t="n">
        <x:v>2.2</x:v>
      </x:c>
      <x:c r="L66" s="1"/>
      <x:c r="M66" s="1"/>
      <x:c r="N66" s="1"/>
      <x:c r="O66" s="1"/>
      <x:c r="P66" s="1"/>
      <x:c r="Q66" s="1"/>
      <x:c r="R66" s="1"/>
      <x:c r="S66" s="1"/>
      <x:c r="T66" s="1" t="n">
        <x:v>8</x:v>
      </x:c>
      <x:c r="U66" s="1" t="n">
        <x:v>7</x:v>
      </x:c>
      <x:c r="V66" s="1" t="n">
        <x:v>1.5</x:v>
      </x:c>
      <x:c r="W66" s="1" t="n">
        <x:v>306</x:v>
      </x:c>
      <x:c r="X66" s="1"/>
      <x:c r="Y66" s="1" t="n">
        <x:v>1020</x:v>
      </x:c>
      <x:c r="Z66" s="1" t="n">
        <x:v>1560</x:v>
      </x:c>
      <x:c r="AA66" s="1" t="n">
        <x:v>2010</x:v>
      </x:c>
      <x:c r="AB66" s="1" t="n">
        <x:v>3400</x:v>
      </x:c>
      <x:c r="AC66" s="1" t="n">
        <x:v>4970</x:v>
      </x:c>
      <x:c r="AD66" s="1" t="n">
        <x:v>5040</x:v>
      </x:c>
      <x:c r="AE66" s="1" t="n">
        <x:v>390</x:v>
      </x:c>
      <x:c r="AF66" s="1" t="n">
        <x:v>210</x:v>
      </x:c>
      <x:c r="AG66" s="1" t="n">
        <x:v>590</x:v>
      </x:c>
      <x:c r="AH66" s="1"/>
      <x:c r="AI66" s="1"/>
      <x:c r="AJ66" s="1"/>
      <x:c r="AK66" s="1" t="n">
        <x:v>460</x:v>
      </x:c>
      <x:c r="AL66" s="1" t="n">
        <x:v>350</x:v>
      </x:c>
      <x:c r="AM66" s="1"/>
      <x:c r="AN66" s="1"/>
      <x:c r="AO66" s="1"/>
      <x:c r="AP66" s="1"/>
      <x:c r="AQ66" s="1" t="n">
        <x:v>10.98</x:v>
      </x:c>
      <x:c r="AR66" s="1" t="n">
        <x:v>14.4</x:v>
      </x:c>
      <x:c r="AS66" s="1" t="n">
        <x:v>15.39</x:v>
      </x:c>
      <x:c r="AT66" s="1" t="n">
        <x:v>14.84</x:v>
      </x:c>
      <x:c r="AU66" s="1"/>
      <x:c r="AV66" s="1"/>
      <x:c r="AW66" s="1"/>
      <x:c r="AX66" s="1"/>
      <x:c r="AY66" s="1"/>
      <x:c r="AZ66" s="1"/>
      <x:c r="BA66" s="1"/>
      <x:c r="BB66" s="1"/>
      <x:c r="BC66" s="1"/>
      <x:c r="BD66" s="1" t="n">
        <x:v>373</x:v>
      </x:c>
      <x:c r="BE66" s="1" t="n">
        <x:v>638.61</x:v>
      </x:c>
      <x:c r="BF66" s="1" t="n">
        <x:v>855.62</x:v>
      </x:c>
      <x:c r="BG66" s="1" t="n">
        <x:v>341.62</x:v>
      </x:c>
      <x:c r="BH66" s="1"/>
      <x:c r="BI66" s="1" t="n">
        <x:v>437.61</x:v>
      </x:c>
      <x:c r="BJ66" s="1"/>
      <x:c r="BK66" s="1" t="n">
        <x:v>6449</x:v>
      </x:c>
      <x:c r="BL66" s="1" t="n">
        <x:v>5644.11</x:v>
      </x:c>
      <x:c r="BM66" s="1" t="n">
        <x:v>6914</x:v>
      </x:c>
      <x:c r="BN66" s="1" t="n">
        <x:v>2731</x:v>
      </x:c>
      <x:c r="BO66" s="1" t="n">
        <x:v>4728.34</x:v>
      </x:c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 t="n">
        <x:v>174.235</x:v>
      </x:c>
      <x:c r="CA66" s="1" t="n">
        <x:v>127.94</x:v>
      </x:c>
      <x:c r="CB66" s="1" t="n">
        <x:v>585.6</x:v>
      </x:c>
      <x:c r="CC66" s="1" t="n">
        <x:v>508.34</x:v>
      </x:c>
      <x:c r="CD66" s="1" t="n">
        <x:v>766.53</x:v>
      </x:c>
      <x:c r="CE66" s="1" t="n">
        <x:v>613.61</x:v>
      </x:c>
      <x:c r="CF66" s="1" t="n">
        <x:v>449.56</x:v>
      </x:c>
      <x:c r="CG66" s="1" t="n">
        <x:v>218.67</x:v>
      </x:c>
      <x:c r="CH66" s="1" t="n">
        <x:v>177.42</x:v>
      </x:c>
      <x:c r="CI66" s="1" t="n">
        <x:v>960.07</x:v>
      </x:c>
      <x:c r="CJ66" s="1" t="n">
        <x:v>1492.1</x:v>
      </x:c>
      <x:c r="CK66" s="1" t="n">
        <x:v>1587.71</x:v>
      </x:c>
      <x:c r="CL66" s="1" t="n">
        <x:v>629.89</x:v>
      </x:c>
      <x:c r="CM66" s="1" t="n">
        <x:v>640.78</x:v>
      </x:c>
      <x:c r="CN66" s="1"/>
      <x:c r="CO66" s="1"/>
      <x:c r="CP66" s="1"/>
      <x:c r="CQ66" s="1"/>
      <x:c r="CR66" s="1" t="n">
        <x:v>72.96</x:v>
      </x:c>
      <x:c r="CS66" s="1" t="n">
        <x:v>72.06</x:v>
      </x:c>
      <x:c r="CT66" s="1" t="n">
        <x:v>30.86</x:v>
      </x:c>
      <x:c r="CU66" s="1" t="n">
        <x:v>28.25</x:v>
      </x:c>
      <x:c r="CV66" s="1" t="n">
        <x:v>35.07</x:v>
      </x:c>
      <x:c r="CW66" s="1" t="n">
        <x:v>26.45</x:v>
      </x:c>
      <x:c r="CX66" s="1" t="n">
        <x:v>206.66</x:v>
      </x:c>
      <x:c r="CY66" s="1" t="n">
        <x:v>706.7</x:v>
      </x:c>
      <x:c r="CZ66" s="1" t="n">
        <x:v>702.41</x:v>
      </x:c>
      <x:c r="DA66" s="1" t="n">
        <x:v>191.69</x:v>
      </x:c>
      <x:c r="DB66" s="1" t="n">
        <x:v>402.4</x:v>
      </x:c>
      <x:c r="DC66" s="1" t="n">
        <x:v>10.52</x:v>
      </x:c>
      <x:c r="DD66" s="1" t="n">
        <x:v>1368.87</x:v>
      </x:c>
      <x:c r="DE66" s="1" t="n">
        <x:v>177.91</x:v>
      </x:c>
      <x:c r="DF66" s="1" t="n">
        <x:v>359.87</x:v>
      </x:c>
      <x:c r="DG66" s="1" t="n">
        <x:v>15.14</x:v>
      </x:c>
      <x:c r="DH66" s="1" t="n">
        <x:v>264.83</x:v>
      </x:c>
      <x:c r="DI66" s="1" t="n">
        <x:v>14.89</x:v>
      </x:c>
      <x:c r="DJ66" s="1" t="n">
        <x:v>142.12</x:v>
      </x:c>
      <x:c r="DK66" s="1" t="n">
        <x:v>14.21</x:v>
      </x:c>
      <x:c r="DL66" s="1" t="n">
        <x:v>961.96</x:v>
      </x:c>
      <x:c r="DM66" s="1" t="n">
        <x:v>49.86</x:v>
      </x:c>
    </x:row>
    <x:row r="67" ht="23" customHeight="1">
      <x:c r="A67" s="1" t="n">
        <x:v>62</x:v>
      </x:c>
      <x:c r="B67" s="1" t="str">
        <x:v>仲辛酮</x:v>
      </x:c>
      <x:c r="C67" s="1" t="str">
        <x:v>106-68-3</x:v>
      </x:c>
      <x:c r="D67" s="1" t="n">
        <x:v>250</x:v>
      </x:c>
      <x:c r="E67" s="1"/>
      <x:c r="F67" s="1"/>
      <x:c r="G67" s="1"/>
      <x:c r="H67" s="1"/>
      <x:c r="I67" s="1"/>
      <x:c r="J67" s="1"/>
      <x:c r="K67" s="1" t="n">
        <x:v>1.36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 t="n">
        <x:v>25</x:v>
      </x:c>
      <x:c r="BA67" s="1" t="n">
        <x:v>24</x:v>
      </x:c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  <x:c r="DE67" s="1"/>
      <x:c r="DF67" s="1"/>
      <x:c r="DG67" s="1"/>
      <x:c r="DH67" s="1"/>
      <x:c r="DI67" s="1"/>
      <x:c r="DJ67" s="1"/>
      <x:c r="DK67" s="1"/>
      <x:c r="DL67" s="1"/>
      <x:c r="DM67" s="1"/>
    </x:row>
    <x:row r="68" ht="23" customHeight="1">
      <x:c r="A68" s="1" t="n">
        <x:v>63</x:v>
      </x:c>
      <x:c r="B68" s="1" t="str">
        <x:v>己酸甲酯</x:v>
      </x:c>
      <x:c r="C68" s="1" t="str">
        <x:v>106-70-7</x:v>
      </x:c>
      <x:c r="D68" s="1"/>
      <x:c r="E68" s="1"/>
      <x:c r="F68" s="1"/>
      <x:c r="G68" s="1" t="n">
        <x:v>4.49</x:v>
      </x:c>
      <x:c r="H68" s="1" t="n">
        <x:v>96.79</x:v>
      </x:c>
      <x:c r="I68" s="1" t="n">
        <x:v>0.88</x:v>
      </x:c>
      <x:c r="J68" s="1" t="n">
        <x:v>1.14</x:v>
      </x:c>
      <x:c r="K68" s="1" t="n">
        <x:v>1.81</x:v>
      </x:c>
      <x:c r="L68" s="1" t="n">
        <x:v>336</x:v>
      </x:c>
      <x:c r="M68" s="1" t="n">
        <x:v>357</x:v>
      </x:c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 t="n">
        <x:v>7480</x:v>
      </x:c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 t="n">
        <x:v>8.09</x:v>
      </x:c>
      <x:c r="AR68" s="1" t="n">
        <x:v>1.88</x:v>
      </x:c>
      <x:c r="AS68" s="1" t="n">
        <x:v>2.19</x:v>
      </x:c>
      <x:c r="AT68" s="1" t="n">
        <x:v>2.63</x:v>
      </x:c>
      <x:c r="AU68" s="1"/>
      <x:c r="AV68" s="1"/>
      <x:c r="AW68" s="1"/>
      <x:c r="AX68" s="1"/>
      <x:c r="AY68" s="1"/>
      <x:c r="AZ68" s="1" t="n">
        <x:v>739</x:v>
      </x:c>
      <x:c r="BA68" s="1" t="n">
        <x:v>1401</x:v>
      </x:c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  <x:c r="DE68" s="1"/>
      <x:c r="DF68" s="1"/>
      <x:c r="DG68" s="1"/>
      <x:c r="DH68" s="1"/>
      <x:c r="DI68" s="1"/>
      <x:c r="DJ68" s="1"/>
      <x:c r="DK68" s="1"/>
      <x:c r="DL68" s="1"/>
      <x:c r="DM68" s="1"/>
    </x:row>
    <x:row r="69" ht="23" customHeight="1">
      <x:c r="A69" s="1" t="n">
        <x:v>64</x:v>
      </x:c>
      <x:c r="B69" s="1" t="str">
        <x:v>2-戊酮a</x:v>
      </x:c>
      <x:c r="C69" s="1" t="str">
        <x:v>107-87-9</x:v>
      </x:c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 t="n">
        <x:v>15780</x:v>
      </x:c>
      <x:c r="AI69" s="1" t="n">
        <x:v>92960</x:v>
      </x:c>
      <x:c r="AJ69" s="1" t="n">
        <x:v>65650</x:v>
      </x:c>
      <x:c r="AK69" s="1"/>
      <x:c r="AL69" s="1"/>
      <x:c r="AM69" s="1"/>
      <x:c r="AN69" s="1"/>
      <x:c r="AO69" s="1"/>
      <x:c r="AP69" s="1"/>
      <x:c r="AQ69" s="1"/>
      <x:c r="AR69" s="1"/>
      <x:c r="AS69" s="1" t="n">
        <x:v>49.3</x:v>
      </x:c>
      <x:c r="AT69" s="1" t="n">
        <x:v>66.67</x:v>
      </x:c>
      <x:c r="AU69" s="1"/>
      <x:c r="AV69" s="1"/>
      <x:c r="AW69" s="1"/>
      <x:c r="AX69" s="1"/>
      <x:c r="AY69" s="1"/>
      <x:c r="AZ69" s="1" t="n">
        <x:v>267</x:v>
      </x:c>
      <x:c r="BA69" s="1" t="n">
        <x:v>409</x:v>
      </x:c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 t="n">
        <x:v>4.6</x:v>
      </x:c>
      <x:c r="CA69" s="1" t="n">
        <x:v>7.905</x:v>
      </x:c>
      <x:c r="CB69" s="1" t="n">
        <x:v>11.93</x:v>
      </x:c>
      <x:c r="CC69" s="1" t="n">
        <x:v>130.43</x:v>
      </x:c>
      <x:c r="CD69" s="1" t="n">
        <x:v>88.35</x:v>
      </x:c>
      <x:c r="CE69" s="1" t="n">
        <x:v>54</x:v>
      </x:c>
      <x:c r="CF69" s="1" t="n">
        <x:v>17.67</x:v>
      </x:c>
      <x:c r="CG69" s="1" t="n">
        <x:v>52.15</x:v>
      </x:c>
      <x:c r="CH69" s="1" t="n">
        <x:v>30.87</x:v>
      </x:c>
      <x:c r="CI69" s="1" t="n">
        <x:v>317.1</x:v>
      </x:c>
      <x:c r="CJ69" s="1" t="n">
        <x:v>37.04</x:v>
      </x:c>
      <x:c r="CK69" s="1" t="n">
        <x:v>16.52</x:v>
      </x:c>
      <x:c r="CL69" s="1" t="n">
        <x:v>20.89</x:v>
      </x:c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  <x:c r="DE69" s="1"/>
      <x:c r="DF69" s="1"/>
      <x:c r="DG69" s="1"/>
      <x:c r="DH69" s="1"/>
      <x:c r="DI69" s="1"/>
      <x:c r="DJ69" s="1"/>
      <x:c r="DK69" s="1"/>
      <x:c r="DL69" s="1"/>
      <x:c r="DM69" s="1"/>
    </x:row>
    <x:row r="70" ht="23" customHeight="1">
      <x:c r="A70" s="1" t="n">
        <x:v>65</x:v>
      </x:c>
      <x:c r="B70" s="1" t="str">
        <x:v>丁酸</x:v>
      </x:c>
      <x:c r="C70" s="1" t="str">
        <x:v>107-92-6</x:v>
      </x:c>
      <x:c r="D70" s="1" t="n">
        <x:v>965</x:v>
      </x:c>
      <x:c r="E70" s="1" t="n">
        <x:v>78618</x:v>
      </x:c>
      <x:c r="F70" s="1" t="n">
        <x:v>295816</x:v>
      </x:c>
      <x:c r="G70" s="1" t="n">
        <x:v>4.16</x:v>
      </x:c>
      <x:c r="H70" s="1" t="n">
        <x:v>17.58</x:v>
      </x:c>
      <x:c r="I70" s="1" t="n">
        <x:v>8.31</x:v>
      </x:c>
      <x:c r="J70" s="1" t="n">
        <x:v>9.4</x:v>
      </x:c>
      <x:c r="K70" s="1" t="n">
        <x:v>8.06</x:v>
      </x:c>
      <x:c r="L70" s="1" t="n">
        <x:v>128673</x:v>
      </x:c>
      <x:c r="M70" s="1" t="n">
        <x:v>81517</x:v>
      </x:c>
      <x:c r="N70" s="1" t="n">
        <x:v>1048</x:v>
      </x:c>
      <x:c r="O70" s="1" t="n">
        <x:v>650</x:v>
      </x:c>
      <x:c r="P70" s="1" t="n">
        <x:v>3162</x:v>
      </x:c>
      <x:c r="Q70" s="1" t="n">
        <x:v>4010</x:v>
      </x:c>
      <x:c r="R70" s="1" t="n">
        <x:v>2852</x:v>
      </x:c>
      <x:c r="S70" s="1"/>
      <x:c r="T70" s="1" t="n">
        <x:v>194</x:v>
      </x:c>
      <x:c r="U70" s="1" t="n">
        <x:v>212</x:v>
      </x:c>
      <x:c r="V70" s="1"/>
      <x:c r="W70" s="1"/>
      <x:c r="X70" s="1"/>
      <x:c r="Y70" s="1"/>
      <x:c r="Z70" s="1"/>
      <x:c r="AA70" s="1"/>
      <x:c r="AB70" s="1" t="n">
        <x:v>651</x:v>
      </x:c>
      <x:c r="AC70" s="1" t="n">
        <x:v>516</x:v>
      </x:c>
      <x:c r="AD70" s="1" t="n">
        <x:v>956</x:v>
      </x:c>
      <x:c r="AE70" s="1" t="n">
        <x:v>41650</x:v>
      </x:c>
      <x:c r="AF70" s="1" t="n">
        <x:v>34420</x:v>
      </x:c>
      <x:c r="AG70" s="1" t="n">
        <x:v>21680</x:v>
      </x:c>
      <x:c r="AH70" s="1" t="n">
        <x:v>30</x:v>
      </x:c>
      <x:c r="AI70" s="1" t="n">
        <x:v>30</x:v>
      </x:c>
      <x:c r="AJ70" s="1" t="n">
        <x:v>40</x:v>
      </x:c>
      <x:c r="AK70" s="1" t="n">
        <x:v>13460</x:v>
      </x:c>
      <x:c r="AL70" s="1" t="n">
        <x:v>14620</x:v>
      </x:c>
      <x:c r="AM70" s="1"/>
      <x:c r="AN70" s="1"/>
      <x:c r="AO70" s="1"/>
      <x:c r="AP70" s="1"/>
      <x:c r="AQ70" s="1" t="n">
        <x:v>75.69</x:v>
      </x:c>
      <x:c r="AR70" s="1" t="n">
        <x:v>47.64</x:v>
      </x:c>
      <x:c r="AS70" s="1" t="n">
        <x:v>86.29</x:v>
      </x:c>
      <x:c r="AT70" s="1" t="n">
        <x:v>86.78</x:v>
      </x:c>
      <x:c r="AU70" s="1"/>
      <x:c r="AV70" s="1" t="n">
        <x:v>36838</x:v>
      </x:c>
      <x:c r="AW70" s="1" t="n">
        <x:v>24</x:v>
      </x:c>
      <x:c r="AX70" s="1" t="n">
        <x:v>35136.5</x:v>
      </x:c>
      <x:c r="AY70" s="1" t="n">
        <x:v>86800</x:v>
      </x:c>
      <x:c r="AZ70" s="1"/>
      <x:c r="BA70" s="1"/>
      <x:c r="BB70" s="1"/>
      <x:c r="BC70" s="1"/>
      <x:c r="BD70" s="1" t="n">
        <x:v>87.34</x:v>
      </x:c>
      <x:c r="BE70" s="1" t="n">
        <x:v>117.31</x:v>
      </x:c>
      <x:c r="BF70" s="1" t="n">
        <x:v>107.42</x:v>
      </x:c>
      <x:c r="BG70" s="1" t="n">
        <x:v>90.64</x:v>
      </x:c>
      <x:c r="BH70" s="1"/>
      <x:c r="BI70" s="1" t="n">
        <x:v>87.96</x:v>
      </x:c>
      <x:c r="BJ70" s="1"/>
      <x:c r="BK70" s="1" t="n">
        <x:v>138.92</x:v>
      </x:c>
      <x:c r="BL70" s="1" t="n">
        <x:v>111.44</x:v>
      </x:c>
      <x:c r="BM70" s="1" t="n">
        <x:v>156.52</x:v>
      </x:c>
      <x:c r="BN70" s="1" t="n">
        <x:v>108.78</x:v>
      </x:c>
      <x:c r="BO70" s="1" t="n">
        <x:v>122.82</x:v>
      </x:c>
      <x:c r="BP70" s="1"/>
      <x:c r="BQ70" s="1" t="n">
        <x:v>133900</x:v>
      </x:c>
      <x:c r="BR70" s="1" t="n">
        <x:v>154500</x:v>
      </x:c>
      <x:c r="BS70" s="1" t="n">
        <x:v>156100</x:v>
      </x:c>
      <x:c r="BT70" s="1" t="n">
        <x:v>45500</x:v>
      </x:c>
      <x:c r="BU70" s="1" t="n">
        <x:v>75100</x:v>
      </x:c>
      <x:c r="BV70" s="1" t="n">
        <x:v>59900</x:v>
      </x:c>
      <x:c r="BW70" s="1" t="n">
        <x:v>178400</x:v>
      </x:c>
      <x:c r="BX70" s="1" t="n">
        <x:v>74800</x:v>
      </x:c>
      <x:c r="BY70" s="1" t="n">
        <x:v>203700</x:v>
      </x:c>
      <x:c r="BZ70" s="1" t="n">
        <x:v>83.1133</x:v>
      </x:c>
      <x:c r="CA70" s="1" t="n">
        <x:v>98.7767</x:v>
      </x:c>
      <x:c r="CB70" s="1" t="n">
        <x:v>78.35</x:v>
      </x:c>
      <x:c r="CC70" s="1" t="n">
        <x:v>139.39</x:v>
      </x:c>
      <x:c r="CD70" s="1" t="n">
        <x:v>136.43</x:v>
      </x:c>
      <x:c r="CE70" s="1" t="n">
        <x:v>98.73</x:v>
      </x:c>
      <x:c r="CF70" s="1" t="n">
        <x:v>102.04</x:v>
      </x:c>
      <x:c r="CG70" s="1" t="n">
        <x:v>26.02</x:v>
      </x:c>
      <x:c r="CH70" s="1" t="n">
        <x:v>31.97</x:v>
      </x:c>
      <x:c r="CI70" s="1" t="n">
        <x:v>173.37</x:v>
      </x:c>
      <x:c r="CJ70" s="1" t="n">
        <x:v>190.29</x:v>
      </x:c>
      <x:c r="CK70" s="1" t="n">
        <x:v>177.22</x:v>
      </x:c>
      <x:c r="CL70" s="1" t="n">
        <x:v>233.1</x:v>
      </x:c>
      <x:c r="CM70" s="1" t="n">
        <x:v>123.99</x:v>
      </x:c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 t="n">
        <x:v>101120.53</x:v>
      </x:c>
      <x:c r="CY70" s="1" t="n">
        <x:v>150425.51</x:v>
      </x:c>
      <x:c r="CZ70" s="1" t="n">
        <x:v>87318.22</x:v>
      </x:c>
      <x:c r="DA70" s="1" t="n">
        <x:v>123541.9</x:v>
      </x:c>
      <x:c r="DB70" s="1" t="n">
        <x:v>151195.9</x:v>
      </x:c>
      <x:c r="DC70" s="1" t="n">
        <x:v>122681.55</x:v>
      </x:c>
      <x:c r="DD70" s="1" t="n">
        <x:v>147859.34</x:v>
      </x:c>
      <x:c r="DE70" s="1" t="n">
        <x:v>130492.23</x:v>
      </x:c>
      <x:c r="DF70" s="1" t="n">
        <x:v>98998.62</x:v>
      </x:c>
      <x:c r="DG70" s="1" t="n">
        <x:v>115066.84</x:v>
      </x:c>
      <x:c r="DH70" s="1" t="n">
        <x:v>92622.6</x:v>
      </x:c>
      <x:c r="DI70" s="1" t="n">
        <x:v>78188.8</x:v>
      </x:c>
      <x:c r="DJ70" s="1" t="n">
        <x:v>81732.6</x:v>
      </x:c>
      <x:c r="DK70" s="1" t="n">
        <x:v>90176.71</x:v>
      </x:c>
      <x:c r="DL70" s="1" t="n">
        <x:v>96215.35</x:v>
      </x:c>
      <x:c r="DM70" s="1" t="n">
        <x:v>88720.19</x:v>
      </x:c>
    </x:row>
    <x:row r="71" ht="23" customHeight="1">
      <x:c r="A71" s="1" t="n">
        <x:v>66</x:v>
      </x:c>
      <x:c r="B71" s="1" t="str">
        <x:v>γ-戊内酯</x:v>
      </x:c>
      <x:c r="C71" s="1" t="str">
        <x:v>108-29-2</x:v>
      </x:c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 t="n">
        <x:v>2.24</x:v>
      </x:c>
      <x:c r="CY71" s="1" t="n">
        <x:v>6.93</x:v>
      </x:c>
      <x:c r="CZ71" s="1" t="n">
        <x:v>12.69</x:v>
      </x:c>
      <x:c r="DA71" s="1"/>
      <x:c r="DB71" s="1" t="n">
        <x:v>6.93</x:v>
      </x:c>
      <x:c r="DC71" s="1" t="n">
        <x:v>6.43</x:v>
      </x:c>
      <x:c r="DD71" s="1" t="n">
        <x:v>12.27</x:v>
      </x:c>
      <x:c r="DE71" s="1" t="n">
        <x:v>4.01</x:v>
      </x:c>
      <x:c r="DF71" s="1" t="n">
        <x:v>7.97</x:v>
      </x:c>
      <x:c r="DG71" s="1"/>
      <x:c r="DH71" s="1" t="n">
        <x:v>8.06</x:v>
      </x:c>
      <x:c r="DI71" s="1" t="n">
        <x:v>6.35</x:v>
      </x:c>
      <x:c r="DJ71" s="1" t="n">
        <x:v>6.61</x:v>
      </x:c>
      <x:c r="DK71" s="1"/>
      <x:c r="DL71" s="1" t="n">
        <x:v>6.94</x:v>
      </x:c>
      <x:c r="DM71" s="1"/>
    </x:row>
    <x:row r="72" ht="23" customHeight="1">
      <x:c r="A72" s="1" t="n">
        <x:v>67</x:v>
      </x:c>
      <x:c r="B72" s="1"/>
      <x:c r="C72" s="1" t="str">
        <x:v>108-39-4</x:v>
      </x:c>
      <x:c r="D72" s="1"/>
      <x:c r="E72" s="1"/>
      <x:c r="F72" s="1"/>
      <x:c r="G72" s="1" t="n">
        <x:v>3.12</x:v>
      </x:c>
      <x:c r="H72" s="1" t="n">
        <x:v>138.28</x:v>
      </x:c>
      <x:c r="I72" s="1"/>
      <x:c r="J72" s="1" t="n">
        <x:v>0.13</x:v>
      </x:c>
      <x:c r="K72" s="1" t="n">
        <x:v>0.08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  <x:c r="DE72" s="1"/>
      <x:c r="DF72" s="1"/>
      <x:c r="DG72" s="1"/>
      <x:c r="DH72" s="1"/>
      <x:c r="DI72" s="1"/>
      <x:c r="DJ72" s="1"/>
      <x:c r="DK72" s="1"/>
      <x:c r="DL72" s="1"/>
      <x:c r="DM72" s="1"/>
    </x:row>
    <x:row r="73" ht="23" customHeight="1">
      <x:c r="A73" s="1" t="n">
        <x:v>68</x:v>
      </x:c>
      <x:c r="B73" s="1" t="str">
        <x:v>2,6-二甲基吡嗪</x:v>
      </x:c>
      <x:c r="C73" s="1" t="str">
        <x:v>108-50-9</x:v>
      </x:c>
      <x:c r="D73" s="1" t="n">
        <x:v>791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 t="n">
        <x:v>469.245</x:v>
      </x:c>
      <x:c r="CA73" s="1" t="n">
        <x:v>517.2</x:v>
      </x:c>
      <x:c r="CB73" s="1"/>
      <x:c r="CC73" s="1"/>
      <x:c r="CD73" s="1" t="n">
        <x:v>917.02</x:v>
      </x:c>
      <x:c r="CE73" s="1" t="n">
        <x:v>1416.58</x:v>
      </x:c>
      <x:c r="CF73" s="1" t="n">
        <x:v>866.95</x:v>
      </x:c>
      <x:c r="CG73" s="1" t="n">
        <x:v>1086.32</x:v>
      </x:c>
      <x:c r="CH73" s="1" t="n">
        <x:v>1264.62</x:v>
      </x:c>
      <x:c r="CI73" s="1" t="n">
        <x:v>1819.97</x:v>
      </x:c>
      <x:c r="CJ73" s="1" t="n">
        <x:v>2387.5</x:v>
      </x:c>
      <x:c r="CK73" s="1" t="n">
        <x:v>1291.51</x:v>
      </x:c>
      <x:c r="CL73" s="1" t="n">
        <x:v>1699.63</x:v>
      </x:c>
      <x:c r="CM73" s="1" t="n">
        <x:v>950.4</x:v>
      </x:c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 t="n">
        <x:v>21.68</x:v>
      </x:c>
      <x:c r="CY73" s="1" t="n">
        <x:v>314.53</x:v>
      </x:c>
      <x:c r="CZ73" s="1" t="n">
        <x:v>233.46</x:v>
      </x:c>
      <x:c r="DA73" s="1" t="n">
        <x:v>22.53</x:v>
      </x:c>
      <x:c r="DB73" s="1" t="n">
        <x:v>71.11</x:v>
      </x:c>
      <x:c r="DC73" s="1" t="n">
        <x:v>28.16</x:v>
      </x:c>
      <x:c r="DD73" s="1" t="n">
        <x:v>183.01</x:v>
      </x:c>
      <x:c r="DE73" s="1" t="n">
        <x:v>28.81</x:v>
      </x:c>
      <x:c r="DF73" s="1" t="n">
        <x:v>786.65</x:v>
      </x:c>
      <x:c r="DG73" s="1" t="n">
        <x:v>57.98</x:v>
      </x:c>
      <x:c r="DH73" s="1" t="n">
        <x:v>693.79</x:v>
      </x:c>
      <x:c r="DI73" s="1" t="n">
        <x:v>38.04</x:v>
      </x:c>
      <x:c r="DJ73" s="1" t="n">
        <x:v>883.83</x:v>
      </x:c>
      <x:c r="DK73" s="1" t="n">
        <x:v>52.49</x:v>
      </x:c>
      <x:c r="DL73" s="1" t="n">
        <x:v>233.78</x:v>
      </x:c>
      <x:c r="DM73" s="1" t="n">
        <x:v>68.93</x:v>
      </x:c>
    </x:row>
    <x:row r="74" ht="23" customHeight="1">
      <x:c r="A74" s="1" t="n">
        <x:v>69</x:v>
      </x:c>
      <x:c r="B74" s="1" t="str">
        <x:v>异戊酸乙酯（3-甲基丁酸乙酯）</x:v>
      </x:c>
      <x:c r="C74" s="1" t="str">
        <x:v>108-64-5</x:v>
      </x:c>
      <x:c r="D74" s="1" t="n">
        <x:v>6.89</x:v>
      </x:c>
      <x:c r="E74" s="1" t="n">
        <x:v>2783</x:v>
      </x:c>
      <x:c r="F74" s="1" t="n">
        <x:v>1847</x:v>
      </x:c>
      <x:c r="G74" s="1" t="n">
        <x:v>5.98</x:v>
      </x:c>
      <x:c r="H74" s="1" t="n">
        <x:v>10.69</x:v>
      </x:c>
      <x:c r="I74" s="1" t="n">
        <x:v>3842.22</x:v>
      </x:c>
      <x:c r="J74" s="1" t="n">
        <x:v>23.36</x:v>
      </x:c>
      <x:c r="K74" s="1" t="n">
        <x:v>13.13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 t="n">
        <x:v>780</x:v>
      </x:c>
      <x:c r="AI74" s="1" t="n">
        <x:v>1020</x:v>
      </x:c>
      <x:c r="AJ74" s="1" t="n">
        <x:v>1650</x:v>
      </x:c>
      <x:c r="AK74" s="1"/>
      <x:c r="AL74" s="1"/>
      <x:c r="AM74" s="1"/>
      <x:c r="AN74" s="1"/>
      <x:c r="AO74" s="1"/>
      <x:c r="AP74" s="1"/>
      <x:c r="AQ74" s="1" t="n">
        <x:v>8.72</x:v>
      </x:c>
      <x:c r="AR74" s="1" t="n">
        <x:v>3.13</x:v>
      </x:c>
      <x:c r="AS74" s="1" t="n">
        <x:v>4.1</x:v>
      </x:c>
      <x:c r="AT74" s="1" t="n">
        <x:v>5.73</x:v>
      </x:c>
      <x:c r="AU74" s="1"/>
      <x:c r="AV74" s="1"/>
      <x:c r="AW74" s="1"/>
      <x:c r="AX74" s="1"/>
      <x:c r="AY74" s="1"/>
      <x:c r="AZ74" s="1" t="n">
        <x:v>540</x:v>
      </x:c>
      <x:c r="BA74" s="1" t="n">
        <x:v>553</x:v>
      </x:c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 t="n">
        <x:v>151.1867</x:v>
      </x:c>
      <x:c r="CA74" s="1" t="n">
        <x:v>92.9867</x:v>
      </x:c>
      <x:c r="CB74" s="1" t="n">
        <x:v>9.99</x:v>
      </x:c>
      <x:c r="CC74" s="1" t="n">
        <x:v>6.13</x:v>
      </x:c>
      <x:c r="CD74" s="1" t="n">
        <x:v>7.94</x:v>
      </x:c>
      <x:c r="CE74" s="1" t="n">
        <x:v>3.37</x:v>
      </x:c>
      <x:c r="CF74" s="1" t="n">
        <x:v>1.48</x:v>
      </x:c>
      <x:c r="CG74" s="1" t="n">
        <x:v>2.2</x:v>
      </x:c>
      <x:c r="CH74" s="1" t="n">
        <x:v>1.19</x:v>
      </x:c>
      <x:c r="CI74" s="1" t="n">
        <x:v>3.06</x:v>
      </x:c>
      <x:c r="CJ74" s="1" t="n">
        <x:v>1.66</x:v>
      </x:c>
      <x:c r="CK74" s="1" t="n">
        <x:v>1.72</x:v>
      </x:c>
      <x:c r="CL74" s="1" t="n">
        <x:v>0.83</x:v>
      </x:c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 t="n">
        <x:v>5018.14</x:v>
      </x:c>
      <x:c r="CY74" s="1" t="n">
        <x:v>3096.3</x:v>
      </x:c>
      <x:c r="CZ74" s="1" t="n">
        <x:v>1795.31</x:v>
      </x:c>
      <x:c r="DA74" s="1" t="n">
        <x:v>5998.61</x:v>
      </x:c>
      <x:c r="DB74" s="1" t="n">
        <x:v>913.35</x:v>
      </x:c>
      <x:c r="DC74" s="1" t="n">
        <x:v>1628.04</x:v>
      </x:c>
      <x:c r="DD74" s="1" t="n">
        <x:v>2592.19</x:v>
      </x:c>
      <x:c r="DE74" s="1" t="n">
        <x:v>5839.25</x:v>
      </x:c>
      <x:c r="DF74" s="1" t="n">
        <x:v>6146.97</x:v>
      </x:c>
      <x:c r="DG74" s="1" t="n">
        <x:v>2287.57</x:v>
      </x:c>
      <x:c r="DH74" s="1" t="n">
        <x:v>7749.03</x:v>
      </x:c>
      <x:c r="DI74" s="1" t="n">
        <x:v>2573.61</x:v>
      </x:c>
      <x:c r="DJ74" s="1" t="n">
        <x:v>12022.2</x:v>
      </x:c>
      <x:c r="DK74" s="1" t="n">
        <x:v>2385.52</x:v>
      </x:c>
      <x:c r="DL74" s="1" t="n">
        <x:v>3404.72</x:v>
      </x:c>
      <x:c r="DM74" s="1" t="n">
        <x:v>2156.71</x:v>
      </x:c>
    </x:row>
    <x:row r="75" ht="23" customHeight="1">
      <x:c r="A75" s="1" t="n">
        <x:v>70</x:v>
      </x:c>
      <x:c r="B75" s="1" t="str">
        <x:v>2,6-二甲基-4-庚醇</x:v>
      </x:c>
      <x:c r="C75" s="1" t="str">
        <x:v>108-82-7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 t="n">
        <x:v>5.78</x:v>
      </x:c>
      <x:c r="AR75" s="1" t="n">
        <x:v>20.01</x:v>
      </x:c>
      <x:c r="AS75" s="1" t="n">
        <x:v>13.88</x:v>
      </x:c>
      <x:c r="AT75" s="1" t="n">
        <x:v>15.56</x:v>
      </x:c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  <x:c r="DE75" s="1"/>
      <x:c r="DF75" s="1"/>
      <x:c r="DG75" s="1"/>
      <x:c r="DH75" s="1"/>
      <x:c r="DI75" s="1"/>
      <x:c r="DJ75" s="1"/>
      <x:c r="DK75" s="1"/>
      <x:c r="DL75" s="1"/>
      <x:c r="DM75" s="1"/>
    </x:row>
    <x:row r="76" ht="23" customHeight="1">
      <x:c r="A76" s="1" t="n">
        <x:v>71</x:v>
      </x:c>
      <x:c r="B76" s="1" t="str">
        <x:v>苯酚</x:v>
      </x:c>
      <x:c r="C76" s="1" t="str">
        <x:v>108-95-2</x:v>
      </x:c>
      <x:c r="D76" s="1" t="n">
        <x:v>40000</x:v>
      </x:c>
      <x:c r="E76" s="1"/>
      <x:c r="F76" s="1"/>
      <x:c r="G76" s="1"/>
      <x:c r="H76" s="1" t="n">
        <x:v>0.08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 t="n">
        <x:v>2050</x:v>
      </x:c>
      <x:c r="X76" s="1" t="n">
        <x:v>4730</x:v>
      </x:c>
      <x:c r="Y76" s="1" t="n">
        <x:v>7540</x:v>
      </x:c>
      <x:c r="Z76" s="1" t="n">
        <x:v>11300</x:v>
      </x:c>
      <x:c r="AA76" s="1" t="n">
        <x:v>21000</x:v>
      </x:c>
      <x:c r="AB76" s="1" t="n">
        <x:v>29100</x:v>
      </x:c>
      <x:c r="AC76" s="1" t="n">
        <x:v>33500</x:v>
      </x:c>
      <x:c r="AD76" s="1" t="n">
        <x:v>29600</x:v>
      </x:c>
      <x:c r="AE76" s="1" t="n">
        <x:v>520</x:v>
      </x:c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 t="n">
        <x:v>11.64</x:v>
      </x:c>
      <x:c r="AS76" s="1" t="n">
        <x:v>8.34</x:v>
      </x:c>
      <x:c r="AT76" s="1" t="n">
        <x:v>9.3</x:v>
      </x:c>
      <x:c r="AU76" s="1"/>
      <x:c r="AV76" s="1"/>
      <x:c r="AW76" s="1"/>
      <x:c r="AX76" s="1"/>
      <x:c r="AY76" s="1"/>
      <x:c r="AZ76" s="1"/>
      <x:c r="BA76" s="1" t="n">
        <x:v>34</x:v>
      </x:c>
      <x:c r="BB76" s="1"/>
      <x:c r="BC76" s="1"/>
      <x:c r="BD76" s="1" t="n">
        <x:v>442.21</x:v>
      </x:c>
      <x:c r="BE76" s="1" t="n">
        <x:v>1588.99</x:v>
      </x:c>
      <x:c r="BF76" s="1" t="n">
        <x:v>1178.12</x:v>
      </x:c>
      <x:c r="BG76" s="1" t="n">
        <x:v>351.32</x:v>
      </x:c>
      <x:c r="BH76" s="1"/>
      <x:c r="BI76" s="1" t="n">
        <x:v>383.1</x:v>
      </x:c>
      <x:c r="BJ76" s="1"/>
      <x:c r="BK76" s="1" t="n">
        <x:v>2367.93</x:v>
      </x:c>
      <x:c r="BL76" s="1" t="n">
        <x:v>4447.34</x:v>
      </x:c>
      <x:c r="BM76" s="1" t="n">
        <x:v>3191</x:v>
      </x:c>
      <x:c r="BN76" s="1" t="n">
        <x:v>2834.83</x:v>
      </x:c>
      <x:c r="BO76" s="1" t="n">
        <x:v>5132.43</x:v>
      </x:c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 t="n">
        <x:v>142.005</x:v>
      </x:c>
      <x:c r="CA76" s="1" t="n">
        <x:v>141.52</x:v>
      </x:c>
      <x:c r="CB76" s="1" t="n">
        <x:v>166.85</x:v>
      </x:c>
      <x:c r="CC76" s="1" t="n">
        <x:v>354.19</x:v>
      </x:c>
      <x:c r="CD76" s="1" t="n">
        <x:v>581.75</x:v>
      </x:c>
      <x:c r="CE76" s="1" t="n">
        <x:v>341.53</x:v>
      </x:c>
      <x:c r="CF76" s="1" t="n">
        <x:v>443.97</x:v>
      </x:c>
      <x:c r="CG76" s="1" t="n">
        <x:v>237.02</x:v>
      </x:c>
      <x:c r="CH76" s="1" t="n">
        <x:v>335.81</x:v>
      </x:c>
      <x:c r="CI76" s="1" t="n">
        <x:v>1083.73</x:v>
      </x:c>
      <x:c r="CJ76" s="1" t="n">
        <x:v>2343.33</x:v>
      </x:c>
      <x:c r="CK76" s="1" t="n">
        <x:v>2491.42</x:v>
      </x:c>
      <x:c r="CL76" s="1" t="n">
        <x:v>531.7</x:v>
      </x:c>
      <x:c r="CM76" s="1" t="n">
        <x:v>702.21</x:v>
      </x:c>
      <x:c r="CN76" s="1"/>
      <x:c r="CO76" s="1"/>
      <x:c r="CP76" s="1"/>
      <x:c r="CQ76" s="1"/>
      <x:c r="CR76" s="1" t="n">
        <x:v>244.43</x:v>
      </x:c>
      <x:c r="CS76" s="1" t="n">
        <x:v>155.95</x:v>
      </x:c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  <x:c r="DE76" s="1"/>
      <x:c r="DF76" s="1"/>
      <x:c r="DG76" s="1"/>
      <x:c r="DH76" s="1"/>
      <x:c r="DI76" s="1"/>
      <x:c r="DJ76" s="1"/>
      <x:c r="DK76" s="1"/>
      <x:c r="DL76" s="1"/>
      <x:c r="DM76" s="1"/>
    </x:row>
    <x:row r="77" ht="23" customHeight="1">
      <x:c r="A77" s="1" t="n">
        <x:v>72</x:v>
      </x:c>
      <x:c r="B77" s="1" t="str">
        <x:v>2-甲基吡嗪</x:v>
      </x:c>
      <x:c r="C77" s="1" t="str">
        <x:v>109-08-0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 t="n">
        <x:v>409.77</x:v>
      </x:c>
      <x:c r="CY77" s="1" t="n">
        <x:v>967.9</x:v>
      </x:c>
      <x:c r="CZ77" s="1" t="n">
        <x:v>829.89</x:v>
      </x:c>
      <x:c r="DA77" s="1" t="n">
        <x:v>359.62</x:v>
      </x:c>
      <x:c r="DB77" s="1" t="n">
        <x:v>914.51</x:v>
      </x:c>
      <x:c r="DC77" s="1" t="n">
        <x:v>638.43</x:v>
      </x:c>
      <x:c r="DD77" s="1" t="n">
        <x:v>829.41</x:v>
      </x:c>
      <x:c r="DE77" s="1" t="n">
        <x:v>489.25</x:v>
      </x:c>
      <x:c r="DF77" s="1" t="n">
        <x:v>959.06</x:v>
      </x:c>
      <x:c r="DG77" s="1" t="n">
        <x:v>327.68</x:v>
      </x:c>
      <x:c r="DH77" s="1" t="n">
        <x:v>1067.55</x:v>
      </x:c>
      <x:c r="DI77" s="1" t="n">
        <x:v>518.56</x:v>
      </x:c>
      <x:c r="DJ77" s="1" t="n">
        <x:v>1020.46</x:v>
      </x:c>
      <x:c r="DK77" s="1" t="n">
        <x:v>470.34</x:v>
      </x:c>
      <x:c r="DL77" s="1" t="n">
        <x:v>1026.57</x:v>
      </x:c>
      <x:c r="DM77" s="1" t="n">
        <x:v>584.2</x:v>
      </x:c>
    </x:row>
    <x:row r="78" ht="23" customHeight="1">
      <x:c r="A78" s="1" t="n">
        <x:v>73</x:v>
      </x:c>
      <x:c r="B78" s="1"/>
      <x:c r="C78" s="1" t="str">
        <x:v>109-20-6</x:v>
      </x:c>
      <x:c r="D78" s="1"/>
      <x:c r="E78" s="1"/>
      <x:c r="F78" s="1"/>
      <x:c r="G78" s="1"/>
      <x:c r="H78" s="1"/>
      <x:c r="I78" s="1"/>
      <x:c r="J78" s="1"/>
      <x:c r="K78" s="1" t="n">
        <x:v>0.08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  <x:c r="DE78" s="1"/>
      <x:c r="DF78" s="1"/>
      <x:c r="DG78" s="1"/>
      <x:c r="DH78" s="1"/>
      <x:c r="DI78" s="1"/>
      <x:c r="DJ78" s="1"/>
      <x:c r="DK78" s="1"/>
      <x:c r="DL78" s="1"/>
      <x:c r="DM78" s="1"/>
    </x:row>
    <x:row r="79" ht="23" customHeight="1">
      <x:c r="A79" s="1" t="n">
        <x:v>74</x:v>
      </x:c>
      <x:c r="B79" s="1" t="str">
        <x:v>丁酸丁酯</x:v>
      </x:c>
      <x:c r="C79" s="1" t="str">
        <x:v>109-21-7</x:v>
      </x:c>
      <x:c r="D79" s="1" t="n">
        <x:v>1385.19</x:v>
      </x:c>
      <x:c r="E79" s="1"/>
      <x:c r="F79" s="1"/>
      <x:c r="G79" s="1" t="n">
        <x:v>3.79</x:v>
      </x:c>
      <x:c r="H79" s="1" t="n">
        <x:v>9.03</x:v>
      </x:c>
      <x:c r="I79" s="1" t="n">
        <x:v>2.35</x:v>
      </x:c>
      <x:c r="J79" s="1" t="n">
        <x:v>7.09</x:v>
      </x:c>
      <x:c r="K79" s="1" t="n">
        <x:v>0.95</x:v>
      </x:c>
      <x:c r="L79" s="1"/>
      <x:c r="M79" s="1"/>
      <x:c r="N79" s="1"/>
      <x:c r="O79" s="1"/>
      <x:c r="P79" s="1"/>
      <x:c r="Q79" s="1"/>
      <x:c r="R79" s="1"/>
      <x:c r="S79" s="1"/>
      <x:c r="T79" s="1" t="n">
        <x:v>0</x:v>
      </x:c>
      <x:c r="U79" s="1" t="n">
        <x:v>0</x:v>
      </x:c>
      <x:c r="V79" s="1"/>
      <x:c r="W79" s="1"/>
      <x:c r="X79" s="1"/>
      <x:c r="Y79" s="1"/>
      <x:c r="Z79" s="1"/>
      <x:c r="AA79" s="1"/>
      <x:c r="AB79" s="1"/>
      <x:c r="AC79" s="1"/>
      <x:c r="AD79" s="1"/>
      <x:c r="AE79" s="1" t="n">
        <x:v>23950</x:v>
      </x:c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 t="n">
        <x:v>340</x:v>
      </x:c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  <x:c r="DE79" s="1"/>
      <x:c r="DF79" s="1"/>
      <x:c r="DG79" s="1"/>
      <x:c r="DH79" s="1"/>
      <x:c r="DI79" s="1"/>
      <x:c r="DJ79" s="1"/>
      <x:c r="DK79" s="1"/>
      <x:c r="DL79" s="1"/>
      <x:c r="DM79" s="1"/>
    </x:row>
    <x:row r="80" ht="23" customHeight="1">
      <x:c r="A80" s="1" t="n">
        <x:v>75</x:v>
      </x:c>
      <x:c r="B80" s="1" t="str">
        <x:v>戊酸</x:v>
      </x:c>
      <x:c r="C80" s="1" t="str">
        <x:v>109-52-4</x:v>
      </x:c>
      <x:c r="D80" s="1" t="n">
        <x:v>389</x:v>
      </x:c>
      <x:c r="E80" s="1" t="n">
        <x:v>13732</x:v>
      </x:c>
      <x:c r="F80" s="1" t="n">
        <x:v>56841</x:v>
      </x:c>
      <x:c r="G80" s="1" t="n">
        <x:v>7.6</x:v>
      </x:c>
      <x:c r="H80" s="1" t="n">
        <x:v>124.88</x:v>
      </x:c>
      <x:c r="I80" s="1" t="n">
        <x:v>3</x:v>
      </x:c>
      <x:c r="J80" s="1" t="n">
        <x:v>8.1</x:v>
      </x:c>
      <x:c r="K80" s="1" t="n">
        <x:v>2.12</x:v>
      </x:c>
      <x:c r="L80" s="1" t="n">
        <x:v>49388</x:v>
      </x:c>
      <x:c r="M80" s="1" t="n">
        <x:v>57055</x:v>
      </x:c>
      <x:c r="N80" s="1" t="n">
        <x:v>1858</x:v>
      </x:c>
      <x:c r="O80" s="1" t="n">
        <x:v>2419</x:v>
      </x:c>
      <x:c r="P80" s="1" t="n">
        <x:v>2566</x:v>
      </x:c>
      <x:c r="Q80" s="1" t="n">
        <x:v>2831</x:v>
      </x:c>
      <x:c r="R80" s="1" t="n">
        <x:v>2417</x:v>
      </x:c>
      <x:c r="S80" s="1" t="n">
        <x:v>2380</x:v>
      </x:c>
      <x:c r="T80" s="1" t="n">
        <x:v>20</x:v>
      </x:c>
      <x:c r="U80" s="1" t="n">
        <x:v>36</x:v>
      </x:c>
      <x:c r="V80" s="1" t="n">
        <x:v>1.75</x:v>
      </x:c>
      <x:c r="W80" s="1" t="n">
        <x:v>2010</x:v>
      </x:c>
      <x:c r="X80" s="1" t="n">
        <x:v>1900</x:v>
      </x:c>
      <x:c r="Y80" s="1" t="n">
        <x:v>3380</x:v>
      </x:c>
      <x:c r="Z80" s="1" t="n">
        <x:v>5520</x:v>
      </x:c>
      <x:c r="AA80" s="1" t="n">
        <x:v>6730</x:v>
      </x:c>
      <x:c r="AB80" s="1" t="n">
        <x:v>13000</x:v>
      </x:c>
      <x:c r="AC80" s="1" t="n">
        <x:v>16500</x:v>
      </x:c>
      <x:c r="AD80" s="1" t="n">
        <x:v>18800</x:v>
      </x:c>
      <x:c r="AE80" s="1" t="n">
        <x:v>10670</x:v>
      </x:c>
      <x:c r="AF80" s="1" t="n">
        <x:v>8170</x:v>
      </x:c>
      <x:c r="AG80" s="1" t="n">
        <x:v>8420</x:v>
      </x:c>
      <x:c r="AH80" s="1"/>
      <x:c r="AI80" s="1"/>
      <x:c r="AJ80" s="1"/>
      <x:c r="AK80" s="1" t="n">
        <x:v>9160</x:v>
      </x:c>
      <x:c r="AL80" s="1" t="n">
        <x:v>12810</x:v>
      </x:c>
      <x:c r="AM80" s="1"/>
      <x:c r="AN80" s="1"/>
      <x:c r="AO80" s="1"/>
      <x:c r="AP80" s="1"/>
      <x:c r="AQ80" s="1" t="n">
        <x:v>22.91</x:v>
      </x:c>
      <x:c r="AR80" s="1" t="n">
        <x:v>22.01</x:v>
      </x:c>
      <x:c r="AS80" s="1" t="n">
        <x:v>28.25</x:v>
      </x:c>
      <x:c r="AT80" s="1" t="n">
        <x:v>30.54</x:v>
      </x:c>
      <x:c r="AU80" s="1" t="n">
        <x:v>301.76</x:v>
      </x:c>
      <x:c r="AV80" s="1" t="n">
        <x:v>4662</x:v>
      </x:c>
      <x:c r="AW80" s="1" t="n">
        <x:v>24</x:v>
      </x:c>
      <x:c r="AX80" s="1" t="n">
        <x:v>9073.5</x:v>
      </x:c>
      <x:c r="AY80" s="1" t="n">
        <x:v>0</x:v>
      </x:c>
      <x:c r="AZ80" s="1" t="n">
        <x:v>305</x:v>
      </x:c>
      <x:c r="BA80" s="1" t="n">
        <x:v>408</x:v>
      </x:c>
      <x:c r="BB80" s="1"/>
      <x:c r="BC80" s="1"/>
      <x:c r="BD80" s="1" t="n">
        <x:v>20.52</x:v>
      </x:c>
      <x:c r="BE80" s="1" t="n">
        <x:v>31.29</x:v>
      </x:c>
      <x:c r="BF80" s="1" t="n">
        <x:v>26.75</x:v>
      </x:c>
      <x:c r="BG80" s="1" t="n">
        <x:v>18.65</x:v>
      </x:c>
      <x:c r="BH80" s="1"/>
      <x:c r="BI80" s="1" t="n">
        <x:v>19.67</x:v>
      </x:c>
      <x:c r="BJ80" s="1"/>
      <x:c r="BK80" s="1" t="n">
        <x:v>30.82</x:v>
      </x:c>
      <x:c r="BL80" s="1" t="n">
        <x:v>25.52</x:v>
      </x:c>
      <x:c r="BM80" s="1" t="n">
        <x:v>29.13</x:v>
      </x:c>
      <x:c r="BN80" s="1" t="n">
        <x:v>18.56</x:v>
      </x:c>
      <x:c r="BO80" s="1" t="n">
        <x:v>27.73</x:v>
      </x:c>
      <x:c r="BP80" s="1"/>
      <x:c r="BQ80" s="1" t="n">
        <x:v>20900</x:v>
      </x:c>
      <x:c r="BR80" s="1" t="n">
        <x:v>62700</x:v>
      </x:c>
      <x:c r="BS80" s="1" t="n">
        <x:v>18600</x:v>
      </x:c>
      <x:c r="BT80" s="1" t="n">
        <x:v>18700</x:v>
      </x:c>
      <x:c r="BU80" s="1" t="n">
        <x:v>43400</x:v>
      </x:c>
      <x:c r="BV80" s="1" t="n">
        <x:v>8600</x:v>
      </x:c>
      <x:c r="BW80" s="1" t="n">
        <x:v>52800</x:v>
      </x:c>
      <x:c r="BX80" s="1" t="n">
        <x:v>28500</x:v>
      </x:c>
      <x:c r="BY80" s="1" t="n">
        <x:v>52700</x:v>
      </x:c>
      <x:c r="BZ80" s="1" t="n">
        <x:v>86.8</x:v>
      </x:c>
      <x:c r="CA80" s="1" t="n">
        <x:v>90.79</x:v>
      </x:c>
      <x:c r="CB80" s="1" t="n">
        <x:v>52.85</x:v>
      </x:c>
      <x:c r="CC80" s="1" t="n">
        <x:v>59.78</x:v>
      </x:c>
      <x:c r="CD80" s="1" t="n">
        <x:v>59.32</x:v>
      </x:c>
      <x:c r="CE80" s="1" t="n">
        <x:v>60.54</x:v>
      </x:c>
      <x:c r="CF80" s="1" t="n">
        <x:v>49.05</x:v>
      </x:c>
      <x:c r="CG80" s="1" t="n">
        <x:v>36.69</x:v>
      </x:c>
      <x:c r="CH80" s="1" t="n">
        <x:v>38.63</x:v>
      </x:c>
      <x:c r="CI80" s="1" t="n">
        <x:v>65.52</x:v>
      </x:c>
      <x:c r="CJ80" s="1" t="n">
        <x:v>68.83</x:v>
      </x:c>
      <x:c r="CK80" s="1" t="n">
        <x:v>67.96</x:v>
      </x:c>
      <x:c r="CL80" s="1" t="n">
        <x:v>77.57</x:v>
      </x:c>
      <x:c r="CM80" s="1" t="n">
        <x:v>50.57</x:v>
      </x:c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 t="n">
        <x:v>33944.38</x:v>
      </x:c>
      <x:c r="CY80" s="1" t="n">
        <x:v>24823.53</x:v>
      </x:c>
      <x:c r="CZ80" s="1" t="n">
        <x:v>23277.24</x:v>
      </x:c>
      <x:c r="DA80" s="1" t="n">
        <x:v>36241.48</x:v>
      </x:c>
      <x:c r="DB80" s="1" t="n">
        <x:v>18576.5</x:v>
      </x:c>
      <x:c r="DC80" s="1" t="n">
        <x:v>39842.94</x:v>
      </x:c>
      <x:c r="DD80" s="1" t="n">
        <x:v>23648.44</x:v>
      </x:c>
      <x:c r="DE80" s="1" t="n">
        <x:v>34922.02</x:v>
      </x:c>
      <x:c r="DF80" s="1" t="n">
        <x:v>26447.1</x:v>
      </x:c>
      <x:c r="DG80" s="1" t="n">
        <x:v>32264.9</x:v>
      </x:c>
      <x:c r="DH80" s="1" t="n">
        <x:v>29425.25</x:v>
      </x:c>
      <x:c r="DI80" s="1" t="n">
        <x:v>33063.25</x:v>
      </x:c>
      <x:c r="DJ80" s="1" t="n">
        <x:v>29405.25</x:v>
      </x:c>
      <x:c r="DK80" s="1" t="n">
        <x:v>28036.23</x:v>
      </x:c>
      <x:c r="DL80" s="1" t="n">
        <x:v>32652.23</x:v>
      </x:c>
      <x:c r="DM80" s="1" t="n">
        <x:v>21290.44</x:v>
      </x:c>
    </x:row>
    <x:row r="81" ht="23" customHeight="1">
      <x:c r="A81" s="1" t="n">
        <x:v>76</x:v>
      </x:c>
      <x:c r="B81" s="1" t="str">
        <x:v>乙酸丙酯</x:v>
      </x:c>
      <x:c r="C81" s="1" t="str">
        <x:v>109-60-4</x:v>
      </x:c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 t="n">
        <x:v>274</x:v>
      </x:c>
      <x:c r="BA81" s="1" t="n">
        <x:v>928</x:v>
      </x:c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  <x:c r="DE81" s="1"/>
      <x:c r="DF81" s="1"/>
      <x:c r="DG81" s="1"/>
      <x:c r="DH81" s="1"/>
      <x:c r="DI81" s="1"/>
      <x:c r="DJ81" s="1"/>
      <x:c r="DK81" s="1"/>
      <x:c r="DL81" s="1"/>
      <x:c r="DM81" s="1"/>
    </x:row>
    <x:row r="82" ht="23" customHeight="1">
      <x:c r="A82" s="1" t="n">
        <x:v>77</x:v>
      </x:c>
      <x:c r="B82" s="1" t="str">
        <x:v>甲酸乙酯</x:v>
      </x:c>
      <x:c r="C82" s="1" t="str">
        <x:v>109-94-4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 t="n">
        <x:v>372</x:v>
      </x:c>
      <x:c r="O82" s="1" t="n">
        <x:v>172</x:v>
      </x:c>
      <x:c r="P82" s="1" t="n">
        <x:v>619</x:v>
      </x:c>
      <x:c r="Q82" s="1" t="n">
        <x:v>471</x:v>
      </x:c>
      <x:c r="R82" s="1" t="n">
        <x:v>507</x:v>
      </x:c>
      <x:c r="S82" s="1" t="n">
        <x:v>209</x:v>
      </x:c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 t="n">
        <x:v>8.49</x:v>
      </x:c>
      <x:c r="AR82" s="1" t="n">
        <x:v>2.76</x:v>
      </x:c>
      <x:c r="AS82" s="1" t="n">
        <x:v>6.57</x:v>
      </x:c>
      <x:c r="AT82" s="1" t="n">
        <x:v>6.1</x:v>
      </x:c>
      <x:c r="AU82" s="1" t="n">
        <x:v>14.56</x:v>
      </x:c>
      <x:c r="AV82" s="1"/>
      <x:c r="AW82" s="1"/>
      <x:c r="AX82" s="1"/>
      <x:c r="AY82" s="1"/>
      <x:c r="AZ82" s="1" t="n">
        <x:v>11</x:v>
      </x:c>
      <x:c r="BA82" s="1" t="n">
        <x:v>39</x:v>
      </x:c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  <x:c r="DE82" s="1"/>
      <x:c r="DF82" s="1"/>
      <x:c r="DG82" s="1"/>
      <x:c r="DH82" s="1"/>
      <x:c r="DI82" s="1"/>
      <x:c r="DJ82" s="1"/>
      <x:c r="DK82" s="1"/>
      <x:c r="DL82" s="1"/>
      <x:c r="DM82" s="1"/>
    </x:row>
    <x:row r="83" ht="23" customHeight="1">
      <x:c r="A83" s="1" t="n">
        <x:v>78</x:v>
      </x:c>
      <x:c r="B83" s="1" t="str">
        <x:v>乙酸异丁酯</x:v>
      </x:c>
      <x:c r="C83" s="1" t="str">
        <x:v>110-19-0</x:v>
      </x:c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 t="n">
        <x:v>55190</x:v>
      </x:c>
      <x:c r="AL83" s="1" t="n">
        <x:v>78360</x:v>
      </x:c>
      <x:c r="AM83" s="1"/>
      <x:c r="AN83" s="1"/>
      <x:c r="AO83" s="1"/>
      <x:c r="AP83" s="1"/>
      <x:c r="AQ83" s="1" t="n">
        <x:v>6.29</x:v>
      </x:c>
      <x:c r="AR83" s="1"/>
      <x:c r="AS83" s="1"/>
      <x:c r="AT83" s="1"/>
      <x:c r="AU83" s="1"/>
      <x:c r="AV83" s="1"/>
      <x:c r="AW83" s="1"/>
      <x:c r="AX83" s="1"/>
      <x:c r="AY83" s="1"/>
      <x:c r="AZ83" s="1" t="n">
        <x:v>288</x:v>
      </x:c>
      <x:c r="BA83" s="1" t="n">
        <x:v>571</x:v>
      </x:c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 t="n">
        <x:v>284.4</x:v>
      </x:c>
      <x:c r="CY83" s="1" t="n">
        <x:v>2072.89</x:v>
      </x:c>
      <x:c r="CZ83" s="1" t="n">
        <x:v>1038.24</x:v>
      </x:c>
      <x:c r="DA83" s="1" t="n">
        <x:v>187.15</x:v>
      </x:c>
      <x:c r="DB83" s="1" t="n">
        <x:v>1889.57</x:v>
      </x:c>
      <x:c r="DC83" s="1" t="n">
        <x:v>250.5</x:v>
      </x:c>
      <x:c r="DD83" s="1" t="n">
        <x:v>1384.94</x:v>
      </x:c>
      <x:c r="DE83" s="1" t="n">
        <x:v>392.77</x:v>
      </x:c>
      <x:c r="DF83" s="1" t="n">
        <x:v>5019.1</x:v>
      </x:c>
      <x:c r="DG83" s="1" t="n">
        <x:v>857.63</x:v>
      </x:c>
      <x:c r="DH83" s="1" t="n">
        <x:v>1919.28</x:v>
      </x:c>
      <x:c r="DI83" s="1" t="n">
        <x:v>740.81</x:v>
      </x:c>
      <x:c r="DJ83" s="1" t="n">
        <x:v>3067.62</x:v>
      </x:c>
      <x:c r="DK83" s="1" t="n">
        <x:v>540.96</x:v>
      </x:c>
      <x:c r="DL83" s="1" t="n">
        <x:v>993.95</x:v>
      </x:c>
      <x:c r="DM83" s="1" t="n">
        <x:v>759.29</x:v>
      </x:c>
    </x:row>
    <x:row r="84" ht="23" customHeight="1">
      <x:c r="A84" s="1" t="n">
        <x:v>79</x:v>
      </x:c>
      <x:c r="B84" s="1" t="str">
        <x:v>癸酸乙酯</x:v>
      </x:c>
      <x:c r="C84" s="1" t="str">
        <x:v>110-38-3</x:v>
      </x:c>
      <x:c r="D84" s="1" t="n">
        <x:v>1120</x:v>
      </x:c>
      <x:c r="E84" s="1" t="n">
        <x:v>13</x:v>
      </x:c>
      <x:c r="F84" s="1" t="n">
        <x:v>839</x:v>
      </x:c>
      <x:c r="G84" s="1" t="n">
        <x:v>10.44</x:v>
      </x:c>
      <x:c r="H84" s="1" t="n">
        <x:v>14.36</x:v>
      </x:c>
      <x:c r="I84" s="1" t="n">
        <x:v>9.38</x:v>
      </x:c>
      <x:c r="J84" s="1" t="n">
        <x:v>19.31</x:v>
      </x:c>
      <x:c r="K84" s="1" t="n">
        <x:v>7.47</x:v>
      </x:c>
      <x:c r="L84" s="1"/>
      <x:c r="M84" s="1"/>
      <x:c r="N84" s="1" t="n">
        <x:v>56115</x:v>
      </x:c>
      <x:c r="O84" s="1" t="n">
        <x:v>47867</x:v>
      </x:c>
      <x:c r="P84" s="1" t="n">
        <x:v>44538</x:v>
      </x:c>
      <x:c r="Q84" s="1" t="n">
        <x:v>33791</x:v>
      </x:c>
      <x:c r="R84" s="1" t="n">
        <x:v>42831</x:v>
      </x:c>
      <x:c r="S84" s="1" t="n">
        <x:v>45291</x:v>
      </x:c>
      <x:c r="T84" s="1" t="n">
        <x:v>6</x:v>
      </x:c>
      <x:c r="U84" s="1" t="n">
        <x:v>0</x:v>
      </x:c>
      <x:c r="V84" s="1"/>
      <x:c r="W84" s="1" t="n">
        <x:v>22</x:v>
      </x:c>
      <x:c r="X84" s="1" t="n">
        <x:v>720</x:v>
      </x:c>
      <x:c r="Y84" s="1" t="n">
        <x:v>1200</x:v>
      </x:c>
      <x:c r="Z84" s="1" t="n">
        <x:v>1400</x:v>
      </x:c>
      <x:c r="AA84" s="1" t="n">
        <x:v>629</x:v>
      </x:c>
      <x:c r="AB84" s="1"/>
      <x:c r="AC84" s="1"/>
      <x:c r="AD84" s="1"/>
      <x:c r="AE84" s="1"/>
      <x:c r="AF84" s="1"/>
      <x:c r="AG84" s="1"/>
      <x:c r="AH84" s="1" t="n">
        <x:v>170</x:v>
      </x:c>
      <x:c r="AI84" s="1" t="n">
        <x:v>120</x:v>
      </x:c>
      <x:c r="AJ84" s="1" t="n">
        <x:v>200</x:v>
      </x:c>
      <x:c r="AK84" s="1" t="n">
        <x:v>3550</x:v>
      </x:c>
      <x:c r="AL84" s="1" t="n">
        <x:v>1830</x:v>
      </x:c>
      <x:c r="AM84" s="1" t="n">
        <x:v>10270</x:v>
      </x:c>
      <x:c r="AN84" s="1" t="n">
        <x:v>1770</x:v>
      </x:c>
      <x:c r="AO84" s="1" t="n">
        <x:v>2270</x:v>
      </x:c>
      <x:c r="AP84" s="1" t="n">
        <x:v>8410</x:v>
      </x:c>
      <x:c r="AQ84" s="1" t="n">
        <x:v>3.58</x:v>
      </x:c>
      <x:c r="AR84" s="1" t="n">
        <x:v>2.54</x:v>
      </x:c>
      <x:c r="AS84" s="1" t="n">
        <x:v>1.83</x:v>
      </x:c>
      <x:c r="AT84" s="1" t="n">
        <x:v>1.75</x:v>
      </x:c>
      <x:c r="AU84" s="1" t="n">
        <x:v>6.7</x:v>
      </x:c>
      <x:c r="AV84" s="1"/>
      <x:c r="AW84" s="1"/>
      <x:c r="AX84" s="1"/>
      <x:c r="AY84" s="1"/>
      <x:c r="AZ84" s="1"/>
      <x:c r="BA84" s="1"/>
      <x:c r="BB84" s="1" t="n">
        <x:v>1213.98</x:v>
      </x:c>
      <x:c r="BC84" s="1" t="n">
        <x:v>2</x:v>
      </x:c>
      <x:c r="BD84" s="1" t="n">
        <x:v>528.34</x:v>
      </x:c>
      <x:c r="BE84" s="1" t="n">
        <x:v>846.46</x:v>
      </x:c>
      <x:c r="BF84" s="1" t="n">
        <x:v>737.565</x:v>
      </x:c>
      <x:c r="BG84" s="1" t="n">
        <x:v>329.62</x:v>
      </x:c>
      <x:c r="BH84" s="1" t="n">
        <x:v>3587</x:v>
      </x:c>
      <x:c r="BI84" s="1" t="n">
        <x:v>288.21</x:v>
      </x:c>
      <x:c r="BJ84" s="1" t="n">
        <x:v>950.81</x:v>
      </x:c>
      <x:c r="BK84" s="1" t="n">
        <x:v>3197</x:v>
      </x:c>
      <x:c r="BL84" s="1" t="n">
        <x:v>3174</x:v>
      </x:c>
      <x:c r="BM84" s="1" t="n">
        <x:v>3584</x:v>
      </x:c>
      <x:c r="BN84" s="1" t="n">
        <x:v>2487</x:v>
      </x:c>
      <x:c r="BO84" s="1" t="n">
        <x:v>4750.12</x:v>
      </x:c>
      <x:c r="BP84" s="1" t="n">
        <x:v>1258</x:v>
      </x:c>
      <x:c r="BQ84" s="1"/>
      <x:c r="BR84" s="1"/>
      <x:c r="BS84" s="1"/>
      <x:c r="BT84" s="1"/>
      <x:c r="BU84" s="1"/>
      <x:c r="BV84" s="1"/>
      <x:c r="BW84" s="1"/>
      <x:c r="BX84" s="1"/>
      <x:c r="BY84" s="1"/>
      <x:c r="BZ84" s="1" t="n">
        <x:v>1288.255</x:v>
      </x:c>
      <x:c r="CA84" s="1" t="n">
        <x:v>1209.15</x:v>
      </x:c>
      <x:c r="CB84" s="1" t="n">
        <x:v>1742.03</x:v>
      </x:c>
      <x:c r="CC84" s="1" t="n">
        <x:v>2045.9</x:v>
      </x:c>
      <x:c r="CD84" s="1" t="n">
        <x:v>3220.45</x:v>
      </x:c>
      <x:c r="CE84" s="1" t="n">
        <x:v>1767.93</x:v>
      </x:c>
      <x:c r="CF84" s="1" t="n">
        <x:v>2451.99</x:v>
      </x:c>
      <x:c r="CG84" s="1" t="n">
        <x:v>1056.35</x:v>
      </x:c>
      <x:c r="CH84" s="1" t="n">
        <x:v>826.02</x:v>
      </x:c>
      <x:c r="CI84" s="1" t="n">
        <x:v>4272.18</x:v>
      </x:c>
      <x:c r="CJ84" s="1" t="n">
        <x:v>2800.07</x:v>
      </x:c>
      <x:c r="CK84" s="1" t="n">
        <x:v>4040.5</x:v>
      </x:c>
      <x:c r="CL84" s="1" t="n">
        <x:v>2607.96</x:v>
      </x:c>
      <x:c r="CM84" s="1" t="n">
        <x:v>2508.26</x:v>
      </x:c>
      <x:c r="CN84" s="1" t="n">
        <x:v>1685</x:v>
      </x:c>
      <x:c r="CO84" s="1" t="n">
        <x:v>1640</x:v>
      </x:c>
      <x:c r="CP84" s="1" t="n">
        <x:v>1043</x:v>
      </x:c>
      <x:c r="CQ84" s="1" t="n">
        <x:v>1472</x:v>
      </x:c>
      <x:c r="CR84" s="1" t="n">
        <x:v>995.32</x:v>
      </x:c>
      <x:c r="CS84" s="1" t="n">
        <x:v>3556.22</x:v>
      </x:c>
      <x:c r="CT84" s="1" t="n">
        <x:v>274.32</x:v>
      </x:c>
      <x:c r="CU84" s="1" t="n">
        <x:v>205.21</x:v>
      </x:c>
      <x:c r="CV84" s="1" t="n">
        <x:v>310.46</x:v>
      </x:c>
      <x:c r="CW84" s="1" t="n">
        <x:v>238.29</x:v>
      </x:c>
      <x:c r="CX84" s="1" t="n">
        <x:v>1470.77</x:v>
      </x:c>
      <x:c r="CY84" s="1" t="n">
        <x:v>1083.74</x:v>
      </x:c>
      <x:c r="CZ84" s="1" t="n">
        <x:v>678.28</x:v>
      </x:c>
      <x:c r="DA84" s="1" t="n">
        <x:v>3069.57</x:v>
      </x:c>
      <x:c r="DB84" s="1" t="n">
        <x:v>591.57</x:v>
      </x:c>
      <x:c r="DC84" s="1" t="n">
        <x:v>5121.45</x:v>
      </x:c>
      <x:c r="DD84" s="1" t="n">
        <x:v>6788.87</x:v>
      </x:c>
      <x:c r="DE84" s="1" t="n">
        <x:v>4219.75</x:v>
      </x:c>
      <x:c r="DF84" s="1" t="n">
        <x:v>3601.52</x:v>
      </x:c>
      <x:c r="DG84" s="1" t="n">
        <x:v>6257.95</x:v>
      </x:c>
      <x:c r="DH84" s="1" t="n">
        <x:v>2035.68</x:v>
      </x:c>
      <x:c r="DI84" s="1" t="n">
        <x:v>1142.51</x:v>
      </x:c>
      <x:c r="DJ84" s="1" t="n">
        <x:v>1852.44</x:v>
      </x:c>
      <x:c r="DK84" s="1" t="n">
        <x:v>3326.87</x:v>
      </x:c>
      <x:c r="DL84" s="1" t="n">
        <x:v>2105.87</x:v>
      </x:c>
      <x:c r="DM84" s="1" t="n">
        <x:v>906.75</x:v>
      </x:c>
    </x:row>
    <x:row r="85" ht="23" customHeight="1">
      <x:c r="A85" s="1" t="n">
        <x:v>80</x:v>
      </x:c>
      <x:c r="B85" s="1"/>
      <x:c r="C85" s="1" t="str">
        <x:v>110-39-4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 t="n">
        <x:v>373</x:v>
      </x:c>
      <x:c r="O85" s="1" t="n">
        <x:v>458</x:v>
      </x:c>
      <x:c r="P85" s="1" t="n">
        <x:v>457</x:v>
      </x:c>
      <x:c r="Q85" s="1" t="n">
        <x:v>357</x:v>
      </x:c>
      <x:c r="R85" s="1" t="n">
        <x:v>373</x:v>
      </x:c>
      <x:c r="S85" s="1" t="n">
        <x:v>367</x:v>
      </x:c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  <x:c r="DE85" s="1"/>
      <x:c r="DF85" s="1"/>
      <x:c r="DG85" s="1"/>
      <x:c r="DH85" s="1"/>
      <x:c r="DI85" s="1"/>
      <x:c r="DJ85" s="1"/>
      <x:c r="DK85" s="1"/>
      <x:c r="DL85" s="1"/>
      <x:c r="DM85" s="1"/>
    </x:row>
    <x:row r="86" ht="23" customHeight="1">
      <x:c r="A86" s="1" t="n">
        <x:v>81</x:v>
      </x:c>
      <x:c r="B86" s="1" t="str">
        <x:v>2-庚酮</x:v>
      </x:c>
      <x:c r="C86" s="1" t="str">
        <x:v>110-43-0</x:v>
      </x:c>
      <x:c r="D86" s="1"/>
      <x:c r="E86" s="1"/>
      <x:c r="F86" s="1"/>
      <x:c r="G86" s="1"/>
      <x:c r="H86" s="1"/>
      <x:c r="I86" s="1" t="n">
        <x:v>0.5</x:v>
      </x:c>
      <x:c r="J86" s="1"/>
      <x:c r="K86" s="1" t="n">
        <x:v>0.13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 t="n">
        <x:v>386</x:v>
      </x:c>
      <x:c r="BA86" s="1" t="n">
        <x:v>577</x:v>
      </x:c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  <x:c r="DE86" s="1"/>
      <x:c r="DF86" s="1"/>
      <x:c r="DG86" s="1"/>
      <x:c r="DH86" s="1"/>
      <x:c r="DI86" s="1"/>
      <x:c r="DJ86" s="1"/>
      <x:c r="DK86" s="1"/>
      <x:c r="DL86" s="1"/>
      <x:c r="DM86" s="1"/>
    </x:row>
    <x:row r="87" ht="23" customHeight="1">
      <x:c r="A87" s="1" t="n">
        <x:v>82</x:v>
      </x:c>
      <x:c r="B87" s="1" t="str">
        <x:v>戊醛</x:v>
      </x:c>
      <x:c r="C87" s="1" t="str">
        <x:v>110-62-3</x:v>
      </x:c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 t="n">
        <x:v>1.46</x:v>
      </x:c>
      <x:c r="CY87" s="1" t="n">
        <x:v>44.24</x:v>
      </x:c>
      <x:c r="CZ87" s="1" t="n">
        <x:v>40.88</x:v>
      </x:c>
      <x:c r="DA87" s="1"/>
      <x:c r="DB87" s="1" t="n">
        <x:v>81.62</x:v>
      </x:c>
      <x:c r="DC87" s="1"/>
      <x:c r="DD87" s="1" t="n">
        <x:v>42.58</x:v>
      </x:c>
      <x:c r="DE87" s="1" t="n">
        <x:v>5.65</x:v>
      </x:c>
      <x:c r="DF87" s="1" t="n">
        <x:v>439.61</x:v>
      </x:c>
      <x:c r="DG87" s="1" t="n">
        <x:v>7.96</x:v>
      </x:c>
      <x:c r="DH87" s="1" t="n">
        <x:v>256.97</x:v>
      </x:c>
      <x:c r="DI87" s="1" t="n">
        <x:v>13.06</x:v>
      </x:c>
      <x:c r="DJ87" s="1" t="n">
        <x:v>504.91</x:v>
      </x:c>
      <x:c r="DK87" s="1" t="n">
        <x:v>7.58</x:v>
      </x:c>
      <x:c r="DL87" s="1" t="n">
        <x:v>261.78</x:v>
      </x:c>
      <x:c r="DM87" s="1" t="n">
        <x:v>12.01</x:v>
      </x:c>
    </x:row>
    <x:row r="88" ht="23" customHeight="1">
      <x:c r="A88" s="1" t="n">
        <x:v>83</x:v>
      </x:c>
      <x:c r="B88" s="1" t="str">
        <x:v>2-辛酮</x:v>
      </x:c>
      <x:c r="C88" s="1" t="str">
        <x:v>111-13-7</x:v>
      </x:c>
      <x:c r="D88" s="1" t="n">
        <x:v>250</x:v>
      </x:c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 t="n">
        <x:v>303.95</x:v>
      </x:c>
      <x:c r="CA88" s="1" t="n">
        <x:v>297.55</x:v>
      </x:c>
      <x:c r="CB88" s="1" t="n">
        <x:v>649.61</x:v>
      </x:c>
      <x:c r="CC88" s="1" t="n">
        <x:v>680.09</x:v>
      </x:c>
      <x:c r="CD88" s="1" t="n">
        <x:v>680.87</x:v>
      </x:c>
      <x:c r="CE88" s="1" t="n">
        <x:v>725.89</x:v>
      </x:c>
      <x:c r="CF88" s="1" t="n">
        <x:v>708.29</x:v>
      </x:c>
      <x:c r="CG88" s="1" t="n">
        <x:v>621.7</x:v>
      </x:c>
      <x:c r="CH88" s="1" t="n">
        <x:v>572.09</x:v>
      </x:c>
      <x:c r="CI88" s="1" t="n">
        <x:v>758.45</x:v>
      </x:c>
      <x:c r="CJ88" s="1" t="n">
        <x:v>696.25</x:v>
      </x:c>
      <x:c r="CK88" s="1" t="n">
        <x:v>656.44</x:v>
      </x:c>
      <x:c r="CL88" s="1" t="n">
        <x:v>678.33</x:v>
      </x:c>
      <x:c r="CM88" s="1"/>
      <x:c r="CN88" s="1"/>
      <x:c r="CO88" s="1"/>
      <x:c r="CP88" s="1"/>
      <x:c r="CQ88" s="1"/>
      <x:c r="CR88" s="1" t="n">
        <x:v>571.95</x:v>
      </x:c>
      <x:c r="CS88" s="1" t="n">
        <x:v>1017.03</x:v>
      </x:c>
      <x:c r="CT88" s="1"/>
      <x:c r="CU88" s="1"/>
      <x:c r="CV88" s="1"/>
      <x:c r="CW88" s="1"/>
      <x:c r="CX88" s="1" t="n">
        <x:v>3.76</x:v>
      </x:c>
      <x:c r="CY88" s="1" t="n">
        <x:v>26.85</x:v>
      </x:c>
      <x:c r="CZ88" s="1" t="n">
        <x:v>15.06</x:v>
      </x:c>
      <x:c r="DA88" s="1" t="n">
        <x:v>4.52</x:v>
      </x:c>
      <x:c r="DB88" s="1"/>
      <x:c r="DC88" s="1"/>
      <x:c r="DD88" s="1" t="n">
        <x:v>58.85</x:v>
      </x:c>
      <x:c r="DE88" s="1" t="n">
        <x:v>5.35</x:v>
      </x:c>
      <x:c r="DF88" s="1" t="n">
        <x:v>12.39</x:v>
      </x:c>
      <x:c r="DG88" s="1"/>
      <x:c r="DH88" s="1" t="n">
        <x:v>27.64</x:v>
      </x:c>
      <x:c r="DI88" s="1"/>
      <x:c r="DJ88" s="1" t="n">
        <x:v>13.79</x:v>
      </x:c>
      <x:c r="DK88" s="1"/>
      <x:c r="DL88" s="1" t="n">
        <x:v>27.72</x:v>
      </x:c>
      <x:c r="DM88" s="1" t="n">
        <x:v>2.25</x:v>
      </x:c>
    </x:row>
    <x:row r="89" ht="23" customHeight="1">
      <x:c r="A89" s="1" t="n">
        <x:v>84</x:v>
      </x:c>
      <x:c r="B89" s="1" t="str">
        <x:v>庚酸</x:v>
      </x:c>
      <x:c r="C89" s="1" t="str">
        <x:v>111-14-8</x:v>
      </x:c>
      <x:c r="D89" s="1"/>
      <x:c r="E89" s="1" t="n">
        <x:v>5382</x:v>
      </x:c>
      <x:c r="F89" s="1" t="n">
        <x:v>23926</x:v>
      </x:c>
      <x:c r="G89" s="1"/>
      <x:c r="H89" s="1" t="n">
        <x:v>53.31</x:v>
      </x:c>
      <x:c r="I89" s="1" t="n">
        <x:v>6.1</x:v>
      </x:c>
      <x:c r="J89" s="1" t="n">
        <x:v>4.67</x:v>
      </x:c>
      <x:c r="K89" s="1" t="n">
        <x:v>3.09</x:v>
      </x:c>
      <x:c r="L89" s="1"/>
      <x:c r="M89" s="1"/>
      <x:c r="N89" s="1"/>
      <x:c r="O89" s="1"/>
      <x:c r="P89" s="1"/>
      <x:c r="Q89" s="1"/>
      <x:c r="R89" s="1"/>
      <x:c r="S89" s="1"/>
      <x:c r="T89" s="1" t="n">
        <x:v>1</x:v>
      </x:c>
      <x:c r="U89" s="1" t="n">
        <x:v>0</x:v>
      </x:c>
      <x:c r="V89" s="1" t="n">
        <x:v>2.25</x:v>
      </x:c>
      <x:c r="W89" s="1"/>
      <x:c r="X89" s="1" t="n">
        <x:v>502</x:v>
      </x:c>
      <x:c r="Y89" s="1" t="n">
        <x:v>327</x:v>
      </x:c>
      <x:c r="Z89" s="1" t="n">
        <x:v>1130</x:v>
      </x:c>
      <x:c r="AA89" s="1" t="n">
        <x:v>2460</x:v>
      </x:c>
      <x:c r="AB89" s="1" t="n">
        <x:v>3040</x:v>
      </x:c>
      <x:c r="AC89" s="1" t="n">
        <x:v>6000</x:v>
      </x:c>
      <x:c r="AD89" s="1" t="n">
        <x:v>5570</x:v>
      </x:c>
      <x:c r="AE89" s="1" t="n">
        <x:v>4010</x:v>
      </x:c>
      <x:c r="AF89" s="1" t="n">
        <x:v>680</x:v>
      </x:c>
      <x:c r="AG89" s="1" t="n">
        <x:v>1115</x:v>
      </x:c>
      <x:c r="AH89" s="1"/>
      <x:c r="AI89" s="1"/>
      <x:c r="AJ89" s="1"/>
      <x:c r="AK89" s="1" t="n">
        <x:v>1340</x:v>
      </x:c>
      <x:c r="AL89" s="1" t="n">
        <x:v>1100</x:v>
      </x:c>
      <x:c r="AM89" s="1"/>
      <x:c r="AN89" s="1"/>
      <x:c r="AO89" s="1"/>
      <x:c r="AP89" s="1"/>
      <x:c r="AQ89" s="1" t="n">
        <x:v>10.63</x:v>
      </x:c>
      <x:c r="AR89" s="1" t="n">
        <x:v>12.82</x:v>
      </x:c>
      <x:c r="AS89" s="1" t="n">
        <x:v>16.09</x:v>
      </x:c>
      <x:c r="AT89" s="1" t="n">
        <x:v>14.09</x:v>
      </x:c>
      <x:c r="AU89" s="1" t="n">
        <x:v>677.87</x:v>
      </x:c>
      <x:c r="AV89" s="1" t="n">
        <x:v>4200.5</x:v>
      </x:c>
      <x:c r="AW89" s="1" t="n">
        <x:v>1</x:v>
      </x:c>
      <x:c r="AX89" s="1" t="n">
        <x:v>8150.5</x:v>
      </x:c>
      <x:c r="AY89" s="1" t="n">
        <x:v>0</x:v>
      </x:c>
      <x:c r="AZ89" s="1"/>
      <x:c r="BA89" s="1" t="n">
        <x:v>496</x:v>
      </x:c>
      <x:c r="BB89" s="1"/>
      <x:c r="BC89" s="1"/>
      <x:c r="BD89" s="1" t="n">
        <x:v>7.17</x:v>
      </x:c>
      <x:c r="BE89" s="1" t="n">
        <x:v>12.96</x:v>
      </x:c>
      <x:c r="BF89" s="1" t="n">
        <x:v>9.13</x:v>
      </x:c>
      <x:c r="BG89" s="1" t="n">
        <x:v>6.61</x:v>
      </x:c>
      <x:c r="BH89" s="1"/>
      <x:c r="BI89" s="1" t="n">
        <x:v>6.64</x:v>
      </x:c>
      <x:c r="BJ89" s="1"/>
      <x:c r="BK89" s="1" t="n">
        <x:v>12.31</x:v>
      </x:c>
      <x:c r="BL89" s="1" t="n">
        <x:v>7.18</x:v>
      </x:c>
      <x:c r="BM89" s="1" t="n">
        <x:v>8.85</x:v>
      </x:c>
      <x:c r="BN89" s="1" t="n">
        <x:v>5.56</x:v>
      </x:c>
      <x:c r="BO89" s="1" t="n">
        <x:v>12.06</x:v>
      </x:c>
      <x:c r="BP89" s="1"/>
      <x:c r="BQ89" s="1" t="n">
        <x:v>8500</x:v>
      </x:c>
      <x:c r="BR89" s="1" t="n">
        <x:v>17400</x:v>
      </x:c>
      <x:c r="BS89" s="1" t="n">
        <x:v>6100</x:v>
      </x:c>
      <x:c r="BT89" s="1" t="n">
        <x:v>6200</x:v>
      </x:c>
      <x:c r="BU89" s="1" t="n">
        <x:v>11600</x:v>
      </x:c>
      <x:c r="BV89" s="1" t="n">
        <x:v>9300</x:v>
      </x:c>
      <x:c r="BW89" s="1" t="n">
        <x:v>15400</x:v>
      </x:c>
      <x:c r="BX89" s="1" t="n">
        <x:v>8000</x:v>
      </x:c>
      <x:c r="BY89" s="1" t="n">
        <x:v>16000</x:v>
      </x:c>
      <x:c r="BZ89" s="1" t="n">
        <x:v>7.49</x:v>
      </x:c>
      <x:c r="CA89" s="1" t="n">
        <x:v>7.57</x:v>
      </x:c>
      <x:c r="CB89" s="1" t="n">
        <x:v>17.73</x:v>
      </x:c>
      <x:c r="CC89" s="1" t="n">
        <x:v>20.38</x:v>
      </x:c>
      <x:c r="CD89" s="1" t="n">
        <x:v>22.37</x:v>
      </x:c>
      <x:c r="CE89" s="1" t="n">
        <x:v>24.71</x:v>
      </x:c>
      <x:c r="CF89" s="1" t="n">
        <x:v>19.96</x:v>
      </x:c>
      <x:c r="CG89" s="1" t="n">
        <x:v>11.03</x:v>
      </x:c>
      <x:c r="CH89" s="1" t="n">
        <x:v>11.55</x:v>
      </x:c>
      <x:c r="CI89" s="1" t="n">
        <x:v>21.92</x:v>
      </x:c>
      <x:c r="CJ89" s="1" t="n">
        <x:v>24.94</x:v>
      </x:c>
      <x:c r="CK89" s="1" t="n">
        <x:v>28.2</x:v>
      </x:c>
      <x:c r="CL89" s="1" t="n">
        <x:v>31.08</x:v>
      </x:c>
      <x:c r="CM89" s="1" t="n">
        <x:v>21.04</x:v>
      </x:c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 t="n">
        <x:v>30151.43</x:v>
      </x:c>
      <x:c r="CY89" s="1" t="n">
        <x:v>9685.02</x:v>
      </x:c>
      <x:c r="CZ89" s="1" t="n">
        <x:v>13095.33</x:v>
      </x:c>
      <x:c r="DA89" s="1" t="n">
        <x:v>27002.27</x:v>
      </x:c>
      <x:c r="DB89" s="1" t="n">
        <x:v>5494.86</x:v>
      </x:c>
      <x:c r="DC89" s="1" t="n">
        <x:v>28082.37</x:v>
      </x:c>
      <x:c r="DD89" s="1" t="n">
        <x:v>13439.12</x:v>
      </x:c>
      <x:c r="DE89" s="1" t="n">
        <x:v>39284.8</x:v>
      </x:c>
      <x:c r="DF89" s="1" t="n">
        <x:v>10627.89</x:v>
      </x:c>
      <x:c r="DG89" s="1" t="n">
        <x:v>22961.16</x:v>
      </x:c>
      <x:c r="DH89" s="1" t="n">
        <x:v>10973.54</x:v>
      </x:c>
      <x:c r="DI89" s="1" t="n">
        <x:v>19656.92</x:v>
      </x:c>
      <x:c r="DJ89" s="1" t="n">
        <x:v>13755.47</x:v>
      </x:c>
      <x:c r="DK89" s="1" t="n">
        <x:v>23047.09</x:v>
      </x:c>
      <x:c r="DL89" s="1" t="n">
        <x:v>13800.35</x:v>
      </x:c>
      <x:c r="DM89" s="1" t="n">
        <x:v>4591.36</x:v>
      </x:c>
    </x:row>
    <x:row r="90" ht="23" customHeight="1">
      <x:c r="A90" s="1" t="n">
        <x:v>85</x:v>
      </x:c>
      <x:c r="B90" s="1" t="str">
        <x:v>1-己醇</x:v>
      </x:c>
      <x:c r="C90" s="1" t="str">
        <x:v>111-27-3</x:v>
      </x:c>
      <x:c r="D90" s="1" t="n">
        <x:v>5370</x:v>
      </x:c>
      <x:c r="E90" s="1" t="n">
        <x:v>30025</x:v>
      </x:c>
      <x:c r="F90" s="1" t="n">
        <x:v>97718</x:v>
      </x:c>
      <x:c r="G90" s="1" t="n">
        <x:v>213.01</x:v>
      </x:c>
      <x:c r="H90" s="1" t="n">
        <x:v>45.58</x:v>
      </x:c>
      <x:c r="I90" s="1" t="n">
        <x:v>37.5</x:v>
      </x:c>
      <x:c r="J90" s="1" t="n">
        <x:v>245.76</x:v>
      </x:c>
      <x:c r="K90" s="1" t="n">
        <x:v>21.15</x:v>
      </x:c>
      <x:c r="L90" s="1" t="n">
        <x:v>20155</x:v>
      </x:c>
      <x:c r="M90" s="1" t="n">
        <x:v>15678</x:v>
      </x:c>
      <x:c r="N90" s="1"/>
      <x:c r="O90" s="1"/>
      <x:c r="P90" s="1"/>
      <x:c r="Q90" s="1"/>
      <x:c r="R90" s="1"/>
      <x:c r="S90" s="1"/>
      <x:c r="T90" s="1" t="n">
        <x:v>0</x:v>
      </x:c>
      <x:c r="U90" s="1" t="n">
        <x:v>5</x:v>
      </x:c>
      <x:c r="V90" s="1"/>
      <x:c r="W90" s="1" t="n">
        <x:v>1159000</x:v>
      </x:c>
      <x:c r="X90" s="1" t="n">
        <x:v>869000</x:v>
      </x:c>
      <x:c r="Y90" s="1" t="n">
        <x:v>1151000</x:v>
      </x:c>
      <x:c r="Z90" s="1" t="n">
        <x:v>1519000</x:v>
      </x:c>
      <x:c r="AA90" s="1" t="n">
        <x:v>1543000</x:v>
      </x:c>
      <x:c r="AB90" s="1" t="n">
        <x:v>1869000</x:v>
      </x:c>
      <x:c r="AC90" s="1" t="n">
        <x:v>1655000</x:v>
      </x:c>
      <x:c r="AD90" s="1" t="n">
        <x:v>1585000</x:v>
      </x:c>
      <x:c r="AE90" s="1" t="n">
        <x:v>208580</x:v>
      </x:c>
      <x:c r="AF90" s="1" t="n">
        <x:v>196640</x:v>
      </x:c>
      <x:c r="AG90" s="1" t="n">
        <x:v>94585</x:v>
      </x:c>
      <x:c r="AH90" s="1" t="n">
        <x:v>3950</x:v>
      </x:c>
      <x:c r="AI90" s="1" t="n">
        <x:v>3900</x:v>
      </x:c>
      <x:c r="AJ90" s="1" t="n">
        <x:v>4950</x:v>
      </x:c>
      <x:c r="AK90" s="1" t="n">
        <x:v>120100</x:v>
      </x:c>
      <x:c r="AL90" s="1" t="n">
        <x:v>185670</x:v>
      </x:c>
      <x:c r="AM90" s="1"/>
      <x:c r="AN90" s="1"/>
      <x:c r="AO90" s="1"/>
      <x:c r="AP90" s="1"/>
      <x:c r="AQ90" s="1" t="n">
        <x:v>213.39</x:v>
      </x:c>
      <x:c r="AR90" s="1" t="n">
        <x:v>191.87</x:v>
      </x:c>
      <x:c r="AS90" s="1" t="n">
        <x:v>154.5</x:v>
      </x:c>
      <x:c r="AT90" s="1" t="n">
        <x:v>129.69</x:v>
      </x:c>
      <x:c r="AU90" s="1" t="n">
        <x:v>8.91</x:v>
      </x:c>
      <x:c r="AV90" s="1" t="n">
        <x:v>0</x:v>
      </x:c>
      <x:c r="AW90" s="1" t="n">
        <x:v>17</x:v>
      </x:c>
      <x:c r="AX90" s="1" t="n">
        <x:v>18803.5</x:v>
      </x:c>
      <x:c r="AY90" s="1" t="n">
        <x:v>0</x:v>
      </x:c>
      <x:c r="AZ90" s="1"/>
      <x:c r="BA90" s="1"/>
      <x:c r="BB90" s="1" t="n">
        <x:v>22.78</x:v>
      </x:c>
      <x:c r="BC90" s="1"/>
      <x:c r="BD90" s="1" t="n">
        <x:v>19.06</x:v>
      </x:c>
      <x:c r="BE90" s="1" t="n">
        <x:v>26.18</x:v>
      </x:c>
      <x:c r="BF90" s="1" t="n">
        <x:v>30.79</x:v>
      </x:c>
      <x:c r="BG90" s="1" t="n">
        <x:v>17.41</x:v>
      </x:c>
      <x:c r="BH90" s="1" t="n">
        <x:v>42.71</x:v>
      </x:c>
      <x:c r="BI90" s="1" t="n">
        <x:v>19.3</x:v>
      </x:c>
      <x:c r="BJ90" s="1" t="n">
        <x:v>23.55</x:v>
      </x:c>
      <x:c r="BK90" s="1" t="n">
        <x:v>44.48</x:v>
      </x:c>
      <x:c r="BL90" s="1" t="n">
        <x:v>74.69</x:v>
      </x:c>
      <x:c r="BM90" s="1" t="n">
        <x:v>79.34</x:v>
      </x:c>
      <x:c r="BN90" s="1" t="n">
        <x:v>62.07</x:v>
      </x:c>
      <x:c r="BO90" s="1" t="n">
        <x:v>102.81</x:v>
      </x:c>
      <x:c r="BP90" s="1" t="n">
        <x:v>39.94</x:v>
      </x:c>
      <x:c r="BQ90" s="1" t="n">
        <x:v>29200</x:v>
      </x:c>
      <x:c r="BR90" s="1" t="n">
        <x:v>198800</x:v>
      </x:c>
      <x:c r="BS90" s="1" t="n">
        <x:v>311200</x:v>
      </x:c>
      <x:c r="BT90" s="1" t="n">
        <x:v>221100</x:v>
      </x:c>
      <x:c r="BU90" s="1" t="n">
        <x:v>220000</x:v>
      </x:c>
      <x:c r="BV90" s="1" t="n">
        <x:v>46000</x:v>
      </x:c>
      <x:c r="BW90" s="1" t="n">
        <x:v>40400</x:v>
      </x:c>
      <x:c r="BX90" s="1" t="n">
        <x:v>57300</x:v>
      </x:c>
      <x:c r="BY90" s="1" t="n">
        <x:v>39300</x:v>
      </x:c>
      <x:c r="BZ90" s="1" t="n">
        <x:v>15.75</x:v>
      </x:c>
      <x:c r="CA90" s="1" t="n">
        <x:v>16.505</x:v>
      </x:c>
      <x:c r="CB90" s="1" t="n">
        <x:v>92.01</x:v>
      </x:c>
      <x:c r="CC90" s="1" t="n">
        <x:v>32.08</x:v>
      </x:c>
      <x:c r="CD90" s="1" t="n">
        <x:v>182.99</x:v>
      </x:c>
      <x:c r="CE90" s="1" t="n">
        <x:v>47.37</x:v>
      </x:c>
      <x:c r="CF90" s="1" t="n">
        <x:v>34.28</x:v>
      </x:c>
      <x:c r="CG90" s="1" t="n">
        <x:v>7.33</x:v>
      </x:c>
      <x:c r="CH90" s="1" t="n">
        <x:v>5.43</x:v>
      </x:c>
      <x:c r="CI90" s="1" t="n">
        <x:v>40.89</x:v>
      </x:c>
      <x:c r="CJ90" s="1" t="n">
        <x:v>233.18</x:v>
      </x:c>
      <x:c r="CK90" s="1" t="n">
        <x:v>63.74</x:v>
      </x:c>
      <x:c r="CL90" s="1" t="n">
        <x:v>36.76</x:v>
      </x:c>
      <x:c r="CM90" s="1" t="n">
        <x:v>60.03</x:v>
      </x:c>
      <x:c r="CN90" s="1"/>
      <x:c r="CO90" s="1"/>
      <x:c r="CP90" s="1"/>
      <x:c r="CQ90" s="1"/>
      <x:c r="CR90" s="1" t="n">
        <x:v>39250.11</x:v>
      </x:c>
      <x:c r="CS90" s="1" t="n">
        <x:v>35960.6</x:v>
      </x:c>
      <x:c r="CT90" s="1" t="n">
        <x:v>1554.5</x:v>
      </x:c>
      <x:c r="CU90" s="1" t="n">
        <x:v>881.09</x:v>
      </x:c>
      <x:c r="CV90" s="1" t="n">
        <x:v>2010.19</x:v>
      </x:c>
      <x:c r="CW90" s="1" t="n">
        <x:v>1306.97</x:v>
      </x:c>
      <x:c r="CX90" s="1" t="n">
        <x:v>50904.61</x:v>
      </x:c>
      <x:c r="CY90" s="1" t="n">
        <x:v>53309.48</x:v>
      </x:c>
      <x:c r="CZ90" s="1" t="n">
        <x:v>51424.04</x:v>
      </x:c>
      <x:c r="DA90" s="1" t="n">
        <x:v>49033.45</x:v>
      </x:c>
      <x:c r="DB90" s="1" t="n">
        <x:v>53351.55</x:v>
      </x:c>
      <x:c r="DC90" s="1" t="n">
        <x:v>44204.19</x:v>
      </x:c>
      <x:c r="DD90" s="1" t="n">
        <x:v>21437.41</x:v>
      </x:c>
      <x:c r="DE90" s="1" t="n">
        <x:v>50815.67</x:v>
      </x:c>
      <x:c r="DF90" s="1" t="n">
        <x:v>95044.82</x:v>
      </x:c>
      <x:c r="DG90" s="1" t="n">
        <x:v>55703.02</x:v>
      </x:c>
      <x:c r="DH90" s="1" t="n">
        <x:v>92342.42</x:v>
      </x:c>
      <x:c r="DI90" s="1" t="n">
        <x:v>52462.56</x:v>
      </x:c>
      <x:c r="DJ90" s="1" t="n">
        <x:v>97036.68</x:v>
      </x:c>
      <x:c r="DK90" s="1" t="n">
        <x:v>52267.16</x:v>
      </x:c>
      <x:c r="DL90" s="1" t="n">
        <x:v>92085.29</x:v>
      </x:c>
      <x:c r="DM90" s="1" t="n">
        <x:v>56041.85</x:v>
      </x:c>
    </x:row>
    <x:row r="91" ht="23" customHeight="1">
      <x:c r="A91" s="1" t="n">
        <x:v>86</x:v>
      </x:c>
      <x:c r="B91" s="1" t="str">
        <x:v>硬脂酸乙酯</x:v>
      </x:c>
      <x:c r="C91" s="1" t="str">
        <x:v>111-61-5</x:v>
      </x:c>
      <x:c r="D91" s="1"/>
      <x:c r="E91" s="1"/>
      <x:c r="F91" s="1"/>
      <x:c r="G91" s="1" t="n">
        <x:v>1.26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 t="n">
        <x:v>0.4</x:v>
      </x:c>
      <x:c r="AJ91" s="1" t="n">
        <x:v>5</x:v>
      </x:c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  <x:c r="DE91" s="1"/>
      <x:c r="DF91" s="1"/>
      <x:c r="DG91" s="1"/>
      <x:c r="DH91" s="1"/>
      <x:c r="DI91" s="1"/>
      <x:c r="DJ91" s="1"/>
      <x:c r="DK91" s="1"/>
      <x:c r="DL91" s="1"/>
      <x:c r="DM91" s="1"/>
    </x:row>
    <x:row r="92" ht="23" customHeight="1">
      <x:c r="A92" s="1" t="n">
        <x:v>87</x:v>
      </x:c>
      <x:c r="B92" s="1" t="str">
        <x:v>油酸乙酯</x:v>
      </x:c>
      <x:c r="C92" s="1" t="str">
        <x:v>111-62-6</x:v>
      </x:c>
      <x:c r="D92" s="1"/>
      <x:c r="E92" s="1"/>
      <x:c r="F92" s="1"/>
      <x:c r="G92" s="1" t="n">
        <x:v>7.22</x:v>
      </x:c>
      <x:c r="H92" s="1" t="n">
        <x:v>26.62</x:v>
      </x:c>
      <x:c r="I92" s="1" t="n">
        <x:v>5.99</x:v>
      </x:c>
      <x:c r="J92" s="1" t="n">
        <x:v>5.52</x:v>
      </x:c>
      <x:c r="K92" s="1" t="n">
        <x:v>1.77</x:v>
      </x:c>
      <x:c r="L92" s="1"/>
      <x:c r="M92" s="1"/>
      <x:c r="N92" s="1" t="n">
        <x:v>28083</x:v>
      </x:c>
      <x:c r="O92" s="1" t="n">
        <x:v>13586</x:v>
      </x:c>
      <x:c r="P92" s="1" t="n">
        <x:v>14314</x:v>
      </x:c>
      <x:c r="Q92" s="1" t="n">
        <x:v>13952</x:v>
      </x:c>
      <x:c r="R92" s="1" t="n">
        <x:v>15010</x:v>
      </x:c>
      <x:c r="S92" s="1" t="n">
        <x:v>14786</x:v>
      </x:c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  <x:c r="DE92" s="1"/>
      <x:c r="DF92" s="1"/>
      <x:c r="DG92" s="1"/>
      <x:c r="DH92" s="1"/>
      <x:c r="DI92" s="1"/>
      <x:c r="DJ92" s="1"/>
      <x:c r="DK92" s="1"/>
      <x:c r="DL92" s="1"/>
      <x:c r="DM92" s="1"/>
    </x:row>
    <x:row r="93" ht="23" customHeight="1">
      <x:c r="A93" s="1" t="n">
        <x:v>88</x:v>
      </x:c>
      <x:c r="B93" s="1" t="str">
        <x:v>庚醇</x:v>
      </x:c>
      <x:c r="C93" s="1" t="str">
        <x:v>111-70-6</x:v>
      </x:c>
      <x:c r="D93" s="1" t="n">
        <x:v>26600</x:v>
      </x:c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 t="n">
        <x:v>6790</x:v>
      </x:c>
      <x:c r="AF93" s="1" t="n">
        <x:v>6810</x:v>
      </x:c>
      <x:c r="AG93" s="1"/>
      <x:c r="AH93" s="1"/>
      <x:c r="AI93" s="1"/>
      <x:c r="AJ93" s="1"/>
      <x:c r="AK93" s="1" t="n">
        <x:v>23210</x:v>
      </x:c>
      <x:c r="AL93" s="1" t="n">
        <x:v>20820</x:v>
      </x:c>
      <x:c r="AM93" s="1"/>
      <x:c r="AN93" s="1"/>
      <x:c r="AO93" s="1"/>
      <x:c r="AP93" s="1"/>
      <x:c r="AQ93" s="1" t="n">
        <x:v>7.06</x:v>
      </x:c>
      <x:c r="AR93" s="1" t="n">
        <x:v>6.16</x:v>
      </x:c>
      <x:c r="AS93" s="1" t="n">
        <x:v>7.73</x:v>
      </x:c>
      <x:c r="AT93" s="1" t="n">
        <x:v>9.03</x:v>
      </x:c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 t="n">
        <x:v>833.95</x:v>
      </x:c>
      <x:c r="CY93" s="1" t="n">
        <x:v>1214.25</x:v>
      </x:c>
      <x:c r="CZ93" s="1" t="n">
        <x:v>1109.24</x:v>
      </x:c>
      <x:c r="DA93" s="1" t="n">
        <x:v>62.48</x:v>
      </x:c>
      <x:c r="DB93" s="1" t="n">
        <x:v>1339.59</x:v>
      </x:c>
      <x:c r="DC93" s="1" t="n">
        <x:v>446.81</x:v>
      </x:c>
      <x:c r="DD93" s="1" t="n">
        <x:v>1896.55</x:v>
      </x:c>
      <x:c r="DE93" s="1" t="n">
        <x:v>1394.02</x:v>
      </x:c>
      <x:c r="DF93" s="1" t="n">
        <x:v>3422.95</x:v>
      </x:c>
      <x:c r="DG93" s="1" t="n">
        <x:v>702.5</x:v>
      </x:c>
      <x:c r="DH93" s="1" t="n">
        <x:v>4116.04</x:v>
      </x:c>
      <x:c r="DI93" s="1" t="n">
        <x:v>2322.29</x:v>
      </x:c>
      <x:c r="DJ93" s="1" t="n">
        <x:v>3293.16</x:v>
      </x:c>
      <x:c r="DK93" s="1" t="n">
        <x:v>1188.7</x:v>
      </x:c>
      <x:c r="DL93" s="1" t="n">
        <x:v>2911.25</x:v>
      </x:c>
      <x:c r="DM93" s="1" t="n">
        <x:v>1859.51</x:v>
      </x:c>
    </x:row>
    <x:row r="94" ht="23" customHeight="1">
      <x:c r="A94" s="1" t="n">
        <x:v>89</x:v>
      </x:c>
      <x:c r="B94" s="1"/>
      <x:c r="C94" s="1" t="str">
        <x:v>111-71-7</x:v>
      </x:c>
      <x:c r="D94" s="1"/>
      <x:c r="E94" s="1"/>
      <x:c r="F94" s="1"/>
      <x:c r="G94" s="1"/>
      <x:c r="H94" s="1"/>
      <x:c r="I94" s="1"/>
      <x:c r="J94" s="1"/>
      <x:c r="K94" s="1" t="n">
        <x:v>0.2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  <x:c r="DE94" s="1"/>
      <x:c r="DF94" s="1"/>
      <x:c r="DG94" s="1"/>
      <x:c r="DH94" s="1"/>
      <x:c r="DI94" s="1"/>
      <x:c r="DJ94" s="1"/>
      <x:c r="DK94" s="1"/>
      <x:c r="DL94" s="1"/>
      <x:c r="DM94" s="1"/>
    </x:row>
    <x:row r="95" ht="23" customHeight="1">
      <x:c r="A95" s="1" t="n">
        <x:v>90</x:v>
      </x:c>
      <x:c r="B95" s="1" t="str">
        <x:v>1-辛醇</x:v>
      </x:c>
      <x:c r="C95" s="1" t="str">
        <x:v>111-87-5</x:v>
      </x:c>
      <x:c r="D95" s="1" t="n">
        <x:v>1100</x:v>
      </x:c>
      <x:c r="E95" s="1" t="n">
        <x:v>439</x:v>
      </x:c>
      <x:c r="F95" s="1" t="n">
        <x:v>2101</x:v>
      </x:c>
      <x:c r="G95" s="1"/>
      <x:c r="H95" s="1"/>
      <x:c r="I95" s="1"/>
      <x:c r="J95" s="1"/>
      <x:c r="K95" s="1" t="n">
        <x:v>0.4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 t="n">
        <x:v>1.54</x:v>
      </x:c>
      <x:c r="AR95" s="1" t="n">
        <x:v>2.01</x:v>
      </x:c>
      <x:c r="AS95" s="1" t="n">
        <x:v>1.14</x:v>
      </x:c>
      <x:c r="AT95" s="1" t="n">
        <x:v>1.18</x:v>
      </x:c>
      <x:c r="AU95" s="1"/>
      <x:c r="AV95" s="1"/>
      <x:c r="AW95" s="1"/>
      <x:c r="AX95" s="1"/>
      <x:c r="AY95" s="1"/>
      <x:c r="AZ95" s="1"/>
      <x:c r="BA95" s="1"/>
      <x:c r="BB95" s="1" t="n">
        <x:v>2089</x:v>
      </x:c>
      <x:c r="BC95" s="1"/>
      <x:c r="BD95" s="1" t="n">
        <x:v>3850</x:v>
      </x:c>
      <x:c r="BE95" s="1" t="n">
        <x:v>4474.12</x:v>
      </x:c>
      <x:c r="BF95" s="1" t="n">
        <x:v>5401.21</x:v>
      </x:c>
      <x:c r="BG95" s="1" t="n">
        <x:v>3505.32</x:v>
      </x:c>
      <x:c r="BH95" s="1" t="n">
        <x:v>3952.17</x:v>
      </x:c>
      <x:c r="BI95" s="1" t="n">
        <x:v>3643.21</x:v>
      </x:c>
      <x:c r="BJ95" s="1" t="n">
        <x:v>1990.18</x:v>
      </x:c>
      <x:c r="BK95" s="1" t="n">
        <x:v>7.22</x:v>
      </x:c>
      <x:c r="BL95" s="1" t="n">
        <x:v>5.63</x:v>
      </x:c>
      <x:c r="BM95" s="1" t="n">
        <x:v>12.87</x:v>
      </x:c>
      <x:c r="BN95" s="1" t="n">
        <x:v>5.4</x:v>
      </x:c>
      <x:c r="BO95" s="1" t="n">
        <x:v>10.4</x:v>
      </x:c>
      <x:c r="BP95" s="1" t="n">
        <x:v>2363.29</x:v>
      </x:c>
      <x:c r="BQ95" s="1"/>
      <x:c r="BR95" s="1"/>
      <x:c r="BS95" s="1"/>
      <x:c r="BT95" s="1"/>
      <x:c r="BU95" s="1"/>
      <x:c r="BV95" s="1"/>
      <x:c r="BW95" s="1"/>
      <x:c r="BX95" s="1"/>
      <x:c r="BY95" s="1"/>
      <x:c r="BZ95" s="1" t="n">
        <x:v>666.755</x:v>
      </x:c>
      <x:c r="CA95" s="1" t="n">
        <x:v>700.16</x:v>
      </x:c>
      <x:c r="CB95" s="1" t="n">
        <x:v>4151.36</x:v>
      </x:c>
      <x:c r="CC95" s="1" t="n">
        <x:v>2387.79</x:v>
      </x:c>
      <x:c r="CD95" s="1" t="n">
        <x:v>25642.45</x:v>
      </x:c>
      <x:c r="CE95" s="1" t="n">
        <x:v>3596.26</x:v>
      </x:c>
      <x:c r="CF95" s="1" t="n">
        <x:v>2021.28</x:v>
      </x:c>
      <x:c r="CG95" s="1" t="n">
        <x:v>338.15</x:v>
      </x:c>
      <x:c r="CH95" s="1" t="n">
        <x:v>222.64</x:v>
      </x:c>
      <x:c r="CI95" s="1" t="n">
        <x:v>8783.43</x:v>
      </x:c>
      <x:c r="CJ95" s="1" t="n">
        <x:v>6427.46</x:v>
      </x:c>
      <x:c r="CK95" s="1" t="n">
        <x:v>6962.59</x:v>
      </x:c>
      <x:c r="CL95" s="1" t="n">
        <x:v>2944.46</x:v>
      </x:c>
      <x:c r="CM95" s="1" t="n">
        <x:v>5139.59</x:v>
      </x:c>
      <x:c r="CN95" s="1"/>
      <x:c r="CO95" s="1"/>
      <x:c r="CP95" s="1"/>
      <x:c r="CQ95" s="1"/>
      <x:c r="CR95" s="1" t="n">
        <x:v>359.5</x:v>
      </x:c>
      <x:c r="CS95" s="1" t="n">
        <x:v>445.34</x:v>
      </x:c>
      <x:c r="CT95" s="1"/>
      <x:c r="CU95" s="1"/>
      <x:c r="CV95" s="1"/>
      <x:c r="CW95" s="1"/>
      <x:c r="CX95" s="1" t="n">
        <x:v>1232.25</x:v>
      </x:c>
      <x:c r="CY95" s="1" t="n">
        <x:v>744.65</x:v>
      </x:c>
      <x:c r="CZ95" s="1" t="n">
        <x:v>365.37</x:v>
      </x:c>
      <x:c r="DA95" s="1" t="n">
        <x:v>232.19</x:v>
      </x:c>
      <x:c r="DB95" s="1" t="n">
        <x:v>401.06</x:v>
      </x:c>
      <x:c r="DC95" s="1" t="n">
        <x:v>2568.54</x:v>
      </x:c>
      <x:c r="DD95" s="1" t="n">
        <x:v>1395.36</x:v>
      </x:c>
      <x:c r="DE95" s="1" t="n">
        <x:v>1736.29</x:v>
      </x:c>
      <x:c r="DF95" s="1" t="n">
        <x:v>462.73</x:v>
      </x:c>
      <x:c r="DG95" s="1" t="n">
        <x:v>1391.3</x:v>
      </x:c>
      <x:c r="DH95" s="1" t="n">
        <x:v>454.05</x:v>
      </x:c>
      <x:c r="DI95" s="1" t="n">
        <x:v>1374.43</x:v>
      </x:c>
      <x:c r="DJ95" s="1" t="n">
        <x:v>560.85</x:v>
      </x:c>
      <x:c r="DK95" s="1" t="n">
        <x:v>1387.77</x:v>
      </x:c>
      <x:c r="DL95" s="1" t="n">
        <x:v>485.97</x:v>
      </x:c>
      <x:c r="DM95" s="1" t="n">
        <x:v>390.42</x:v>
      </x:c>
    </x:row>
    <x:row r="96" ht="23" customHeight="1">
      <x:c r="A96" s="1" t="n">
        <x:v>91</x:v>
      </x:c>
      <x:c r="B96" s="1" t="str">
        <x:v>壬酸</x:v>
      </x:c>
      <x:c r="C96" s="1" t="str">
        <x:v>112-05-0</x:v>
      </x:c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 t="n">
        <x:v>7760</x:v>
      </x:c>
      <x:c r="O96" s="1" t="n">
        <x:v>239</x:v>
      </x:c>
      <x:c r="P96" s="1" t="n">
        <x:v>59</x:v>
      </x:c>
      <x:c r="Q96" s="1" t="n">
        <x:v>145</x:v>
      </x:c>
      <x:c r="R96" s="1" t="n">
        <x:v>21191</x:v>
      </x:c>
      <x:c r="S96" s="1" t="n">
        <x:v>176</x:v>
      </x:c>
      <x:c r="T96" s="1" t="n">
        <x:v>0</x:v>
      </x:c>
      <x:c r="U96" s="1" t="n">
        <x:v>2</x:v>
      </x:c>
      <x:c r="V96" s="1" t="n">
        <x:v>1.5</x:v>
      </x:c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 t="n">
        <x:v>711.01</x:v>
      </x:c>
      <x:c r="CA96" s="1" t="n">
        <x:v>741.66</x:v>
      </x:c>
      <x:c r="CB96" s="1" t="n">
        <x:v>1600.27</x:v>
      </x:c>
      <x:c r="CC96" s="1" t="n">
        <x:v>1947.38</x:v>
      </x:c>
      <x:c r="CD96" s="1" t="n">
        <x:v>1907.21</x:v>
      </x:c>
      <x:c r="CE96" s="1" t="n">
        <x:v>4307.64</x:v>
      </x:c>
      <x:c r="CF96" s="1" t="n">
        <x:v>2465.41</x:v>
      </x:c>
      <x:c r="CG96" s="1" t="n">
        <x:v>1071.39</x:v>
      </x:c>
      <x:c r="CH96" s="1" t="n">
        <x:v>1071.39</x:v>
      </x:c>
      <x:c r="CI96" s="1" t="n">
        <x:v>1775.42</x:v>
      </x:c>
      <x:c r="CJ96" s="1" t="n">
        <x:v>1981.85</x:v>
      </x:c>
      <x:c r="CK96" s="1" t="n">
        <x:v>5818.11</x:v>
      </x:c>
      <x:c r="CL96" s="1" t="n">
        <x:v>4579.53</x:v>
      </x:c>
      <x:c r="CM96" s="1" t="n">
        <x:v>2754.77</x:v>
      </x:c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 t="n">
        <x:v>2115.3</x:v>
      </x:c>
      <x:c r="CY96" s="1" t="n">
        <x:v>253.39</x:v>
      </x:c>
      <x:c r="CZ96" s="1" t="n">
        <x:v>247.08</x:v>
      </x:c>
      <x:c r="DA96" s="1" t="n">
        <x:v>997.93</x:v>
      </x:c>
      <x:c r="DB96" s="1" t="n">
        <x:v>1151.86</x:v>
      </x:c>
      <x:c r="DC96" s="1" t="n">
        <x:v>922.83</x:v>
      </x:c>
      <x:c r="DD96" s="1" t="n">
        <x:v>814.37</x:v>
      </x:c>
      <x:c r="DE96" s="1" t="n">
        <x:v>1422.55</x:v>
      </x:c>
      <x:c r="DF96" s="1" t="n">
        <x:v>805.86</x:v>
      </x:c>
      <x:c r="DG96" s="1" t="n">
        <x:v>196.77</x:v>
      </x:c>
      <x:c r="DH96" s="1" t="n">
        <x:v>1293.72</x:v>
      </x:c>
      <x:c r="DI96" s="1" t="n">
        <x:v>689.76</x:v>
      </x:c>
      <x:c r="DJ96" s="1" t="n">
        <x:v>1144.3</x:v>
      </x:c>
      <x:c r="DK96" s="1" t="n">
        <x:v>619.89</x:v>
      </x:c>
      <x:c r="DL96" s="1" t="n">
        <x:v>1181.54</x:v>
      </x:c>
      <x:c r="DM96" s="1" t="n">
        <x:v>944.14</x:v>
      </x:c>
    </x:row>
    <x:row r="97" ht="23" customHeight="1">
      <x:c r="A97" s="1" t="n">
        <x:v>92</x:v>
      </x:c>
      <x:c r="B97" s="1"/>
      <x:c r="C97" s="1" t="str">
        <x:v>112-05-9</x:v>
      </x:c>
      <x:c r="D97" s="1"/>
      <x:c r="E97" s="1"/>
      <x:c r="F97" s="1"/>
      <x:c r="G97" s="1"/>
      <x:c r="H97" s="1"/>
      <x:c r="I97" s="1" t="n">
        <x:v>20.39</x:v>
      </x:c>
      <x:c r="J97" s="1" t="n">
        <x:v>27.26</x:v>
      </x:c>
      <x:c r="K97" s="1" t="n">
        <x:v>6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  <x:c r="DE97" s="1"/>
      <x:c r="DF97" s="1"/>
      <x:c r="DG97" s="1"/>
      <x:c r="DH97" s="1"/>
      <x:c r="DI97" s="1"/>
      <x:c r="DJ97" s="1"/>
      <x:c r="DK97" s="1"/>
      <x:c r="DL97" s="1"/>
      <x:c r="DM97" s="1"/>
    </x:row>
    <x:row r="98" ht="23" customHeight="1">
      <x:c r="A98" s="1" t="n">
        <x:v>93</x:v>
      </x:c>
      <x:c r="B98" s="1" t="str">
        <x:v>乙酸庚酯</x:v>
      </x:c>
      <x:c r="C98" s="1" t="str">
        <x:v>112-06-1</x:v>
      </x:c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 t="n">
        <x:v>333</x:v>
      </x:c>
      <x:c r="O98" s="1"/>
      <x:c r="P98" s="1"/>
      <x:c r="Q98" s="1" t="n">
        <x:v>189</x:v>
      </x:c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 t="n">
        <x:v>1.18</x:v>
      </x:c>
      <x:c r="AR98" s="1"/>
      <x:c r="AS98" s="1"/>
      <x:c r="AT98" s="1"/>
      <x:c r="AU98" s="1"/>
      <x:c r="AV98" s="1"/>
      <x:c r="AW98" s="1"/>
      <x:c r="AX98" s="1"/>
      <x:c r="AY98" s="1"/>
      <x:c r="AZ98" s="1" t="n">
        <x:v>92</x:v>
      </x:c>
      <x:c r="BA98" s="1" t="n">
        <x:v>116</x:v>
      </x:c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  <x:c r="DE98" s="1"/>
      <x:c r="DF98" s="1"/>
      <x:c r="DG98" s="1"/>
      <x:c r="DH98" s="1"/>
      <x:c r="DI98" s="1"/>
      <x:c r="DJ98" s="1"/>
      <x:c r="DK98" s="1"/>
      <x:c r="DL98" s="1"/>
      <x:c r="DM98" s="1"/>
    </x:row>
    <x:row r="99" ht="23" customHeight="1">
      <x:c r="A99" s="1" t="n">
        <x:v>94</x:v>
      </x:c>
      <x:c r="B99" s="1" t="str">
        <x:v>2-十一酮</x:v>
      </x:c>
      <x:c r="C99" s="1" t="str">
        <x:v>112-12-9</x:v>
      </x:c>
      <x:c r="D99" s="1"/>
      <x:c r="E99" s="1"/>
      <x:c r="F99" s="1"/>
      <x:c r="G99" s="1"/>
      <x:c r="H99" s="1"/>
      <x:c r="I99" s="1"/>
      <x:c r="J99" s="1"/>
      <x:c r="K99" s="1" t="n">
        <x:v>0.36</x:v>
      </x:c>
      <x:c r="L99" s="1"/>
      <x:c r="M99" s="1"/>
      <x:c r="N99" s="1" t="n">
        <x:v>828</x:v>
      </x:c>
      <x:c r="O99" s="1" t="n">
        <x:v>682</x:v>
      </x:c>
      <x:c r="P99" s="1" t="n">
        <x:v>723</x:v>
      </x:c>
      <x:c r="Q99" s="1" t="n">
        <x:v>512</x:v>
      </x:c>
      <x:c r="R99" s="1" t="n">
        <x:v>587</x:v>
      </x:c>
      <x:c r="S99" s="1" t="n">
        <x:v>649</x:v>
      </x:c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 t="n">
        <x:v>6.12</x:v>
      </x:c>
      <x:c r="CA99" s="1" t="n">
        <x:v>6.11</x:v>
      </x:c>
      <x:c r="CB99" s="1" t="n">
        <x:v>14.31</x:v>
      </x:c>
      <x:c r="CC99" s="1" t="n">
        <x:v>7.4</x:v>
      </x:c>
      <x:c r="CD99" s="1" t="n">
        <x:v>8.82</x:v>
      </x:c>
      <x:c r="CE99" s="1" t="n">
        <x:v>11.62</x:v>
      </x:c>
      <x:c r="CF99" s="1" t="n">
        <x:v>11.13</x:v>
      </x:c>
      <x:c r="CG99" s="1" t="n">
        <x:v>33.97</x:v>
      </x:c>
      <x:c r="CH99" s="1" t="n">
        <x:v>22.26</x:v>
      </x:c>
      <x:c r="CI99" s="1" t="n">
        <x:v>11.98</x:v>
      </x:c>
      <x:c r="CJ99" s="1" t="n">
        <x:v>11.6</x:v>
      </x:c>
      <x:c r="CK99" s="1" t="n">
        <x:v>29.76</x:v>
      </x:c>
      <x:c r="CL99" s="1" t="n">
        <x:v>12.11</x:v>
      </x:c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  <x:c r="DE99" s="1"/>
      <x:c r="DF99" s="1"/>
      <x:c r="DG99" s="1"/>
      <x:c r="DH99" s="1"/>
      <x:c r="DI99" s="1"/>
      <x:c r="DJ99" s="1"/>
      <x:c r="DK99" s="1"/>
      <x:c r="DL99" s="1"/>
      <x:c r="DM99" s="1"/>
    </x:row>
    <x:row r="100" ht="23" customHeight="1">
      <x:c r="A100" s="1" t="n">
        <x:v>95</x:v>
      </x:c>
      <x:c r="B100" s="1"/>
      <x:c r="C100" s="1" t="str">
        <x:v>112-23-2</x:v>
      </x:c>
      <x:c r="D100" s="1"/>
      <x:c r="E100" s="1"/>
      <x:c r="F100" s="1"/>
      <x:c r="G100" s="1"/>
      <x:c r="H100" s="1"/>
      <x:c r="I100" s="1" t="n">
        <x:v>2.55</x:v>
      </x:c>
      <x:c r="J100" s="1"/>
      <x:c r="K100" s="1" t="n">
        <x:v>2.16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  <x:c r="DE100" s="1"/>
      <x:c r="DF100" s="1"/>
      <x:c r="DG100" s="1"/>
      <x:c r="DH100" s="1"/>
      <x:c r="DI100" s="1"/>
      <x:c r="DJ100" s="1"/>
      <x:c r="DK100" s="1"/>
      <x:c r="DL100" s="1"/>
      <x:c r="DM100" s="1"/>
    </x:row>
    <x:row r="101" ht="23" customHeight="1">
      <x:c r="A101" s="1" t="n">
        <x:v>96</x:v>
      </x:c>
      <x:c r="B101" s="1" t="str">
        <x:v>1-癸醇</x:v>
      </x:c>
      <x:c r="C101" s="1" t="str">
        <x:v>112-30-1</x:v>
      </x:c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 t="n">
        <x:v>13.97</x:v>
      </x:c>
      <x:c r="CA101" s="1" t="n">
        <x:v>14.61</x:v>
      </x:c>
      <x:c r="CB101" s="1" t="n">
        <x:v>40.04</x:v>
      </x:c>
      <x:c r="CC101" s="1" t="n">
        <x:v>34</x:v>
      </x:c>
      <x:c r="CD101" s="1" t="n">
        <x:v>48.46</x:v>
      </x:c>
      <x:c r="CE101" s="1" t="n">
        <x:v>34.34</x:v>
      </x:c>
      <x:c r="CF101" s="1" t="n">
        <x:v>36.21</x:v>
      </x:c>
      <x:c r="CG101" s="1" t="n">
        <x:v>7.36</x:v>
      </x:c>
      <x:c r="CH101" s="1" t="n">
        <x:v>4.56</x:v>
      </x:c>
      <x:c r="CI101" s="1" t="n">
        <x:v>38.32</x:v>
      </x:c>
      <x:c r="CJ101" s="1" t="n">
        <x:v>38.97</x:v>
      </x:c>
      <x:c r="CK101" s="1" t="n">
        <x:v>32.49</x:v>
      </x:c>
      <x:c r="CL101" s="1" t="n">
        <x:v>35.03</x:v>
      </x:c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  <x:c r="DE101" s="1"/>
      <x:c r="DF101" s="1"/>
      <x:c r="DG101" s="1"/>
      <x:c r="DH101" s="1"/>
      <x:c r="DI101" s="1"/>
      <x:c r="DJ101" s="1"/>
      <x:c r="DK101" s="1"/>
      <x:c r="DL101" s="1"/>
      <x:c r="DM101" s="1"/>
    </x:row>
    <x:row r="102" ht="23" customHeight="1">
      <x:c r="A102" s="1" t="n">
        <x:v>97</x:v>
      </x:c>
      <x:c r="B102" s="1" t="str">
        <x:v>癸醛</x:v>
      </x:c>
      <x:c r="C102" s="1" t="str">
        <x:v>112-31-2</x:v>
      </x:c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 t="n">
        <x:v>141.32</x:v>
      </x:c>
      <x:c r="CA102" s="1" t="n">
        <x:v>113.82</x:v>
      </x:c>
      <x:c r="CB102" s="1" t="n">
        <x:v>31.12</x:v>
      </x:c>
      <x:c r="CC102" s="1"/>
      <x:c r="CD102" s="1"/>
      <x:c r="CE102" s="1" t="n">
        <x:v>96.64</x:v>
      </x:c>
      <x:c r="CF102" s="1" t="n">
        <x:v>62.98</x:v>
      </x:c>
      <x:c r="CG102" s="1" t="n">
        <x:v>115.05</x:v>
      </x:c>
      <x:c r="CH102" s="1" t="n">
        <x:v>101.86</x:v>
      </x:c>
      <x:c r="CI102" s="1" t="n">
        <x:v>350.9</x:v>
      </x:c>
      <x:c r="CJ102" s="1" t="n">
        <x:v>47.15</x:v>
      </x:c>
      <x:c r="CK102" s="1" t="n">
        <x:v>53.12</x:v>
      </x:c>
      <x:c r="CL102" s="1" t="n">
        <x:v>168.51</x:v>
      </x:c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 t="n">
        <x:v>35.05</x:v>
      </x:c>
      <x:c r="CY102" s="1" t="n">
        <x:v>64.65</x:v>
      </x:c>
      <x:c r="CZ102" s="1" t="n">
        <x:v>130.35</x:v>
      </x:c>
      <x:c r="DA102" s="1" t="n">
        <x:v>26.51</x:v>
      </x:c>
      <x:c r="DB102" s="1" t="n">
        <x:v>8.98</x:v>
      </x:c>
      <x:c r="DC102" s="1" t="n">
        <x:v>34.3</x:v>
      </x:c>
      <x:c r="DD102" s="1" t="n">
        <x:v>2044.08</x:v>
      </x:c>
      <x:c r="DE102" s="1" t="n">
        <x:v>27.94</x:v>
      </x:c>
      <x:c r="DF102" s="1" t="n">
        <x:v>263.13</x:v>
      </x:c>
      <x:c r="DG102" s="1" t="n">
        <x:v>415.74</x:v>
      </x:c>
      <x:c r="DH102" s="1" t="n">
        <x:v>28.75</x:v>
      </x:c>
      <x:c r="DI102" s="1" t="n">
        <x:v>60.66</x:v>
      </x:c>
      <x:c r="DJ102" s="1" t="n">
        <x:v>44.68</x:v>
      </x:c>
      <x:c r="DK102" s="1" t="n">
        <x:v>173.2</x:v>
      </x:c>
      <x:c r="DL102" s="1" t="n">
        <x:v>973.31</x:v>
      </x:c>
      <x:c r="DM102" s="1" t="n">
        <x:v>85.72</x:v>
      </x:c>
    </x:row>
    <x:row r="103" ht="23" customHeight="1">
      <x:c r="A103" s="1" t="n">
        <x:v>98</x:v>
      </x:c>
      <x:c r="B103" s="1"/>
      <x:c r="C103" s="1" t="str">
        <x:v>112-32-3</x:v>
      </x:c>
      <x:c r="D103" s="1"/>
      <x:c r="E103" s="1"/>
      <x:c r="F103" s="1"/>
      <x:c r="G103" s="1"/>
      <x:c r="H103" s="1"/>
      <x:c r="I103" s="1" t="n">
        <x:v>2.12</x:v>
      </x:c>
      <x:c r="J103" s="1" t="n">
        <x:v>6.08</x:v>
      </x:c>
      <x:c r="K103" s="1" t="n">
        <x:v>1.97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  <x:c r="DE103" s="1"/>
      <x:c r="DF103" s="1"/>
      <x:c r="DG103" s="1"/>
      <x:c r="DH103" s="1"/>
      <x:c r="DI103" s="1"/>
      <x:c r="DJ103" s="1"/>
      <x:c r="DK103" s="1"/>
      <x:c r="DL103" s="1"/>
      <x:c r="DM103" s="1"/>
    </x:row>
    <x:row r="104" ht="23" customHeight="1">
      <x:c r="A104" s="1" t="n">
        <x:v>99</x:v>
      </x:c>
      <x:c r="B104" s="1"/>
      <x:c r="C104" s="1" t="str">
        <x:v>112-37-8</x:v>
      </x:c>
      <x:c r="D104" s="1"/>
      <x:c r="E104" s="1"/>
      <x:c r="F104" s="1"/>
      <x:c r="G104" s="1"/>
      <x:c r="H104" s="1"/>
      <x:c r="I104" s="1"/>
      <x:c r="J104" s="1" t="n">
        <x:v>0.82</x:v>
      </x:c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  <x:c r="DE104" s="1"/>
      <x:c r="DF104" s="1"/>
      <x:c r="DG104" s="1"/>
      <x:c r="DH104" s="1"/>
      <x:c r="DI104" s="1"/>
      <x:c r="DJ104" s="1"/>
      <x:c r="DK104" s="1"/>
      <x:c r="DL104" s="1"/>
      <x:c r="DM104" s="1"/>
    </x:row>
    <x:row r="105" ht="23" customHeight="1">
      <x:c r="A105" s="1" t="n">
        <x:v>100</x:v>
      </x:c>
      <x:c r="B105" s="1"/>
      <x:c r="C105" s="1" t="str">
        <x:v>112-39-0</x:v>
      </x:c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 t="n">
        <x:v>79</x:v>
      </x:c>
      <x:c r="O105" s="1" t="n">
        <x:v>270</x:v>
      </x:c>
      <x:c r="P105" s="1" t="n">
        <x:v>315</x:v>
      </x:c>
      <x:c r="Q105" s="1" t="n">
        <x:v>246</x:v>
      </x:c>
      <x:c r="R105" s="1" t="n">
        <x:v>232</x:v>
      </x:c>
      <x:c r="S105" s="1" t="n">
        <x:v>281</x:v>
      </x:c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  <x:c r="DE105" s="1"/>
      <x:c r="DF105" s="1"/>
      <x:c r="DG105" s="1"/>
      <x:c r="DH105" s="1"/>
      <x:c r="DI105" s="1"/>
      <x:c r="DJ105" s="1"/>
      <x:c r="DK105" s="1"/>
      <x:c r="DL105" s="1"/>
      <x:c r="DM105" s="1"/>
    </x:row>
    <x:row r="106" ht="23" customHeight="1">
      <x:c r="A106" s="1" t="n">
        <x:v>101</x:v>
      </x:c>
      <x:c r="B106" s="1"/>
      <x:c r="C106" s="1" t="str">
        <x:v>112-54-8</x:v>
      </x:c>
      <x:c r="D106" s="1"/>
      <x:c r="E106" s="1"/>
      <x:c r="F106" s="1"/>
      <x:c r="G106" s="1"/>
      <x:c r="H106" s="1"/>
      <x:c r="I106" s="1"/>
      <x:c r="J106" s="1"/>
      <x:c r="K106" s="1" t="n">
        <x:v>0.22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  <x:c r="DE106" s="1"/>
      <x:c r="DF106" s="1"/>
      <x:c r="DG106" s="1"/>
      <x:c r="DH106" s="1"/>
      <x:c r="DI106" s="1"/>
      <x:c r="DJ106" s="1"/>
      <x:c r="DK106" s="1"/>
      <x:c r="DL106" s="1"/>
      <x:c r="DM106" s="1"/>
    </x:row>
    <x:row r="107" ht="23" customHeight="1">
      <x:c r="A107" s="1" t="n">
        <x:v>102</x:v>
      </x:c>
      <x:c r="B107" s="1"/>
      <x:c r="C107" s="1" t="str">
        <x:v>112-54-9</x:v>
      </x:c>
      <x:c r="D107" s="1"/>
      <x:c r="E107" s="1"/>
      <x:c r="F107" s="1"/>
      <x:c r="G107" s="1"/>
      <x:c r="H107" s="1"/>
      <x:c r="I107" s="1"/>
      <x:c r="J107" s="1"/>
      <x:c r="K107" s="1" t="n">
        <x:v>0.25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  <x:c r="DE107" s="1"/>
      <x:c r="DF107" s="1"/>
      <x:c r="DG107" s="1"/>
      <x:c r="DH107" s="1"/>
      <x:c r="DI107" s="1"/>
      <x:c r="DJ107" s="1"/>
      <x:c r="DK107" s="1"/>
      <x:c r="DL107" s="1"/>
      <x:c r="DM107" s="1"/>
    </x:row>
    <x:row r="108" ht="23" customHeight="1">
      <x:c r="A108" s="1" t="n">
        <x:v>103</x:v>
      </x:c>
      <x:c r="B108" s="1" t="str">
        <x:v>苯甲酸异丁酯</x:v>
      </x:c>
      <x:c r="C108" s="1" t="str">
        <x:v>120-50-3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 t="n">
        <x:v>37</x:v>
      </x:c>
      <x:c r="BA108" s="1" t="n">
        <x:v>69</x:v>
      </x:c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  <x:c r="DE108" s="1"/>
      <x:c r="DF108" s="1"/>
      <x:c r="DG108" s="1"/>
      <x:c r="DH108" s="1"/>
      <x:c r="DI108" s="1"/>
      <x:c r="DJ108" s="1"/>
      <x:c r="DK108" s="1"/>
      <x:c r="DL108" s="1"/>
      <x:c r="DM108" s="1"/>
    </x:row>
    <x:row r="109" ht="23" customHeight="1">
      <x:c r="A109" s="1" t="n">
        <x:v>104</x:v>
      </x:c>
      <x:c r="B109" s="1"/>
      <x:c r="C109" s="1" t="str">
        <x:v>121-33-5</x:v>
      </x:c>
      <x:c r="D109" s="1" t="n">
        <x:v>439</x:v>
      </x:c>
      <x:c r="E109" s="1" t="n">
        <x:v>11</x:v>
      </x:c>
      <x:c r="F109" s="1" t="n">
        <x:v>58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 t="n">
        <x:v>1</x:v>
      </x:c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  <x:c r="DE109" s="1"/>
      <x:c r="DF109" s="1"/>
      <x:c r="DG109" s="1"/>
      <x:c r="DH109" s="1"/>
      <x:c r="DI109" s="1"/>
      <x:c r="DJ109" s="1"/>
      <x:c r="DK109" s="1"/>
      <x:c r="DL109" s="1"/>
      <x:c r="DM109" s="1"/>
    </x:row>
    <x:row r="110" ht="23" customHeight="1">
      <x:c r="A110" s="1" t="n">
        <x:v>105</x:v>
      </x:c>
      <x:c r="B110" s="1" t="str">
        <x:v>苯乙醛</x:v>
      </x:c>
      <x:c r="C110" s="1" t="str">
        <x:v>122-78-1</x:v>
      </x:c>
      <x:c r="D110" s="1" t="n">
        <x:v>262</x:v>
      </x:c>
      <x:c r="E110" s="1" t="n">
        <x:v>1498</x:v>
      </x:c>
      <x:c r="F110" s="1" t="n">
        <x:v>1903</x:v>
      </x:c>
      <x:c r="G110" s="1" t="n">
        <x:v>3.03</x:v>
      </x:c>
      <x:c r="H110" s="1" t="n">
        <x:v>8.16</x:v>
      </x:c>
      <x:c r="I110" s="1"/>
      <x:c r="J110" s="1"/>
      <x:c r="K110" s="1"/>
      <x:c r="L110" s="1" t="n">
        <x:v>1733</x:v>
      </x:c>
      <x:c r="M110" s="1" t="n">
        <x:v>1783</x:v>
      </x:c>
      <x:c r="N110" s="1"/>
      <x:c r="O110" s="1"/>
      <x:c r="P110" s="1"/>
      <x:c r="Q110" s="1"/>
      <x:c r="R110" s="1"/>
      <x:c r="S110" s="1"/>
      <x:c r="T110" s="1"/>
      <x:c r="U110" s="1"/>
      <x:c r="V110" s="1"/>
      <x:c r="W110" s="1" t="n">
        <x:v>1070</x:v>
      </x:c>
      <x:c r="X110" s="1"/>
      <x:c r="Y110" s="1" t="n">
        <x:v>548</x:v>
      </x:c>
      <x:c r="Z110" s="1"/>
      <x:c r="AA110" s="1"/>
      <x:c r="AB110" s="1"/>
      <x:c r="AC110" s="1"/>
      <x:c r="AD110" s="1"/>
      <x:c r="AE110" s="1" t="n">
        <x:v>4440</x:v>
      </x:c>
      <x:c r="AF110" s="1" t="n">
        <x:v>4840</x:v>
      </x:c>
      <x:c r="AG110" s="1" t="n">
        <x:v>15730</x:v>
      </x:c>
      <x:c r="AH110" s="1"/>
      <x:c r="AI110" s="1"/>
      <x:c r="AJ110" s="1"/>
      <x:c r="AK110" s="1" t="n">
        <x:v>5570</x:v>
      </x:c>
      <x:c r="AL110" s="1" t="n">
        <x:v>9760</x:v>
      </x:c>
      <x:c r="AM110" s="1"/>
      <x:c r="AN110" s="1"/>
      <x:c r="AO110" s="1"/>
      <x:c r="AP110" s="1"/>
      <x:c r="AQ110" s="1"/>
      <x:c r="AR110" s="1"/>
      <x:c r="AS110" s="1" t="n">
        <x:v>2.23</x:v>
      </x:c>
      <x:c r="AT110" s="1" t="n">
        <x:v>2.02</x:v>
      </x:c>
      <x:c r="AU110" s="1"/>
      <x:c r="AV110" s="1"/>
      <x:c r="AW110" s="1"/>
      <x:c r="AX110" s="1"/>
      <x:c r="AY110" s="1"/>
      <x:c r="AZ110" s="1"/>
      <x:c r="BA110" s="1" t="n">
        <x:v>1447</x:v>
      </x:c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 t="n">
        <x:v>100.77</x:v>
      </x:c>
      <x:c r="CA110" s="1" t="n">
        <x:v>95.78</x:v>
      </x:c>
      <x:c r="CB110" s="1" t="n">
        <x:v>0.05</x:v>
      </x:c>
      <x:c r="CC110" s="1"/>
      <x:c r="CD110" s="1"/>
      <x:c r="CE110" s="1" t="n">
        <x:v>0.61</x:v>
      </x:c>
      <x:c r="CF110" s="1" t="n">
        <x:v>0.95</x:v>
      </x:c>
      <x:c r="CG110" s="1" t="n">
        <x:v>1694.71</x:v>
      </x:c>
      <x:c r="CH110" s="1" t="n">
        <x:v>624.47</x:v>
      </x:c>
      <x:c r="CI110" s="1" t="n">
        <x:v>3.93</x:v>
      </x:c>
      <x:c r="CJ110" s="1" t="n">
        <x:v>1.81</x:v>
      </x:c>
      <x:c r="CK110" s="1" t="n">
        <x:v>1.48</x:v>
      </x:c>
      <x:c r="CL110" s="1" t="n">
        <x:v>1.09</x:v>
      </x:c>
      <x:c r="CM110" s="1" t="n">
        <x:v>1</x:v>
      </x:c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 t="n">
        <x:v>125.84</x:v>
      </x:c>
      <x:c r="CY110" s="1" t="n">
        <x:v>1861.2</x:v>
      </x:c>
      <x:c r="CZ110" s="1" t="n">
        <x:v>952.84</x:v>
      </x:c>
      <x:c r="DA110" s="1" t="n">
        <x:v>181.23</x:v>
      </x:c>
      <x:c r="DB110" s="1" t="n">
        <x:v>807.07</x:v>
      </x:c>
      <x:c r="DC110" s="1" t="n">
        <x:v>86.24</x:v>
      </x:c>
      <x:c r="DD110" s="1" t="n">
        <x:v>2076.28</x:v>
      </x:c>
      <x:c r="DE110" s="1" t="n">
        <x:v>192.48</x:v>
      </x:c>
      <x:c r="DF110" s="1" t="n">
        <x:v>4041.58</x:v>
      </x:c>
      <x:c r="DG110" s="1" t="n">
        <x:v>525.92</x:v>
      </x:c>
      <x:c r="DH110" s="1" t="n">
        <x:v>1174.4</x:v>
      </x:c>
      <x:c r="DI110" s="1" t="n">
        <x:v>395.87</x:v>
      </x:c>
      <x:c r="DJ110" s="1" t="n">
        <x:v>2178.92</x:v>
      </x:c>
      <x:c r="DK110" s="1" t="n">
        <x:v>298.18</x:v>
      </x:c>
      <x:c r="DL110" s="1" t="n">
        <x:v>3096.54</x:v>
      </x:c>
      <x:c r="DM110" s="1" t="n">
        <x:v>564.65</x:v>
      </x:c>
    </x:row>
    <x:row r="111" ht="23" customHeight="1">
      <x:c r="A111" s="1" t="n">
        <x:v>106</x:v>
      </x:c>
      <x:c r="B111" s="1" t="str">
        <x:v>4-乙基苯酚</x:v>
      </x:c>
      <x:c r="C111" s="1" t="str">
        <x:v>123-07-9</x:v>
      </x:c>
      <x:c r="D111" s="1" t="n">
        <x:v>123</x:v>
      </x:c>
      <x:c r="E111" s="1" t="n">
        <x:v>49</x:v>
      </x:c>
      <x:c r="F111" s="1" t="n">
        <x:v>11</x:v>
      </x:c>
      <x:c r="G111" s="1"/>
      <x:c r="H111" s="1" t="n">
        <x:v>0.26</x:v>
      </x:c>
      <x:c r="I111" s="1"/>
      <x:c r="J111" s="1" t="n">
        <x:v>0.36</x:v>
      </x:c>
      <x:c r="K111" s="1" t="n">
        <x:v>0.58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 t="n">
        <x:v>1.625</x:v>
      </x:c>
      <x:c r="W111" s="1"/>
      <x:c r="X111" s="1"/>
      <x:c r="Y111" s="1"/>
      <x:c r="Z111" s="1"/>
      <x:c r="AA111" s="1"/>
      <x:c r="AB111" s="1"/>
      <x:c r="AC111" s="1"/>
      <x:c r="AD111" s="1"/>
      <x:c r="AE111" s="1" t="n">
        <x:v>1720</x:v>
      </x:c>
      <x:c r="AF111" s="1"/>
      <x:c r="AG111" s="1"/>
      <x:c r="AH111" s="1"/>
      <x:c r="AI111" s="1"/>
      <x:c r="AJ111" s="1"/>
      <x:c r="AK111" s="1" t="n">
        <x:v>650</x:v>
      </x:c>
      <x:c r="AL111" s="1" t="n">
        <x:v>850</x:v>
      </x:c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 t="n">
        <x:v>26</x:v>
      </x:c>
      <x:c r="BA111" s="1"/>
      <x:c r="BB111" s="1"/>
      <x:c r="BC111" s="1"/>
      <x:c r="BD111" s="1" t="n">
        <x:v>254.42</x:v>
      </x:c>
      <x:c r="BE111" s="1" t="n">
        <x:v>168.42</x:v>
      </x:c>
      <x:c r="BF111" s="1" t="n">
        <x:v>280.73</x:v>
      </x:c>
      <x:c r="BG111" s="1" t="n">
        <x:v>307.44</x:v>
      </x:c>
      <x:c r="BH111" s="1"/>
      <x:c r="BI111" s="1" t="n">
        <x:v>373.32</x:v>
      </x:c>
      <x:c r="BJ111" s="1"/>
      <x:c r="BK111" s="1" t="n">
        <x:v>1377</x:v>
      </x:c>
      <x:c r="BL111" s="1" t="n">
        <x:v>886.72</x:v>
      </x:c>
      <x:c r="BM111" s="1" t="n">
        <x:v>693.24</x:v>
      </x:c>
      <x:c r="BN111" s="1" t="n">
        <x:v>985.01</x:v>
      </x:c>
      <x:c r="BO111" s="1" t="n">
        <x:v>486.63</x:v>
      </x:c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 t="n">
        <x:v>73.175</x:v>
      </x:c>
      <x:c r="CA111" s="1" t="n">
        <x:v>81.45</x:v>
      </x:c>
      <x:c r="CB111" s="1" t="n">
        <x:v>80.66</x:v>
      </x:c>
      <x:c r="CC111" s="1" t="n">
        <x:v>428.2</x:v>
      </x:c>
      <x:c r="CD111" s="1" t="n">
        <x:v>2501.24</x:v>
      </x:c>
      <x:c r="CE111" s="1" t="n">
        <x:v>796.48</x:v>
      </x:c>
      <x:c r="CF111" s="1" t="n">
        <x:v>298.9</x:v>
      </x:c>
      <x:c r="CG111" s="1" t="n">
        <x:v>38.05</x:v>
      </x:c>
      <x:c r="CH111" s="1" t="n">
        <x:v>22.28</x:v>
      </x:c>
      <x:c r="CI111" s="1" t="n">
        <x:v>147.27</x:v>
      </x:c>
      <x:c r="CJ111" s="1" t="n">
        <x:v>559.33</x:v>
      </x:c>
      <x:c r="CK111" s="1" t="n">
        <x:v>553.8</x:v>
      </x:c>
      <x:c r="CL111" s="1" t="n">
        <x:v>356.37</x:v>
      </x:c>
      <x:c r="CM111" s="1" t="n">
        <x:v>423.07</x:v>
      </x:c>
      <x:c r="CN111" s="1"/>
      <x:c r="CO111" s="1"/>
      <x:c r="CP111" s="1"/>
      <x:c r="CQ111" s="1"/>
      <x:c r="CR111" s="1" t="n">
        <x:v>55.02</x:v>
      </x:c>
      <x:c r="CS111" s="1" t="n">
        <x:v>24.28</x:v>
      </x:c>
      <x:c r="CT111" s="1"/>
      <x:c r="CU111" s="1"/>
      <x:c r="CV111" s="1"/>
      <x:c r="CW111" s="1"/>
      <x:c r="CX111" s="1" t="n">
        <x:v>12.17</x:v>
      </x:c>
      <x:c r="CY111" s="1" t="n">
        <x:v>26.18</x:v>
      </x:c>
      <x:c r="CZ111" s="1" t="n">
        <x:v>33.48</x:v>
      </x:c>
      <x:c r="DA111" s="1"/>
      <x:c r="DB111" s="1" t="n">
        <x:v>7.64</x:v>
      </x:c>
      <x:c r="DC111" s="1" t="n">
        <x:v>233.07</x:v>
      </x:c>
      <x:c r="DD111" s="1" t="n">
        <x:v>28.49</x:v>
      </x:c>
      <x:c r="DE111" s="1" t="n">
        <x:v>11.29</x:v>
      </x:c>
      <x:c r="DF111" s="1" t="n">
        <x:v>12.58</x:v>
      </x:c>
      <x:c r="DG111" s="1" t="n">
        <x:v>2.09</x:v>
      </x:c>
      <x:c r="DH111" s="1" t="n">
        <x:v>2.57</x:v>
      </x:c>
      <x:c r="DI111" s="1" t="n">
        <x:v>2.3</x:v>
      </x:c>
      <x:c r="DJ111" s="1" t="n">
        <x:v>3.44</x:v>
      </x:c>
      <x:c r="DK111" s="1" t="n">
        <x:v>0.66</x:v>
      </x:c>
      <x:c r="DL111" s="1" t="n">
        <x:v>12.51</x:v>
      </x:c>
      <x:c r="DM111" s="1" t="n">
        <x:v>2.85</x:v>
      </x:c>
    </x:row>
    <x:row r="112" ht="23" customHeight="1">
      <x:c r="A112" s="1" t="n">
        <x:v>107</x:v>
      </x:c>
      <x:c r="B112" s="1" t="str">
        <x:v>丁二酸二乙酯</x:v>
      </x:c>
      <x:c r="C112" s="1" t="str">
        <x:v>123-25-1</x:v>
      </x:c>
      <x:c r="D112" s="1" t="n">
        <x:v>353193</x:v>
      </x:c>
      <x:c r="E112" s="1" t="n">
        <x:v>1715</x:v>
      </x:c>
      <x:c r="F112" s="1" t="n">
        <x:v>1276</x:v>
      </x:c>
      <x:c r="G112" s="1"/>
      <x:c r="H112" s="1"/>
      <x:c r="I112" s="1"/>
      <x:c r="J112" s="1"/>
      <x:c r="K112" s="1"/>
      <x:c r="L112" s="1"/>
      <x:c r="M112" s="1"/>
      <x:c r="N112" s="1" t="n">
        <x:v>1593</x:v>
      </x:c>
      <x:c r="O112" s="1" t="n">
        <x:v>2337</x:v>
      </x:c>
      <x:c r="P112" s="1" t="n">
        <x:v>2677</x:v>
      </x:c>
      <x:c r="Q112" s="1" t="n">
        <x:v>2684</x:v>
      </x:c>
      <x:c r="R112" s="1" t="n">
        <x:v>2316</x:v>
      </x:c>
      <x:c r="S112" s="1" t="n">
        <x:v>2126</x:v>
      </x:c>
      <x:c r="T112" s="1"/>
      <x:c r="U112" s="1"/>
      <x:c r="V112" s="1" t="n">
        <x:v>1.625</x:v>
      </x:c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 t="n">
        <x:v>40</x:v>
      </x:c>
      <x:c r="AI112" s="1" t="n">
        <x:v>40</x:v>
      </x:c>
      <x:c r="AJ112" s="1" t="n">
        <x:v>70</x:v>
      </x:c>
      <x:c r="AK112" s="1" t="n">
        <x:v>7430</x:v>
      </x:c>
      <x:c r="AL112" s="1" t="n">
        <x:v>5040</x:v>
      </x:c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 t="n">
        <x:v>7900.5</x:v>
      </x:c>
      <x:c r="AW112" s="1" t="n">
        <x:v>1</x:v>
      </x:c>
      <x:c r="AX112" s="1" t="n">
        <x:v>0</x:v>
      </x:c>
      <x:c r="AY112" s="1" t="n">
        <x:v>0</x:v>
      </x:c>
      <x:c r="AZ112" s="1"/>
      <x:c r="BA112" s="1"/>
      <x:c r="BB112" s="1" t="n">
        <x:v>1747</x:v>
      </x:c>
      <x:c r="BC112" s="1" t="n">
        <x:v>1</x:v>
      </x:c>
      <x:c r="BD112" s="1" t="n">
        <x:v>4.36</x:v>
      </x:c>
      <x:c r="BE112" s="1" t="n">
        <x:v>5.305</x:v>
      </x:c>
      <x:c r="BF112" s="1" t="n">
        <x:v>5.18</x:v>
      </x:c>
      <x:c r="BG112" s="1" t="n">
        <x:v>3.34</x:v>
      </x:c>
      <x:c r="BH112" s="1" t="n">
        <x:v>7628</x:v>
      </x:c>
      <x:c r="BI112" s="1" t="n">
        <x:v>3.52</x:v>
      </x:c>
      <x:c r="BJ112" s="1" t="n">
        <x:v>1467</x:v>
      </x:c>
      <x:c r="BK112" s="1" t="n">
        <x:v>47.04</x:v>
      </x:c>
      <x:c r="BL112" s="1" t="n">
        <x:v>20.85</x:v>
      </x:c>
      <x:c r="BM112" s="1" t="n">
        <x:v>19.36</x:v>
      </x:c>
      <x:c r="BN112" s="1" t="n">
        <x:v>16.72</x:v>
      </x:c>
      <x:c r="BO112" s="1" t="n">
        <x:v>26.04</x:v>
      </x:c>
      <x:c r="BP112" s="1" t="n">
        <x:v>2219</x:v>
      </x:c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 t="n">
        <x:v>102.635</x:v>
      </x:c>
      <x:c r="CA112" s="1" t="n">
        <x:v>70.025</x:v>
      </x:c>
      <x:c r="CB112" s="1" t="n">
        <x:v>240.17</x:v>
      </x:c>
      <x:c r="CC112" s="1" t="n">
        <x:v>361.7</x:v>
      </x:c>
      <x:c r="CD112" s="1" t="n">
        <x:v>339.83</x:v>
      </x:c>
      <x:c r="CE112" s="1" t="n">
        <x:v>323.04</x:v>
      </x:c>
      <x:c r="CF112" s="1" t="n">
        <x:v>250.37</x:v>
      </x:c>
      <x:c r="CG112" s="1" t="n">
        <x:v>145.11</x:v>
      </x:c>
      <x:c r="CH112" s="1" t="n">
        <x:v>115.67</x:v>
      </x:c>
      <x:c r="CI112" s="1" t="n">
        <x:v>390.47</x:v>
      </x:c>
      <x:c r="CJ112" s="1" t="n">
        <x:v>332.11</x:v>
      </x:c>
      <x:c r="CK112" s="1" t="n">
        <x:v>327.94</x:v>
      </x:c>
      <x:c r="CL112" s="1" t="n">
        <x:v>309.82</x:v>
      </x:c>
      <x:c r="CM112" s="1" t="n">
        <x:v>281.13</x:v>
      </x:c>
      <x:c r="CN112" s="1" t="n">
        <x:v>99</x:v>
      </x:c>
      <x:c r="CO112" s="1" t="n">
        <x:v>209</x:v>
      </x:c>
      <x:c r="CP112" s="1" t="n">
        <x:v>103</x:v>
      </x:c>
      <x:c r="CQ112" s="1" t="n">
        <x:v>128</x:v>
      </x:c>
      <x:c r="CR112" s="1" t="n">
        <x:v>990.09</x:v>
      </x:c>
      <x:c r="CS112" s="1" t="n">
        <x:v>963.06</x:v>
      </x:c>
      <x:c r="CT112" s="1"/>
      <x:c r="CU112" s="1"/>
      <x:c r="CV112" s="1"/>
      <x:c r="CW112" s="1"/>
      <x:c r="CX112" s="1" t="n">
        <x:v>5934.32</x:v>
      </x:c>
      <x:c r="CY112" s="1" t="n">
        <x:v>3415.76</x:v>
      </x:c>
      <x:c r="CZ112" s="1" t="n">
        <x:v>2716.48</x:v>
      </x:c>
      <x:c r="DA112" s="1" t="n">
        <x:v>995.44</x:v>
      </x:c>
      <x:c r="DB112" s="1" t="n">
        <x:v>2952.11</x:v>
      </x:c>
      <x:c r="DC112" s="1" t="n">
        <x:v>6015.32</x:v>
      </x:c>
      <x:c r="DD112" s="1" t="n">
        <x:v>9184.21</x:v>
      </x:c>
      <x:c r="DE112" s="1" t="n">
        <x:v>3518.79</x:v>
      </x:c>
      <x:c r="DF112" s="1" t="n">
        <x:v>787.62</x:v>
      </x:c>
      <x:c r="DG112" s="1" t="n">
        <x:v>3666.49</x:v>
      </x:c>
      <x:c r="DH112" s="1" t="n">
        <x:v>1171.35</x:v>
      </x:c>
      <x:c r="DI112" s="1" t="n">
        <x:v>2094.95</x:v>
      </x:c>
      <x:c r="DJ112" s="1" t="n">
        <x:v>872.08</x:v>
      </x:c>
      <x:c r="DK112" s="1" t="n">
        <x:v>3256.28</x:v>
      </x:c>
      <x:c r="DL112" s="1" t="n">
        <x:v>2852.32</x:v>
      </x:c>
      <x:c r="DM112" s="1" t="n">
        <x:v>9158.61</x:v>
      </x:c>
    </x:row>
    <x:row r="113" ht="23" customHeight="1">
      <x:c r="A113" s="1" t="n">
        <x:v>108</x:v>
      </x:c>
      <x:c r="B113" s="1" t="str">
        <x:v>壬酸乙酯</x:v>
      </x:c>
      <x:c r="C113" s="1" t="str">
        <x:v>123-29-5</x:v>
      </x:c>
      <x:c r="D113" s="1"/>
      <x:c r="E113" s="1"/>
      <x:c r="F113" s="1"/>
      <x:c r="G113" s="1"/>
      <x:c r="H113" s="1" t="n">
        <x:v>112.1</x:v>
      </x:c>
      <x:c r="I113" s="1" t="n">
        <x:v>6.56</x:v>
      </x:c>
      <x:c r="J113" s="1" t="n">
        <x:v>2.26</x:v>
      </x:c>
      <x:c r="K113" s="1" t="n">
        <x:v>1.34</x:v>
      </x:c>
      <x:c r="L113" s="1"/>
      <x:c r="M113" s="1"/>
      <x:c r="N113" s="1" t="n">
        <x:v>28989</x:v>
      </x:c>
      <x:c r="O113" s="1" t="n">
        <x:v>25755</x:v>
      </x:c>
      <x:c r="P113" s="1" t="n">
        <x:v>27996</x:v>
      </x:c>
      <x:c r="Q113" s="1" t="n">
        <x:v>19477</x:v>
      </x:c>
      <x:c r="R113" s="1" t="n">
        <x:v>25425</x:v>
      </x:c>
      <x:c r="S113" s="1" t="n">
        <x:v>21802</x:v>
      </x:c>
      <x:c r="T113" s="1" t="n">
        <x:v>0</x:v>
      </x:c>
      <x:c r="U113" s="1" t="n">
        <x:v>0</x:v>
      </x:c>
      <x:c r="V113" s="1"/>
      <x:c r="W113" s="1" t="n">
        <x:v>5730</x:v>
      </x:c>
      <x:c r="X113" s="1" t="n">
        <x:v>1940</x:v>
      </x:c>
      <x:c r="Y113" s="1" t="n">
        <x:v>4260</x:v>
      </x:c>
      <x:c r="Z113" s="1" t="n">
        <x:v>2570</x:v>
      </x:c>
      <x:c r="AA113" s="1" t="n">
        <x:v>7010</x:v>
      </x:c>
      <x:c r="AB113" s="1" t="n">
        <x:v>2390</x:v>
      </x:c>
      <x:c r="AC113" s="1" t="n">
        <x:v>5510</x:v>
      </x:c>
      <x:c r="AD113" s="1"/>
      <x:c r="AE113" s="1"/>
      <x:c r="AF113" s="1"/>
      <x:c r="AG113" s="1"/>
      <x:c r="AH113" s="1"/>
      <x:c r="AI113" s="1"/>
      <x:c r="AJ113" s="1"/>
      <x:c r="AK113" s="1" t="n">
        <x:v>1540</x:v>
      </x:c>
      <x:c r="AL113" s="1" t="n">
        <x:v>1610</x:v>
      </x:c>
      <x:c r="AM113" s="1" t="n">
        <x:v>2410</x:v>
      </x:c>
      <x:c r="AN113" s="1" t="n">
        <x:v>320</x:v>
      </x:c>
      <x:c r="AO113" s="1" t="n">
        <x:v>390</x:v>
      </x:c>
      <x:c r="AP113" s="1" t="n">
        <x:v>1590</x:v>
      </x:c>
      <x:c r="AQ113" s="1" t="n">
        <x:v>5.67</x:v>
      </x:c>
      <x:c r="AR113" s="1" t="n">
        <x:v>3.62</x:v>
      </x:c>
      <x:c r="AS113" s="1" t="n">
        <x:v>2.26</x:v>
      </x:c>
      <x:c r="AT113" s="1" t="n">
        <x:v>2.78</x:v>
      </x:c>
      <x:c r="AU113" s="1"/>
      <x:c r="AV113" s="1"/>
      <x:c r="AW113" s="1"/>
      <x:c r="AX113" s="1"/>
      <x:c r="AY113" s="1"/>
      <x:c r="AZ113" s="1"/>
      <x:c r="BA113" s="1"/>
      <x:c r="BB113" s="1" t="n">
        <x:v>547.12</x:v>
      </x:c>
      <x:c r="BC113" s="1" t="n">
        <x:v>1</x:v>
      </x:c>
      <x:c r="BD113" s="1" t="n">
        <x:v>491.62</x:v>
      </x:c>
      <x:c r="BE113" s="1" t="n">
        <x:v>618.5</x:v>
      </x:c>
      <x:c r="BF113" s="1" t="n">
        <x:v>480.15</x:v>
      </x:c>
      <x:c r="BG113" s="1" t="n">
        <x:v>262.61</x:v>
      </x:c>
      <x:c r="BH113" s="1" t="n">
        <x:v>2827</x:v>
      </x:c>
      <x:c r="BI113" s="1" t="n">
        <x:v>244.33</x:v>
      </x:c>
      <x:c r="BJ113" s="1" t="n">
        <x:v>684.02</x:v>
      </x:c>
      <x:c r="BK113" s="1" t="n">
        <x:v>2171.23</x:v>
      </x:c>
      <x:c r="BL113" s="1" t="n">
        <x:v>2336.99</x:v>
      </x:c>
      <x:c r="BM113" s="1" t="n">
        <x:v>3106.01</x:v>
      </x:c>
      <x:c r="BN113" s="1" t="n">
        <x:v>2927.11</x:v>
      </x:c>
      <x:c r="BO113" s="1" t="n">
        <x:v>2821.98</x:v>
      </x:c>
      <x:c r="BP113" s="1" t="n">
        <x:v>1223.89</x:v>
      </x:c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 t="n">
        <x:v>575.345</x:v>
      </x:c>
      <x:c r="CA113" s="1" t="n">
        <x:v>512.39</x:v>
      </x:c>
      <x:c r="CB113" s="1" t="n">
        <x:v>1385.42</x:v>
      </x:c>
      <x:c r="CC113" s="1" t="n">
        <x:v>1568.36</x:v>
      </x:c>
      <x:c r="CD113" s="1" t="n">
        <x:v>2574.71</x:v>
      </x:c>
      <x:c r="CE113" s="1" t="n">
        <x:v>1496.32</x:v>
      </x:c>
      <x:c r="CF113" s="1" t="n">
        <x:v>1440.31</x:v>
      </x:c>
      <x:c r="CG113" s="1" t="n">
        <x:v>411.99</x:v>
      </x:c>
      <x:c r="CH113" s="1" t="n">
        <x:v>339.86</x:v>
      </x:c>
      <x:c r="CI113" s="1" t="n">
        <x:v>2156.1</x:v>
      </x:c>
      <x:c r="CJ113" s="1" t="n">
        <x:v>1654.87</x:v>
      </x:c>
      <x:c r="CK113" s="1" t="n">
        <x:v>2433.43</x:v>
      </x:c>
      <x:c r="CL113" s="1" t="n">
        <x:v>1493.18</x:v>
      </x:c>
      <x:c r="CM113" s="1"/>
      <x:c r="CN113" s="1" t="n">
        <x:v>569</x:v>
      </x:c>
      <x:c r="CO113" s="1" t="n">
        <x:v>1476</x:v>
      </x:c>
      <x:c r="CP113" s="1" t="n">
        <x:v>771</x:v>
      </x:c>
      <x:c r="CQ113" s="1" t="n">
        <x:v>875</x:v>
      </x:c>
      <x:c r="CR113" s="1" t="n">
        <x:v>168.05</x:v>
      </x:c>
      <x:c r="CS113" s="1" t="n">
        <x:v>327.82</x:v>
      </x:c>
      <x:c r="CT113" s="1" t="n">
        <x:v>98.37</x:v>
      </x:c>
      <x:c r="CU113" s="1" t="n">
        <x:v>73.77</x:v>
      </x:c>
      <x:c r="CV113" s="1" t="n">
        <x:v>113.02</x:v>
      </x:c>
      <x:c r="CW113" s="1" t="n">
        <x:v>84.59</x:v>
      </x:c>
      <x:c r="CX113" s="1" t="n">
        <x:v>1115.86</x:v>
      </x:c>
      <x:c r="CY113" s="1" t="n">
        <x:v>12982.1</x:v>
      </x:c>
      <x:c r="CZ113" s="1" t="n">
        <x:v>7855.67</x:v>
      </x:c>
      <x:c r="DA113" s="1" t="n">
        <x:v>5752.52</x:v>
      </x:c>
      <x:c r="DB113" s="1" t="n">
        <x:v>5794.88</x:v>
      </x:c>
      <x:c r="DC113" s="1" t="n">
        <x:v>2898.25</x:v>
      </x:c>
      <x:c r="DD113" s="1" t="n">
        <x:v>11579.37</x:v>
      </x:c>
      <x:c r="DE113" s="1" t="n">
        <x:v>1424.78</x:v>
      </x:c>
      <x:c r="DF113" s="1" t="n">
        <x:v>2805.47</x:v>
      </x:c>
      <x:c r="DG113" s="1" t="n">
        <x:v>7593.4</x:v>
      </x:c>
      <x:c r="DH113" s="1" t="n">
        <x:v>9928.89</x:v>
      </x:c>
      <x:c r="DI113" s="1" t="n">
        <x:v>2237.3</x:v>
      </x:c>
      <x:c r="DJ113" s="1" t="n">
        <x:v>3969.06</x:v>
      </x:c>
      <x:c r="DK113" s="1" t="n">
        <x:v>3681.54</x:v>
      </x:c>
      <x:c r="DL113" s="1" t="n">
        <x:v>35211.96</x:v>
      </x:c>
      <x:c r="DM113" s="1" t="n">
        <x:v>4426.63</x:v>
      </x:c>
    </x:row>
    <x:row r="114" ht="23" customHeight="1">
      <x:c r="A114" s="1" t="n">
        <x:v>109</x:v>
      </x:c>
      <x:c r="B114" s="1" t="str">
        <x:v>丙醛</x:v>
      </x:c>
      <x:c r="C114" s="1" t="str">
        <x:v>123-38-6</x:v>
      </x:c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 t="n">
        <x:v>830</x:v>
      </x:c>
      <x:c r="AI114" s="1" t="n">
        <x:v>1140</x:v>
      </x:c>
      <x:c r="AJ114" s="1" t="n">
        <x:v>2100</x:v>
      </x:c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  <x:c r="DE114" s="1"/>
      <x:c r="DF114" s="1"/>
      <x:c r="DG114" s="1"/>
      <x:c r="DH114" s="1"/>
      <x:c r="DI114" s="1"/>
      <x:c r="DJ114" s="1"/>
      <x:c r="DK114" s="1"/>
      <x:c r="DL114" s="1"/>
      <x:c r="DM114" s="1"/>
    </x:row>
    <x:row r="115" ht="23" customHeight="1">
      <x:c r="A115" s="1" t="n">
        <x:v>110</x:v>
      </x:c>
      <x:c r="B115" s="1" t="str">
        <x:v>3-甲基-1-丁醇（异戊醇）</x:v>
      </x:c>
      <x:c r="C115" s="1" t="str">
        <x:v>123-51-3</x:v>
      </x:c>
      <x:c r="D115" s="1" t="n">
        <x:v>179191</x:v>
      </x:c>
      <x:c r="E115" s="1" t="n">
        <x:v>142068</x:v>
      </x:c>
      <x:c r="F115" s="1" t="n">
        <x:v>84178</x:v>
      </x:c>
      <x:c r="G115" s="1" t="n">
        <x:v>3.73</x:v>
      </x:c>
      <x:c r="H115" s="1"/>
      <x:c r="I115" s="1" t="n">
        <x:v>0.59</x:v>
      </x:c>
      <x:c r="J115" s="1" t="n">
        <x:v>31.74</x:v>
      </x:c>
      <x:c r="K115" s="1" t="n">
        <x:v>34.52</x:v>
      </x:c>
      <x:c r="L115" s="1" t="n">
        <x:v>379229</x:v>
      </x:c>
      <x:c r="M115" s="1" t="n">
        <x:v>316720</x:v>
      </x:c>
      <x:c r="N115" s="1"/>
      <x:c r="O115" s="1"/>
      <x:c r="P115" s="1"/>
      <x:c r="Q115" s="1"/>
      <x:c r="R115" s="1"/>
      <x:c r="S115" s="1"/>
      <x:c r="T115" s="1" t="n">
        <x:v>2</x:v>
      </x:c>
      <x:c r="U115" s="1" t="n">
        <x:v>1</x:v>
      </x:c>
      <x:c r="V115" s="1"/>
      <x:c r="W115" s="1" t="n">
        <x:v>372000</x:v>
      </x:c>
      <x:c r="X115" s="1" t="n">
        <x:v>226000</x:v>
      </x:c>
      <x:c r="Y115" s="1" t="n">
        <x:v>196000</x:v>
      </x:c>
      <x:c r="Z115" s="1" t="n">
        <x:v>202000</x:v>
      </x:c>
      <x:c r="AA115" s="1" t="n">
        <x:v>188000</x:v>
      </x:c>
      <x:c r="AB115" s="1" t="n">
        <x:v>170000</x:v>
      </x:c>
      <x:c r="AC115" s="1" t="n">
        <x:v>118000</x:v>
      </x:c>
      <x:c r="AD115" s="1" t="n">
        <x:v>79100</x:v>
      </x:c>
      <x:c r="AE115" s="1" t="n">
        <x:v>301360</x:v>
      </x:c>
      <x:c r="AF115" s="1" t="n">
        <x:v>294960</x:v>
      </x:c>
      <x:c r="AG115" s="1" t="n">
        <x:v>70655</x:v>
      </x:c>
      <x:c r="AH115" s="1" t="n">
        <x:v>7930</x:v>
      </x:c>
      <x:c r="AI115" s="1" t="n">
        <x:v>29840</x:v>
      </x:c>
      <x:c r="AJ115" s="1" t="n">
        <x:v>18300</x:v>
      </x:c>
      <x:c r="AK115" s="1" t="n">
        <x:v>543310</x:v>
      </x:c>
      <x:c r="AL115" s="1" t="n">
        <x:v>1132450</x:v>
      </x:c>
      <x:c r="AM115" s="1"/>
      <x:c r="AN115" s="1"/>
      <x:c r="AO115" s="1"/>
      <x:c r="AP115" s="1"/>
      <x:c r="AQ115" s="1" t="n">
        <x:v>180.29</x:v>
      </x:c>
      <x:c r="AR115" s="1" t="n">
        <x:v>130.5</x:v>
      </x:c>
      <x:c r="AS115" s="1" t="n">
        <x:v>96.75</x:v>
      </x:c>
      <x:c r="AT115" s="1" t="n">
        <x:v>77.13</x:v>
      </x:c>
      <x:c r="AU115" s="1" t="n">
        <x:v>1710.45</x:v>
      </x:c>
      <x:c r="AV115" s="1" t="n">
        <x:v>29033.6667</x:v>
      </x:c>
      <x:c r="AW115" s="1" t="n">
        <x:v>1</x:v>
      </x:c>
      <x:c r="AX115" s="1" t="n">
        <x:v>61100.3333</x:v>
      </x:c>
      <x:c r="AY115" s="1" t="n">
        <x:v>90450</x:v>
      </x:c>
      <x:c r="AZ115" s="1"/>
      <x:c r="BA115" s="1"/>
      <x:c r="BB115" s="1" t="n">
        <x:v>193.12</x:v>
      </x:c>
      <x:c r="BC115" s="1"/>
      <x:c r="BD115" s="1" t="n">
        <x:v>245.12</x:v>
      </x:c>
      <x:c r="BE115" s="1" t="n">
        <x:v>278.12</x:v>
      </x:c>
      <x:c r="BF115" s="1" t="n">
        <x:v>242.89</x:v>
      </x:c>
      <x:c r="BG115" s="1" t="n">
        <x:v>181.43</x:v>
      </x:c>
      <x:c r="BH115" s="1" t="n">
        <x:v>230.51</x:v>
      </x:c>
      <x:c r="BI115" s="1" t="n">
        <x:v>169.23</x:v>
      </x:c>
      <x:c r="BJ115" s="1" t="n">
        <x:v>73.01</x:v>
      </x:c>
      <x:c r="BK115" s="1" t="n">
        <x:v>585.37</x:v>
      </x:c>
      <x:c r="BL115" s="1" t="n">
        <x:v>451.89</x:v>
      </x:c>
      <x:c r="BM115" s="1" t="n">
        <x:v>612.33</x:v>
      </x:c>
      <x:c r="BN115" s="1" t="n">
        <x:v>532.23</x:v>
      </x:c>
      <x:c r="BO115" s="1" t="n">
        <x:v>586.72</x:v>
      </x:c>
      <x:c r="BP115" s="1" t="n">
        <x:v>374.73</x:v>
      </x:c>
      <x:c r="BQ115" s="1" t="n">
        <x:v>705500</x:v>
      </x:c>
      <x:c r="BR115" s="1" t="n">
        <x:v>462000</x:v>
      </x:c>
      <x:c r="BS115" s="1" t="n">
        <x:v>378300</x:v>
      </x:c>
      <x:c r="BT115" s="1" t="n">
        <x:v>411600</x:v>
      </x:c>
      <x:c r="BU115" s="1" t="n">
        <x:v>217200</x:v>
      </x:c>
      <x:c r="BV115" s="1" t="n">
        <x:v>316900</x:v>
      </x:c>
      <x:c r="BW115" s="1" t="n">
        <x:v>169600</x:v>
      </x:c>
      <x:c r="BX115" s="1" t="n">
        <x:v>357500</x:v>
      </x:c>
      <x:c r="BY115" s="1" t="n">
        <x:v>165800</x:v>
      </x:c>
      <x:c r="BZ115" s="1" t="n">
        <x:v>142.23</x:v>
      </x:c>
      <x:c r="CA115" s="1" t="n">
        <x:v>132.53</x:v>
      </x:c>
      <x:c r="CB115" s="1" t="n">
        <x:v>265.37</x:v>
      </x:c>
      <x:c r="CC115" s="1" t="n">
        <x:v>133.32</x:v>
      </x:c>
      <x:c r="CD115" s="1" t="n">
        <x:v>305.57</x:v>
      </x:c>
      <x:c r="CE115" s="1" t="n">
        <x:v>256.65</x:v>
      </x:c>
      <x:c r="CF115" s="1" t="n">
        <x:v>292.03</x:v>
      </x:c>
      <x:c r="CG115" s="1" t="n">
        <x:v>104.05</x:v>
      </x:c>
      <x:c r="CH115" s="1" t="n">
        <x:v>123.51</x:v>
      </x:c>
      <x:c r="CI115" s="1" t="n">
        <x:v>280.56</x:v>
      </x:c>
      <x:c r="CJ115" s="1" t="n">
        <x:v>308.33</x:v>
      </x:c>
      <x:c r="CK115" s="1" t="n">
        <x:v>264</x:v>
      </x:c>
      <x:c r="CL115" s="1" t="n">
        <x:v>268.84</x:v>
      </x:c>
      <x:c r="CM115" s="1" t="n">
        <x:v>229.9</x:v>
      </x:c>
      <x:c r="CN115" s="1"/>
      <x:c r="CO115" s="1"/>
      <x:c r="CP115" s="1"/>
      <x:c r="CQ115" s="1"/>
      <x:c r="CR115" s="1" t="n">
        <x:v>144692</x:v>
      </x:c>
      <x:c r="CS115" s="1" t="n">
        <x:v>158011</x:v>
      </x:c>
      <x:c r="CT115" s="1" t="n">
        <x:v>1466.41</x:v>
      </x:c>
      <x:c r="CU115" s="1" t="n">
        <x:v>1075.24</x:v>
      </x:c>
      <x:c r="CV115" s="1" t="n">
        <x:v>1545.967</x:v>
      </x:c>
      <x:c r="CW115" s="1" t="n">
        <x:v>1693.07</x:v>
      </x:c>
      <x:c r="CX115" s="1" t="n">
        <x:v>77286.36</x:v>
      </x:c>
      <x:c r="CY115" s="1" t="n">
        <x:v>72516.37</x:v>
      </x:c>
      <x:c r="CZ115" s="1" t="n">
        <x:v>70460.39</x:v>
      </x:c>
      <x:c r="DA115" s="1" t="n">
        <x:v>6334.31</x:v>
      </x:c>
      <x:c r="DB115" s="1" t="n">
        <x:v>75556.69</x:v>
      </x:c>
      <x:c r="DC115" s="1" t="n">
        <x:v>54302.29</x:v>
      </x:c>
      <x:c r="DD115" s="1" t="n">
        <x:v>86930.8</x:v>
      </x:c>
      <x:c r="DE115" s="1" t="n">
        <x:v>70195.68</x:v>
      </x:c>
      <x:c r="DF115" s="1" t="n">
        <x:v>127468.24</x:v>
      </x:c>
      <x:c r="DG115" s="1" t="n">
        <x:v>51111.14</x:v>
      </x:c>
      <x:c r="DH115" s="1" t="n">
        <x:v>106538.92</x:v>
      </x:c>
      <x:c r="DI115" s="1" t="n">
        <x:v>78724.91</x:v>
      </x:c>
      <x:c r="DJ115" s="1" t="n">
        <x:v>96718.98</x:v>
      </x:c>
      <x:c r="DK115" s="1" t="n">
        <x:v>43622.21</x:v>
      </x:c>
      <x:c r="DL115" s="1" t="n">
        <x:v>156792.75</x:v>
      </x:c>
      <x:c r="DM115" s="1" t="n">
        <x:v>62236.9</x:v>
      </x:c>
    </x:row>
    <x:row r="116" ht="23" customHeight="1">
      <x:c r="A116" s="1" t="n">
        <x:v>111</x:v>
      </x:c>
      <x:c r="B116" s="1" t="str">
        <x:v>己酸乙酯</x:v>
      </x:c>
      <x:c r="C116" s="1" t="str">
        <x:v>123-66-0</x:v>
      </x:c>
      <x:c r="D116" s="1" t="n">
        <x:v>55.3</x:v>
      </x:c>
      <x:c r="E116" s="1" t="n">
        <x:v>1487026</x:v>
      </x:c>
      <x:c r="F116" s="1" t="n">
        <x:v>7606936</x:v>
      </x:c>
      <x:c r="G116" s="1" t="n">
        <x:v>5320.56</x:v>
      </x:c>
      <x:c r="H116" s="1" t="n">
        <x:v>972.62</x:v>
      </x:c>
      <x:c r="I116" s="1" t="n">
        <x:v>1104.58</x:v>
      </x:c>
      <x:c r="J116" s="1" t="n">
        <x:v>6009.12</x:v>
      </x:c>
      <x:c r="K116" s="1" t="n">
        <x:v>918.62</x:v>
      </x:c>
      <x:c r="L116" s="1" t="n">
        <x:v>873258</x:v>
      </x:c>
      <x:c r="M116" s="1" t="n">
        <x:v>738302</x:v>
      </x:c>
      <x:c r="N116" s="1" t="n">
        <x:v>1170524</x:v>
      </x:c>
      <x:c r="O116" s="1" t="n">
        <x:v>1264031</x:v>
      </x:c>
      <x:c r="P116" s="1" t="n">
        <x:v>1261510</x:v>
      </x:c>
      <x:c r="Q116" s="1" t="n">
        <x:v>1206133</x:v>
      </x:c>
      <x:c r="R116" s="1" t="n">
        <x:v>1251237</x:v>
      </x:c>
      <x:c r="S116" s="1" t="n">
        <x:v>1217046</x:v>
      </x:c>
      <x:c r="T116" s="1" t="n">
        <x:v>53306</x:v>
      </x:c>
      <x:c r="U116" s="1" t="n">
        <x:v>44759</x:v>
      </x:c>
      <x:c r="V116" s="1"/>
      <x:c r="W116" s="1" t="n">
        <x:v>2559000</x:v>
      </x:c>
      <x:c r="X116" s="1" t="n">
        <x:v>1157000</x:v>
      </x:c>
      <x:c r="Y116" s="1" t="n">
        <x:v>1092000</x:v>
      </x:c>
      <x:c r="Z116" s="1" t="n">
        <x:v>879000</x:v>
      </x:c>
      <x:c r="AA116" s="1" t="n">
        <x:v>861000</x:v>
      </x:c>
      <x:c r="AB116" s="1" t="n">
        <x:v>679000</x:v>
      </x:c>
      <x:c r="AC116" s="1" t="n">
        <x:v>714000</x:v>
      </x:c>
      <x:c r="AD116" s="1" t="n">
        <x:v>421000</x:v>
      </x:c>
      <x:c r="AE116" s="1" t="n">
        <x:v>4506040</x:v>
      </x:c>
      <x:c r="AF116" s="1" t="n">
        <x:v>1661120</x:v>
      </x:c>
      <x:c r="AG116" s="1" t="n">
        <x:v>9622120</x:v>
      </x:c>
      <x:c r="AH116" s="1" t="n">
        <x:v>139920</x:v>
      </x:c>
      <x:c r="AI116" s="1"/>
      <x:c r="AJ116" s="1"/>
      <x:c r="AK116" s="1" t="n">
        <x:v>1070730</x:v>
      </x:c>
      <x:c r="AL116" s="1" t="n">
        <x:v>1223340</x:v>
      </x:c>
      <x:c r="AM116" s="1" t="n">
        <x:v>237410</x:v>
      </x:c>
      <x:c r="AN116" s="1" t="n">
        <x:v>248870</x:v>
      </x:c>
      <x:c r="AO116" s="1" t="n">
        <x:v>217810</x:v>
      </x:c>
      <x:c r="AP116" s="1" t="n">
        <x:v>215340</x:v>
      </x:c>
      <x:c r="AQ116" s="1" t="n">
        <x:v>4429.18</x:v>
      </x:c>
      <x:c r="AR116" s="1" t="n">
        <x:v>2674.13</x:v>
      </x:c>
      <x:c r="AS116" s="1" t="n">
        <x:v>2841.03</x:v>
      </x:c>
      <x:c r="AT116" s="1" t="n">
        <x:v>3044.75</x:v>
      </x:c>
      <x:c r="AU116" s="1" t="n">
        <x:v>1716.59</x:v>
      </x:c>
      <x:c r="AV116" s="1" t="n">
        <x:v>310006.5</x:v>
      </x:c>
      <x:c r="AW116" s="1" t="n">
        <x:v>23501</x:v>
      </x:c>
      <x:c r="AX116" s="1" t="n">
        <x:v>663994</x:v>
      </x:c>
      <x:c r="AY116" s="1" t="n">
        <x:v>402800</x:v>
      </x:c>
      <x:c r="AZ116" s="1" t="n">
        <x:v>22570</x:v>
      </x:c>
      <x:c r="BA116" s="1" t="n">
        <x:v>24350</x:v>
      </x:c>
      <x:c r="BB116" s="1" t="n">
        <x:v>882.91</x:v>
      </x:c>
      <x:c r="BC116" s="1" t="n">
        <x:v>42320.5</x:v>
      </x:c>
      <x:c r="BD116" s="1" t="n">
        <x:v>1227</x:v>
      </x:c>
      <x:c r="BE116" s="1" t="n">
        <x:v>18502.435</x:v>
      </x:c>
      <x:c r="BF116" s="1" t="n">
        <x:v>12030.56</x:v>
      </x:c>
      <x:c r="BG116" s="1" t="n">
        <x:v>833.64</x:v>
      </x:c>
      <x:c r="BH116" s="1" t="n">
        <x:v>1242</x:v>
      </x:c>
      <x:c r="BI116" s="1" t="n">
        <x:v>932.76</x:v>
      </x:c>
      <x:c r="BJ116" s="1" t="n">
        <x:v>1387.89</x:v>
      </x:c>
      <x:c r="BK116" s="1" t="n">
        <x:v>3765.12</x:v>
      </x:c>
      <x:c r="BL116" s="1" t="n">
        <x:v>4876.22</x:v>
      </x:c>
      <x:c r="BM116" s="1" t="n">
        <x:v>3731.34</x:v>
      </x:c>
      <x:c r="BN116" s="1" t="n">
        <x:v>5290</x:v>
      </x:c>
      <x:c r="BO116" s="1" t="n">
        <x:v>5649.12</x:v>
      </x:c>
      <x:c r="BP116" s="1" t="n">
        <x:v>1591</x:v>
      </x:c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 t="n">
        <x:v>43458.58</x:v>
      </x:c>
      <x:c r="CA116" s="1" t="n">
        <x:v>38153.7833</x:v>
      </x:c>
      <x:c r="CB116" s="1" t="n">
        <x:v>3062.4</x:v>
      </x:c>
      <x:c r="CC116" s="1" t="n">
        <x:v>2167.22</x:v>
      </x:c>
      <x:c r="CD116" s="1" t="n">
        <x:v>4487.77</x:v>
      </x:c>
      <x:c r="CE116" s="1" t="n">
        <x:v>3933.88</x:v>
      </x:c>
      <x:c r="CF116" s="1" t="n">
        <x:v>2893.43</x:v>
      </x:c>
      <x:c r="CG116" s="1" t="n">
        <x:v>2755.54</x:v>
      </x:c>
      <x:c r="CH116" s="1" t="n">
        <x:v>2264.64</x:v>
      </x:c>
      <x:c r="CI116" s="1" t="n">
        <x:v>6252.87</x:v>
      </x:c>
      <x:c r="CJ116" s="1" t="n">
        <x:v>9768.31</x:v>
      </x:c>
      <x:c r="CK116" s="1" t="n">
        <x:v>7100.35</x:v>
      </x:c>
      <x:c r="CL116" s="1" t="n">
        <x:v>3504.34</x:v>
      </x:c>
      <x:c r="CM116" s="1" t="n">
        <x:v>3762.84</x:v>
      </x:c>
      <x:c r="CN116" s="1" t="n">
        <x:v>1994140</x:v>
      </x:c>
      <x:c r="CO116" s="1" t="n">
        <x:v>2247632</x:v>
      </x:c>
      <x:c r="CP116" s="1" t="n">
        <x:v>1522349</x:v>
      </x:c>
      <x:c r="CQ116" s="1" t="n">
        <x:v>1650259</x:v>
      </x:c>
      <x:c r="CR116" s="1"/>
      <x:c r="CS116" s="1"/>
      <x:c r="CT116" s="1" t="n">
        <x:v>38457.74</x:v>
      </x:c>
      <x:c r="CU116" s="1" t="n">
        <x:v>24672.42</x:v>
      </x:c>
      <x:c r="CV116" s="1" t="n">
        <x:v>38680.71</x:v>
      </x:c>
      <x:c r="CW116" s="1" t="n">
        <x:v>35069.61</x:v>
      </x:c>
      <x:c r="CX116" s="1" t="n">
        <x:v>1267567.98</x:v>
      </x:c>
      <x:c r="CY116" s="1" t="n">
        <x:v>1574451.42</x:v>
      </x:c>
      <x:c r="CZ116" s="1" t="n">
        <x:v>1550172.11</x:v>
      </x:c>
      <x:c r="DA116" s="1" t="n">
        <x:v>1262054.68</x:v>
      </x:c>
      <x:c r="DB116" s="1" t="n">
        <x:v>1508633.18</x:v>
      </x:c>
      <x:c r="DC116" s="1" t="n">
        <x:v>1245618.62</x:v>
      </x:c>
      <x:c r="DD116" s="1" t="n">
        <x:v>1617237.25</x:v>
      </x:c>
      <x:c r="DE116" s="1" t="n">
        <x:v>1275952.74</x:v>
      </x:c>
      <x:c r="DF116" s="1" t="n">
        <x:v>1554592.27</x:v>
      </x:c>
      <x:c r="DG116" s="1" t="n">
        <x:v>1514600.27</x:v>
      </x:c>
      <x:c r="DH116" s="1" t="n">
        <x:v>1523605.62</x:v>
      </x:c>
      <x:c r="DI116" s="1" t="n">
        <x:v>1345945.06</x:v>
      </x:c>
      <x:c r="DJ116" s="1" t="n">
        <x:v>1533231.71</x:v>
      </x:c>
      <x:c r="DK116" s="1" t="n">
        <x:v>1316390.89</x:v>
      </x:c>
      <x:c r="DL116" s="1" t="n">
        <x:v>1690430.99</x:v>
      </x:c>
      <x:c r="DM116" s="1" t="n">
        <x:v>1413435.62</x:v>
      </x:c>
    </x:row>
    <x:row r="117" ht="23" customHeight="1">
      <x:c r="A117" s="1" t="n">
        <x:v>112</x:v>
      </x:c>
      <x:c r="B117" s="1" t="str">
        <x:v>己酸烯丙酯</x:v>
      </x:c>
      <x:c r="C117" s="1" t="str">
        <x:v>123-68-2</x:v>
      </x:c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 t="n">
        <x:v>77</x:v>
      </x:c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  <x:c r="DE117" s="1"/>
      <x:c r="DF117" s="1"/>
      <x:c r="DG117" s="1"/>
      <x:c r="DH117" s="1"/>
      <x:c r="DI117" s="1"/>
      <x:c r="DJ117" s="1"/>
      <x:c r="DK117" s="1"/>
      <x:c r="DL117" s="1"/>
      <x:c r="DM117" s="1"/>
    </x:row>
    <x:row r="118" ht="23" customHeight="1">
      <x:c r="A118" s="1" t="n">
        <x:v>113</x:v>
      </x:c>
      <x:c r="B118" s="1" t="str">
        <x:v>丁醛</x:v>
      </x:c>
      <x:c r="C118" s="1" t="str">
        <x:v>123-72-8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 t="n">
        <x:v>157</x:v>
      </x:c>
      <x:c r="R118" s="1" t="n">
        <x:v>324</x:v>
      </x:c>
      <x:c r="S118" s="1" t="n">
        <x:v>363</x:v>
      </x:c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 t="n">
        <x:v>1</x:v>
      </x:c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  <x:c r="DE118" s="1"/>
      <x:c r="DF118" s="1"/>
      <x:c r="DG118" s="1"/>
      <x:c r="DH118" s="1"/>
      <x:c r="DI118" s="1"/>
      <x:c r="DJ118" s="1"/>
      <x:c r="DK118" s="1"/>
      <x:c r="DL118" s="1"/>
      <x:c r="DM118" s="1"/>
    </x:row>
    <x:row r="119" ht="23" customHeight="1">
      <x:c r="A119" s="1" t="n">
        <x:v>114</x:v>
      </x:c>
      <x:c r="B119" s="1" t="str">
        <x:v>乙酸丁酯</x:v>
      </x:c>
      <x:c r="C119" s="1" t="str">
        <x:v>123-86-4</x:v>
      </x:c>
      <x:c r="D119" s="1" t="n">
        <x:v>1800</x:v>
      </x:c>
      <x:c r="E119" s="1"/>
      <x:c r="F119" s="1"/>
      <x:c r="G119" s="1"/>
      <x:c r="H119" s="1"/>
      <x:c r="I119" s="1"/>
      <x:c r="J119" s="1"/>
      <x:c r="K119" s="1"/>
      <x:c r="L119" s="1" t="n">
        <x:v>4971</x:v>
      </x:c>
      <x:c r="M119" s="1" t="n">
        <x:v>4316</x:v>
      </x:c>
      <x:c r="N119" s="1"/>
      <x:c r="O119" s="1"/>
      <x:c r="P119" s="1"/>
      <x:c r="Q119" s="1"/>
      <x:c r="R119" s="1"/>
      <x:c r="S119" s="1"/>
      <x:c r="T119" s="1"/>
      <x:c r="U119" s="1"/>
      <x:c r="V119" s="1"/>
      <x:c r="W119" s="1" t="n">
        <x:v>47100</x:v>
      </x:c>
      <x:c r="X119" s="1" t="n">
        <x:v>6420</x:v>
      </x:c>
      <x:c r="Y119" s="1" t="n">
        <x:v>4170</x:v>
      </x:c>
      <x:c r="Z119" s="1" t="n">
        <x:v>2920</x:v>
      </x:c>
      <x:c r="AA119" s="1" t="n">
        <x:v>2070</x:v>
      </x:c>
      <x:c r="AB119" s="1" t="n">
        <x:v>1390</x:v>
      </x:c>
      <x:c r="AC119" s="1" t="n">
        <x:v>625</x:v>
      </x:c>
      <x:c r="AD119" s="1" t="n">
        <x:v>431</x:v>
      </x:c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 t="n">
        <x:v>1865</x:v>
      </x:c>
      <x:c r="BA119" s="1" t="n">
        <x:v>2623</x:v>
      </x:c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 t="n">
        <x:v>9.45</x:v>
      </x:c>
      <x:c r="CS119" s="1" t="n">
        <x:v>486.19</x:v>
      </x:c>
      <x:c r="CT119" s="1"/>
      <x:c r="CU119" s="1"/>
      <x:c r="CV119" s="1"/>
      <x:c r="CW119" s="1"/>
      <x:c r="CX119" s="1" t="n">
        <x:v>3193.61</x:v>
      </x:c>
      <x:c r="CY119" s="1" t="n">
        <x:v>6287.21</x:v>
      </x:c>
      <x:c r="CZ119" s="1" t="n">
        <x:v>3102.28</x:v>
      </x:c>
      <x:c r="DA119" s="1" t="n">
        <x:v>1855.77</x:v>
      </x:c>
      <x:c r="DB119" s="1" t="n">
        <x:v>7222.92</x:v>
      </x:c>
      <x:c r="DC119" s="1" t="n">
        <x:v>2057.76</x:v>
      </x:c>
      <x:c r="DD119" s="1" t="n">
        <x:v>5983.94</x:v>
      </x:c>
      <x:c r="DE119" s="1" t="n">
        <x:v>3756.86</x:v>
      </x:c>
      <x:c r="DF119" s="1" t="n">
        <x:v>3470.58</x:v>
      </x:c>
      <x:c r="DG119" s="1" t="n">
        <x:v>1893.52</x:v>
      </x:c>
      <x:c r="DH119" s="1" t="n">
        <x:v>4203.57</x:v>
      </x:c>
      <x:c r="DI119" s="1" t="n">
        <x:v>2005.74</x:v>
      </x:c>
      <x:c r="DJ119" s="1" t="n">
        <x:v>5487.18</x:v>
      </x:c>
      <x:c r="DK119" s="1" t="n">
        <x:v>2017.62</x:v>
      </x:c>
      <x:c r="DL119" s="1" t="n">
        <x:v>7707.87</x:v>
      </x:c>
      <x:c r="DM119" s="1" t="n">
        <x:v>3869.22</x:v>
      </x:c>
    </x:row>
    <x:row r="120" ht="23" customHeight="1">
      <x:c r="A120" s="1" t="n">
        <x:v>115</x:v>
      </x:c>
      <x:c r="B120" s="1" t="str">
        <x:v>乙酸异戊酯</x:v>
      </x:c>
      <x:c r="C120" s="1" t="str">
        <x:v>123-92-2</x:v>
      </x:c>
      <x:c r="D120" s="1" t="n">
        <x:v>93.9</x:v>
      </x:c>
      <x:c r="E120" s="1"/>
      <x:c r="F120" s="1"/>
      <x:c r="G120" s="1"/>
      <x:c r="H120" s="1" t="n">
        <x:v>5.9</x:v>
      </x:c>
      <x:c r="I120" s="1"/>
      <x:c r="J120" s="1" t="n">
        <x:v>2.27</x:v>
      </x:c>
      <x:c r="K120" s="1"/>
      <x:c r="L120" s="1" t="n">
        <x:v>2885</x:v>
      </x:c>
      <x:c r="M120" s="1" t="n">
        <x:v>2236</x:v>
      </x:c>
      <x:c r="N120" s="1" t="n">
        <x:v>3519</x:v>
      </x:c>
      <x:c r="O120" s="1" t="n">
        <x:v>5488</x:v>
      </x:c>
      <x:c r="P120" s="1" t="n">
        <x:v>6410</x:v>
      </x:c>
      <x:c r="Q120" s="1" t="n">
        <x:v>5322</x:v>
      </x:c>
      <x:c r="R120" s="1" t="n">
        <x:v>5084</x:v>
      </x:c>
      <x:c r="S120" s="1" t="n">
        <x:v>6516</x:v>
      </x:c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 t="n">
        <x:v>4280</x:v>
      </x:c>
      <x:c r="AI120" s="1" t="n">
        <x:v>4060</x:v>
      </x:c>
      <x:c r="AJ120" s="1" t="n">
        <x:v>4200</x:v>
      </x:c>
      <x:c r="AK120" s="1"/>
      <x:c r="AL120" s="1"/>
      <x:c r="AM120" s="1"/>
      <x:c r="AN120" s="1"/>
      <x:c r="AO120" s="1"/>
      <x:c r="AP120" s="1"/>
      <x:c r="AQ120" s="1" t="n">
        <x:v>17.4</x:v>
      </x:c>
      <x:c r="AR120" s="1" t="n">
        <x:v>7.78</x:v>
      </x:c>
      <x:c r="AS120" s="1" t="n">
        <x:v>3.6</x:v>
      </x:c>
      <x:c r="AT120" s="1" t="n">
        <x:v>5.42</x:v>
      </x:c>
      <x:c r="AU120" s="1"/>
      <x:c r="AV120" s="1"/>
      <x:c r="AW120" s="1"/>
      <x:c r="AX120" s="1"/>
      <x:c r="AY120" s="1"/>
      <x:c r="AZ120" s="1"/>
      <x:c r="BA120" s="1" t="n">
        <x:v>5463</x:v>
      </x:c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 t="n">
        <x:v>25.81</x:v>
      </x:c>
      <x:c r="CA120" s="1" t="n">
        <x:v>24.4267</x:v>
      </x:c>
      <x:c r="CB120" s="1" t="n">
        <x:v>1.9</x:v>
      </x:c>
      <x:c r="CC120" s="1" t="n">
        <x:v>1.68</x:v>
      </x:c>
      <x:c r="CD120" s="1" t="n">
        <x:v>3.38</x:v>
      </x:c>
      <x:c r="CE120" s="1" t="n">
        <x:v>2.39</x:v>
      </x:c>
      <x:c r="CF120" s="1" t="n">
        <x:v>7.09</x:v>
      </x:c>
      <x:c r="CG120" s="1" t="n">
        <x:v>2.12</x:v>
      </x:c>
      <x:c r="CH120" s="1" t="n">
        <x:v>1.44</x:v>
      </x:c>
      <x:c r="CI120" s="1" t="n">
        <x:v>3.88</x:v>
      </x:c>
      <x:c r="CJ120" s="1" t="n">
        <x:v>3.34</x:v>
      </x:c>
      <x:c r="CK120" s="1" t="n">
        <x:v>5.98</x:v>
      </x:c>
      <x:c r="CL120" s="1" t="n">
        <x:v>5.42</x:v>
      </x:c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 t="n">
        <x:v>99.88</x:v>
      </x:c>
      <x:c r="CW120" s="1"/>
      <x:c r="CX120" s="1" t="n">
        <x:v>1498.64</x:v>
      </x:c>
      <x:c r="CY120" s="1" t="n">
        <x:v>1654.22</x:v>
      </x:c>
      <x:c r="CZ120" s="1" t="n">
        <x:v>1264.74</x:v>
      </x:c>
      <x:c r="DA120" s="1" t="n">
        <x:v>937.81</x:v>
      </x:c>
      <x:c r="DB120" s="1" t="n">
        <x:v>465.53</x:v>
      </x:c>
      <x:c r="DC120" s="1" t="n">
        <x:v>258.77</x:v>
      </x:c>
      <x:c r="DD120" s="1" t="n">
        <x:v>3831.42</x:v>
      </x:c>
      <x:c r="DE120" s="1" t="n">
        <x:v>1743.95</x:v>
      </x:c>
      <x:c r="DF120" s="1" t="n">
        <x:v>373.25</x:v>
      </x:c>
      <x:c r="DG120" s="1" t="n">
        <x:v>3737.21</x:v>
      </x:c>
      <x:c r="DH120" s="1" t="n">
        <x:v>631.63</x:v>
      </x:c>
      <x:c r="DI120" s="1" t="n">
        <x:v>466.35</x:v>
      </x:c>
      <x:c r="DJ120" s="1" t="n">
        <x:v>420.8</x:v>
      </x:c>
      <x:c r="DK120" s="1" t="n">
        <x:v>373.01</x:v>
      </x:c>
      <x:c r="DL120" s="1" t="n">
        <x:v>1375.17</x:v>
      </x:c>
      <x:c r="DM120" s="1" t="n">
        <x:v>1089.8</x:v>
      </x:c>
    </x:row>
    <x:row r="121" ht="23" customHeight="1">
      <x:c r="A121" s="1" t="n">
        <x:v>116</x:v>
      </x:c>
      <x:c r="B121" s="1" t="str">
        <x:v>十四酸乙酯</x:v>
      </x:c>
      <x:c r="C121" s="1" t="str">
        <x:v>124-06-1</x:v>
      </x:c>
      <x:c r="D121" s="1" t="n">
        <x:v>33551</x:v>
      </x:c>
      <x:c r="E121" s="1" t="n">
        <x:v>300</x:v>
      </x:c>
      <x:c r="F121" s="1" t="n">
        <x:v>731</x:v>
      </x:c>
      <x:c r="G121" s="1" t="n">
        <x:v>7.1</x:v>
      </x:c>
      <x:c r="H121" s="1" t="n">
        <x:v>143.35</x:v>
      </x:c>
      <x:c r="I121" s="1" t="n">
        <x:v>3.35</x:v>
      </x:c>
      <x:c r="J121" s="1" t="n">
        <x:v>7.4</x:v>
      </x:c>
      <x:c r="K121" s="1" t="n">
        <x:v>0.9</x:v>
      </x:c>
      <x:c r="L121" s="1"/>
      <x:c r="M121" s="1"/>
      <x:c r="N121" s="1" t="n">
        <x:v>23994</x:v>
      </x:c>
      <x:c r="O121" s="1" t="n">
        <x:v>19178</x:v>
      </x:c>
      <x:c r="P121" s="1" t="n">
        <x:v>17115</x:v>
      </x:c>
      <x:c r="Q121" s="1" t="n">
        <x:v>14210</x:v>
      </x:c>
      <x:c r="R121" s="1" t="n">
        <x:v>15430</x:v>
      </x:c>
      <x:c r="S121" s="1" t="n">
        <x:v>13204</x:v>
      </x:c>
      <x:c r="T121" s="1"/>
      <x:c r="U121" s="1"/>
      <x:c r="V121" s="1" t="n">
        <x:v>1.9167</x:v>
      </x:c>
      <x:c r="W121" s="1"/>
      <x:c r="X121" s="1"/>
      <x:c r="Y121" s="1"/>
      <x:c r="Z121" s="1"/>
      <x:c r="AA121" s="1"/>
      <x:c r="AB121" s="1"/>
      <x:c r="AC121" s="1"/>
      <x:c r="AD121" s="1"/>
      <x:c r="AE121" s="1" t="n">
        <x:v>6950</x:v>
      </x:c>
      <x:c r="AF121" s="1"/>
      <x:c r="AG121" s="1" t="n">
        <x:v>600</x:v>
      </x:c>
      <x:c r="AH121" s="1" t="n">
        <x:v>10</x:v>
      </x:c>
      <x:c r="AI121" s="1" t="n">
        <x:v>2</x:v>
      </x:c>
      <x:c r="AJ121" s="1"/>
      <x:c r="AK121" s="1" t="n">
        <x:v>27390</x:v>
      </x:c>
      <x:c r="AL121" s="1" t="n">
        <x:v>5980</x:v>
      </x:c>
      <x:c r="AM121" s="1"/>
      <x:c r="AN121" s="1"/>
      <x:c r="AO121" s="1"/>
      <x:c r="AP121" s="1"/>
      <x:c r="AQ121" s="1"/>
      <x:c r="AR121" s="1"/>
      <x:c r="AS121" s="1"/>
      <x:c r="AT121" s="1"/>
      <x:c r="AU121" s="1" t="n">
        <x:v>11.23</x:v>
      </x:c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 t="n">
        <x:v>659.46</x:v>
      </x:c>
      <x:c r="CU121" s="1" t="n">
        <x:v>751.73</x:v>
      </x:c>
      <x:c r="CV121" s="1" t="n">
        <x:v>551.01</x:v>
      </x:c>
      <x:c r="CW121" s="1" t="n">
        <x:v>485.37</x:v>
      </x:c>
      <x:c r="CX121" s="1" t="n">
        <x:v>1376.9</x:v>
      </x:c>
      <x:c r="CY121" s="1"/>
      <x:c r="CZ121" s="1" t="n">
        <x:v>1311.84</x:v>
      </x:c>
      <x:c r="DA121" s="1" t="n">
        <x:v>1526.5</x:v>
      </x:c>
      <x:c r="DB121" s="1" t="n">
        <x:v>1405.04</x:v>
      </x:c>
      <x:c r="DC121" s="1" t="n">
        <x:v>1052.27</x:v>
      </x:c>
      <x:c r="DD121" s="1" t="n">
        <x:v>1401.64</x:v>
      </x:c>
      <x:c r="DE121" s="1" t="n">
        <x:v>1016.66</x:v>
      </x:c>
      <x:c r="DF121" s="1"/>
      <x:c r="DG121" s="1" t="n">
        <x:v>811.93</x:v>
      </x:c>
      <x:c r="DH121" s="1" t="n">
        <x:v>634.01</x:v>
      </x:c>
      <x:c r="DI121" s="1" t="n">
        <x:v>1087.75</x:v>
      </x:c>
      <x:c r="DJ121" s="1" t="n">
        <x:v>749.69</x:v>
      </x:c>
      <x:c r="DK121" s="1" t="n">
        <x:v>662.71</x:v>
      </x:c>
      <x:c r="DL121" s="1" t="n">
        <x:v>1282.87</x:v>
      </x:c>
      <x:c r="DM121" s="1" t="n">
        <x:v>1674.01</x:v>
      </x:c>
    </x:row>
    <x:row r="122" ht="23" customHeight="1">
      <x:c r="A122" s="1" t="n">
        <x:v>117</x:v>
      </x:c>
      <x:c r="B122" s="1" t="str">
        <x:v>辛酸</x:v>
      </x:c>
      <x:c r="C122" s="1" t="str">
        <x:v>124-07-2</x:v>
      </x:c>
      <x:c r="D122" s="1" t="n">
        <x:v>2700</x:v>
      </x:c>
      <x:c r="E122" s="1" t="n">
        <x:v>5535</x:v>
      </x:c>
      <x:c r="F122" s="1" t="n">
        <x:v>25675</x:v>
      </x:c>
      <x:c r="G122" s="1"/>
      <x:c r="H122" s="1" t="n">
        <x:v>114.61</x:v>
      </x:c>
      <x:c r="I122" s="1" t="n">
        <x:v>15</x:v>
      </x:c>
      <x:c r="J122" s="1" t="n">
        <x:v>22.7</x:v>
      </x:c>
      <x:c r="K122" s="1" t="n">
        <x:v>9.45</x:v>
      </x:c>
      <x:c r="L122" s="1"/>
      <x:c r="M122" s="1"/>
      <x:c r="N122" s="1" t="n">
        <x:v>7760</x:v>
      </x:c>
      <x:c r="O122" s="1" t="n">
        <x:v>14749</x:v>
      </x:c>
      <x:c r="P122" s="1" t="n">
        <x:v>27998</x:v>
      </x:c>
      <x:c r="Q122" s="1" t="n">
        <x:v>15258</x:v>
      </x:c>
      <x:c r="R122" s="1" t="n">
        <x:v>21191</x:v>
      </x:c>
      <x:c r="S122" s="1" t="n">
        <x:v>12086</x:v>
      </x:c>
      <x:c r="T122" s="1" t="n">
        <x:v>6</x:v>
      </x:c>
      <x:c r="U122" s="1" t="n">
        <x:v>2</x:v>
      </x:c>
      <x:c r="V122" s="1" t="n">
        <x:v>1.875</x:v>
      </x:c>
      <x:c r="W122" s="1"/>
      <x:c r="X122" s="1"/>
      <x:c r="Y122" s="1"/>
      <x:c r="Z122" s="1"/>
      <x:c r="AA122" s="1"/>
      <x:c r="AB122" s="1"/>
      <x:c r="AC122" s="1"/>
      <x:c r="AD122" s="1"/>
      <x:c r="AE122" s="1" t="n">
        <x:v>18900</x:v>
      </x:c>
      <x:c r="AF122" s="1" t="n">
        <x:v>20030</x:v>
      </x:c>
      <x:c r="AG122" s="1" t="n">
        <x:v>12840</x:v>
      </x:c>
      <x:c r="AH122" s="1"/>
      <x:c r="AI122" s="1"/>
      <x:c r="AJ122" s="1"/>
      <x:c r="AK122" s="1" t="n">
        <x:v>21120</x:v>
      </x:c>
      <x:c r="AL122" s="1" t="n">
        <x:v>20600</x:v>
      </x:c>
      <x:c r="AM122" s="1"/>
      <x:c r="AN122" s="1"/>
      <x:c r="AO122" s="1"/>
      <x:c r="AP122" s="1"/>
      <x:c r="AQ122" s="1" t="n">
        <x:v>6.96</x:v>
      </x:c>
      <x:c r="AR122" s="1" t="n">
        <x:v>8.61</x:v>
      </x:c>
      <x:c r="AS122" s="1" t="n">
        <x:v>8.43</x:v>
      </x:c>
      <x:c r="AT122" s="1" t="n">
        <x:v>7.97</x:v>
      </x:c>
      <x:c r="AU122" s="1" t="n">
        <x:v>8.96</x:v>
      </x:c>
      <x:c r="AV122" s="1" t="n">
        <x:v>0</x:v>
      </x:c>
      <x:c r="AW122" s="1"/>
      <x:c r="AX122" s="1" t="n">
        <x:v>8553</x:v>
      </x:c>
      <x:c r="AY122" s="1" t="n">
        <x:v>0</x:v>
      </x:c>
      <x:c r="AZ122" s="1" t="n">
        <x:v>5031</x:v>
      </x:c>
      <x:c r="BA122" s="1" t="n">
        <x:v>17651</x:v>
      </x:c>
      <x:c r="BB122" s="1"/>
      <x:c r="BC122" s="1"/>
      <x:c r="BD122" s="1" t="n">
        <x:v>23.92</x:v>
      </x:c>
      <x:c r="BE122" s="1" t="n">
        <x:v>34.14</x:v>
      </x:c>
      <x:c r="BF122" s="1" t="n">
        <x:v>31.34</x:v>
      </x:c>
      <x:c r="BG122" s="1" t="n">
        <x:v>22.83</x:v>
      </x:c>
      <x:c r="BH122" s="1"/>
      <x:c r="BI122" s="1" t="n">
        <x:v>22.4</x:v>
      </x:c>
      <x:c r="BJ122" s="1"/>
      <x:c r="BK122" s="1" t="n">
        <x:v>34.18</x:v>
      </x:c>
      <x:c r="BL122" s="1" t="n">
        <x:v>16.36</x:v>
      </x:c>
      <x:c r="BM122" s="1" t="n">
        <x:v>33.85</x:v>
      </x:c>
      <x:c r="BN122" s="1" t="n">
        <x:v>16</x:v>
      </x:c>
      <x:c r="BO122" s="1" t="n">
        <x:v>38.28</x:v>
      </x:c>
      <x:c r="BP122" s="1"/>
      <x:c r="BQ122" s="1" t="n">
        <x:v>6400</x:v>
      </x:c>
      <x:c r="BR122" s="1" t="n">
        <x:v>19900</x:v>
      </x:c>
      <x:c r="BS122" s="1" t="n">
        <x:v>8400</x:v>
      </x:c>
      <x:c r="BT122" s="1" t="n">
        <x:v>5100</x:v>
      </x:c>
      <x:c r="BU122" s="1" t="n">
        <x:v>11300</x:v>
      </x:c>
      <x:c r="BV122" s="1" t="n">
        <x:v>2500</x:v>
      </x:c>
      <x:c r="BW122" s="1" t="n">
        <x:v>20400</x:v>
      </x:c>
      <x:c r="BX122" s="1" t="n">
        <x:v>7200</x:v>
      </x:c>
      <x:c r="BY122" s="1" t="n">
        <x:v>20700</x:v>
      </x:c>
      <x:c r="BZ122" s="1" t="n">
        <x:v>4118.82</x:v>
      </x:c>
      <x:c r="CA122" s="1" t="n">
        <x:v>4362.79</x:v>
      </x:c>
      <x:c r="CB122" s="1" t="n">
        <x:v>10704.27</x:v>
      </x:c>
      <x:c r="CC122" s="1" t="n">
        <x:v>19137.22</x:v>
      </x:c>
      <x:c r="CD122" s="1" t="n">
        <x:v>23109.01</x:v>
      </x:c>
      <x:c r="CE122" s="1" t="n">
        <x:v>17052.25</x:v>
      </x:c>
      <x:c r="CF122" s="1" t="n">
        <x:v>14804.59</x:v>
      </x:c>
      <x:c r="CG122" s="1" t="n">
        <x:v>2038.39</x:v>
      </x:c>
      <x:c r="CH122" s="1" t="n">
        <x:v>2138.86</x:v>
      </x:c>
      <x:c r="CI122" s="1" t="n">
        <x:v>13331.4</x:v>
      </x:c>
      <x:c r="CJ122" s="1" t="n">
        <x:v>15555.47</x:v>
      </x:c>
      <x:c r="CK122" s="1" t="n">
        <x:v>20191.71</x:v>
      </x:c>
      <x:c r="CL122" s="1" t="n">
        <x:v>40201.1</x:v>
      </x:c>
      <x:c r="CM122" s="1" t="n">
        <x:v>20714.92</x:v>
      </x:c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 t="n">
        <x:v>15833.92</x:v>
      </x:c>
      <x:c r="CY122" s="1" t="n">
        <x:v>5694.39</x:v>
      </x:c>
      <x:c r="CZ122" s="1" t="n">
        <x:v>11395.8</x:v>
      </x:c>
      <x:c r="DA122" s="1" t="n">
        <x:v>12414.11</x:v>
      </x:c>
      <x:c r="DB122" s="1" t="n">
        <x:v>861.79</x:v>
      </x:c>
      <x:c r="DC122" s="1" t="n">
        <x:v>7465.18</x:v>
      </x:c>
      <x:c r="DD122" s="1" t="n">
        <x:v>22764.61</x:v>
      </x:c>
      <x:c r="DE122" s="1" t="n">
        <x:v>15829.76</x:v>
      </x:c>
      <x:c r="DF122" s="1" t="n">
        <x:v>9205.6</x:v>
      </x:c>
      <x:c r="DG122" s="1" t="n">
        <x:v>11470.47</x:v>
      </x:c>
      <x:c r="DH122" s="1" t="n">
        <x:v>9715.59</x:v>
      </x:c>
      <x:c r="DI122" s="1" t="n">
        <x:v>5347.2</x:v>
      </x:c>
      <x:c r="DJ122" s="1" t="n">
        <x:v>9256.83</x:v>
      </x:c>
      <x:c r="DK122" s="1" t="n">
        <x:v>7081.23</x:v>
      </x:c>
      <x:c r="DL122" s="1" t="n">
        <x:v>2195.41</x:v>
      </x:c>
      <x:c r="DM122" s="1" t="n">
        <x:v>813.16</x:v>
      </x:c>
    </x:row>
    <x:row r="123" ht="23" customHeight="1">
      <x:c r="A123" s="1" t="n">
        <x:v>118</x:v>
      </x:c>
      <x:c r="B123" s="1" t="str">
        <x:v>辛醛</x:v>
      </x:c>
      <x:c r="C123" s="1" t="str">
        <x:v>124-13-0</x:v>
      </x:c>
      <x:c r="D123" s="1" t="n">
        <x:v>39.6</x:v>
      </x:c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 t="n">
        <x:v>14.65</x:v>
      </x:c>
      <x:c r="CY123" s="1" t="n">
        <x:v>36.91</x:v>
      </x:c>
      <x:c r="CZ123" s="1" t="n">
        <x:v>47.27</x:v>
      </x:c>
      <x:c r="DA123" s="1" t="n">
        <x:v>17.18</x:v>
      </x:c>
      <x:c r="DB123" s="1" t="n">
        <x:v>70.65</x:v>
      </x:c>
      <x:c r="DC123" s="1" t="n">
        <x:v>4.17</x:v>
      </x:c>
      <x:c r="DD123" s="1" t="n">
        <x:v>54.43</x:v>
      </x:c>
      <x:c r="DE123" s="1" t="n">
        <x:v>2.7</x:v>
      </x:c>
      <x:c r="DF123" s="1" t="n">
        <x:v>131.55</x:v>
      </x:c>
      <x:c r="DG123" s="1" t="n">
        <x:v>29.07</x:v>
      </x:c>
      <x:c r="DH123" s="1" t="n">
        <x:v>76.46</x:v>
      </x:c>
      <x:c r="DI123" s="1" t="n">
        <x:v>31.2</x:v>
      </x:c>
      <x:c r="DJ123" s="1" t="n">
        <x:v>102.25</x:v>
      </x:c>
      <x:c r="DK123" s="1" t="n">
        <x:v>24.36</x:v>
      </x:c>
      <x:c r="DL123" s="1" t="n">
        <x:v>146.29</x:v>
      </x:c>
      <x:c r="DM123" s="1"/>
    </x:row>
    <x:row r="124" ht="23" customHeight="1">
      <x:c r="A124" s="1" t="n">
        <x:v>119</x:v>
      </x:c>
      <x:c r="B124" s="1" t="str">
        <x:v>壬醛</x:v>
      </x:c>
      <x:c r="C124" s="1" t="str">
        <x:v>124-19-6</x:v>
      </x:c>
      <x:c r="D124" s="1" t="n">
        <x:v>122</x:v>
      </x:c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 t="n">
        <x:v>329</x:v>
      </x:c>
      <x:c r="BA124" s="1" t="n">
        <x:v>293</x:v>
      </x:c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 t="n">
        <x:v>309.34</x:v>
      </x:c>
      <x:c r="CA124" s="1" t="n">
        <x:v>262.87</x:v>
      </x:c>
      <x:c r="CB124" s="1" t="n">
        <x:v>28.4</x:v>
      </x:c>
      <x:c r="CC124" s="1" t="n">
        <x:v>38.2</x:v>
      </x:c>
      <x:c r="CD124" s="1" t="n">
        <x:v>65.45</x:v>
      </x:c>
      <x:c r="CE124" s="1" t="n">
        <x:v>50.35</x:v>
      </x:c>
      <x:c r="CF124" s="1" t="n">
        <x:v>150.55</x:v>
      </x:c>
      <x:c r="CG124" s="1" t="n">
        <x:v>93.14</x:v>
      </x:c>
      <x:c r="CH124" s="1" t="n">
        <x:v>23.56</x:v>
      </x:c>
      <x:c r="CI124" s="1" t="n">
        <x:v>100.03</x:v>
      </x:c>
      <x:c r="CJ124" s="1" t="n">
        <x:v>70.99</x:v>
      </x:c>
      <x:c r="CK124" s="1" t="n">
        <x:v>21.93</x:v>
      </x:c>
      <x:c r="CL124" s="1" t="n">
        <x:v>34.07</x:v>
      </x:c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 t="n">
        <x:v>37.45</x:v>
      </x:c>
      <x:c r="CW124" s="1"/>
      <x:c r="CX124" s="1" t="n">
        <x:v>1.13</x:v>
      </x:c>
      <x:c r="CY124" s="1" t="n">
        <x:v>1.36</x:v>
      </x:c>
      <x:c r="CZ124" s="1" t="n">
        <x:v>3.13</x:v>
      </x:c>
      <x:c r="DA124" s="1" t="n">
        <x:v>1.43</x:v>
      </x:c>
      <x:c r="DB124" s="1" t="n">
        <x:v>3.79</x:v>
      </x:c>
      <x:c r="DC124" s="1" t="n">
        <x:v>1.07</x:v>
      </x:c>
      <x:c r="DD124" s="1" t="n">
        <x:v>3.09</x:v>
      </x:c>
      <x:c r="DE124" s="1" t="n">
        <x:v>3.03</x:v>
      </x:c>
      <x:c r="DF124" s="1" t="n">
        <x:v>58.11</x:v>
      </x:c>
      <x:c r="DG124" s="1" t="n">
        <x:v>31.61</x:v>
      </x:c>
      <x:c r="DH124" s="1" t="n">
        <x:v>105.61</x:v>
      </x:c>
      <x:c r="DI124" s="1" t="n">
        <x:v>56.78</x:v>
      </x:c>
      <x:c r="DJ124" s="1" t="n">
        <x:v>117.57</x:v>
      </x:c>
      <x:c r="DK124" s="1" t="n">
        <x:v>60.96</x:v>
      </x:c>
      <x:c r="DL124" s="1" t="n">
        <x:v>21.51</x:v>
      </x:c>
      <x:c r="DM124" s="1" t="n">
        <x:v>44.53</x:v>
      </x:c>
    </x:row>
    <x:row r="125" ht="23" customHeight="1">
      <x:c r="A125" s="1" t="n">
        <x:v>120</x:v>
      </x:c>
      <x:c r="B125" s="1" t="str">
        <x:v>2-甲基丁醇</x:v>
      </x:c>
      <x:c r="C125" s="1" t="str">
        <x:v>137-32-6</x:v>
      </x:c>
      <x:c r="D125" s="1" t="n">
        <x:v>300000</x:v>
      </x:c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 t="n">
        <x:v>3</x:v>
      </x:c>
      <x:c r="U125" s="1" t="n">
        <x:v>0</x:v>
      </x:c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 t="n">
        <x:v>52100</x:v>
      </x:c>
      <x:c r="AF125" s="1" t="n">
        <x:v>55730</x:v>
      </x:c>
      <x:c r="AG125" s="1" t="n">
        <x:v>26030</x:v>
      </x:c>
      <x:c r="AH125" s="1" t="n">
        <x:v>1900</x:v>
      </x:c>
      <x:c r="AI125" s="1" t="n">
        <x:v>2980</x:v>
      </x:c>
      <x:c r="AJ125" s="1" t="n">
        <x:v>3500</x:v>
      </x:c>
      <x:c r="AK125" s="1" t="n">
        <x:v>186780</x:v>
      </x:c>
      <x:c r="AL125" s="1" t="n">
        <x:v>341780</x:v>
      </x:c>
      <x:c r="AM125" s="1"/>
      <x:c r="AN125" s="1"/>
      <x:c r="AO125" s="1"/>
      <x:c r="AP125" s="1"/>
      <x:c r="AQ125" s="1"/>
      <x:c r="AR125" s="1"/>
      <x:c r="AS125" s="1"/>
      <x:c r="AT125" s="1"/>
      <x:c r="AU125" s="1" t="n">
        <x:v>9.77</x:v>
      </x:c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  <x:c r="DE125" s="1"/>
      <x:c r="DF125" s="1"/>
      <x:c r="DG125" s="1"/>
      <x:c r="DH125" s="1"/>
      <x:c r="DI125" s="1"/>
      <x:c r="DJ125" s="1"/>
      <x:c r="DK125" s="1"/>
      <x:c r="DL125" s="1"/>
      <x:c r="DM125" s="1"/>
    </x:row>
    <x:row r="126" ht="23" customHeight="1">
      <x:c r="A126" s="1" t="n">
        <x:v>121</x:v>
      </x:c>
      <x:c r="B126" s="1" t="str">
        <x:v>乳酸丁酯</x:v>
      </x:c>
      <x:c r="C126" s="1" t="str">
        <x:v>138-22-7</x:v>
      </x:c>
      <x:c r="D126" s="1"/>
      <x:c r="E126" s="1"/>
      <x:c r="F126" s="1"/>
      <x:c r="G126" s="1"/>
      <x:c r="H126" s="1" t="n">
        <x:v>18.03</x:v>
      </x:c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 t="n">
        <x:v>2.85</x:v>
      </x:c>
      <x:c r="AS126" s="1" t="n">
        <x:v>1.46</x:v>
      </x:c>
      <x:c r="AT126" s="1" t="n">
        <x:v>2.5</x:v>
      </x:c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  <x:c r="DE126" s="1"/>
      <x:c r="DF126" s="1"/>
      <x:c r="DG126" s="1"/>
      <x:c r="DH126" s="1"/>
      <x:c r="DI126" s="1"/>
      <x:c r="DJ126" s="1"/>
      <x:c r="DK126" s="1"/>
      <x:c r="DL126" s="1"/>
      <x:c r="DM126" s="1"/>
    </x:row>
    <x:row r="127" ht="23" customHeight="1">
      <x:c r="A127" s="1" t="n">
        <x:v>122</x:v>
      </x:c>
      <x:c r="B127" s="1"/>
      <x:c r="C127" s="1" t="str">
        <x:v>138-86-3</x:v>
      </x:c>
      <x:c r="D127" s="1"/>
      <x:c r="E127" s="1"/>
      <x:c r="F127" s="1"/>
      <x:c r="G127" s="1"/>
      <x:c r="H127" s="1"/>
      <x:c r="I127" s="1"/>
      <x:c r="J127" s="1"/>
      <x:c r="K127" s="1" t="n">
        <x:v>3.14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  <x:c r="DE127" s="1"/>
      <x:c r="DF127" s="1"/>
      <x:c r="DG127" s="1"/>
      <x:c r="DH127" s="1"/>
      <x:c r="DI127" s="1"/>
      <x:c r="DJ127" s="1"/>
      <x:c r="DK127" s="1"/>
      <x:c r="DL127" s="1"/>
      <x:c r="DM127" s="1"/>
    </x:row>
    <x:row r="128" ht="23" customHeight="1">
      <x:c r="A128" s="1" t="n">
        <x:v>123</x:v>
      </x:c>
      <x:c r="B128" s="1" t="str">
        <x:v>异戊酸-2-苯乙酯</x:v>
      </x:c>
      <x:c r="C128" s="1" t="str">
        <x:v>140-26-1</x:v>
      </x:c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 t="n">
        <x:v>8.34</x:v>
      </x:c>
      <x:c r="CA128" s="1" t="n">
        <x:v>8.545</x:v>
      </x:c>
      <x:c r="CB128" s="1" t="n">
        <x:v>16.07</x:v>
      </x:c>
      <x:c r="CC128" s="1" t="n">
        <x:v>15.49</x:v>
      </x:c>
      <x:c r="CD128" s="1" t="n">
        <x:v>19.16</x:v>
      </x:c>
      <x:c r="CE128" s="1" t="n">
        <x:v>19.33</x:v>
      </x:c>
      <x:c r="CF128" s="1" t="n">
        <x:v>23.32</x:v>
      </x:c>
      <x:c r="CG128" s="1" t="n">
        <x:v>13.06</x:v>
      </x:c>
      <x:c r="CH128" s="1" t="n">
        <x:v>11.14</x:v>
      </x:c>
      <x:c r="CI128" s="1" t="n">
        <x:v>31.03</x:v>
      </x:c>
      <x:c r="CJ128" s="1" t="n">
        <x:v>30.22</x:v>
      </x:c>
      <x:c r="CK128" s="1" t="n">
        <x:v>36.34</x:v>
      </x:c>
      <x:c r="CL128" s="1" t="n">
        <x:v>24.81</x:v>
      </x:c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  <x:c r="DE128" s="1"/>
      <x:c r="DF128" s="1"/>
      <x:c r="DG128" s="1"/>
      <x:c r="DH128" s="1"/>
      <x:c r="DI128" s="1"/>
      <x:c r="DJ128" s="1"/>
      <x:c r="DK128" s="1"/>
      <x:c r="DL128" s="1"/>
      <x:c r="DM128" s="1"/>
    </x:row>
    <x:row r="129" ht="23" customHeight="1">
      <x:c r="A129" s="1" t="n">
        <x:v>124</x:v>
      </x:c>
      <x:c r="B129" s="1" t="str">
        <x:v>乙酸乙酯</x:v>
      </x:c>
      <x:c r="C129" s="1" t="str">
        <x:v>141-78-6</x:v>
      </x:c>
      <x:c r="D129" s="1" t="n">
        <x:v>32552</x:v>
      </x:c>
      <x:c r="E129" s="1" t="n">
        <x:v>985274</x:v>
      </x:c>
      <x:c r="F129" s="1" t="n">
        <x:v>1772911</x:v>
      </x:c>
      <x:c r="G129" s="1" t="n">
        <x:v>1173.18</x:v>
      </x:c>
      <x:c r="H129" s="1" t="n">
        <x:v>484.16</x:v>
      </x:c>
      <x:c r="I129" s="1" t="n">
        <x:v>577.21</x:v>
      </x:c>
      <x:c r="J129" s="1" t="n">
        <x:v>1054.47</x:v>
      </x:c>
      <x:c r="K129" s="1" t="n">
        <x:v>129.49</x:v>
      </x:c>
      <x:c r="L129" s="1" t="n">
        <x:v>4021850</x:v>
      </x:c>
      <x:c r="M129" s="1" t="n">
        <x:v>2926064</x:v>
      </x:c>
      <x:c r="N129" s="1" t="n">
        <x:v>59371</x:v>
      </x:c>
      <x:c r="O129" s="1" t="n">
        <x:v>90590</x:v>
      </x:c>
      <x:c r="P129" s="1" t="n">
        <x:v>92946</x:v>
      </x:c>
      <x:c r="Q129" s="1" t="n">
        <x:v>112534</x:v>
      </x:c>
      <x:c r="R129" s="1" t="n">
        <x:v>112723</x:v>
      </x:c>
      <x:c r="S129" s="1" t="n">
        <x:v>95301</x:v>
      </x:c>
      <x:c r="T129" s="1" t="n">
        <x:v>37</x:v>
      </x:c>
      <x:c r="U129" s="1" t="n">
        <x:v>36</x:v>
      </x:c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 t="n">
        <x:v>1752070</x:v>
      </x:c>
      <x:c r="AF129" s="1" t="n">
        <x:v>1113450</x:v>
      </x:c>
      <x:c r="AG129" s="1" t="n">
        <x:v>1455835</x:v>
      </x:c>
      <x:c r="AH129" s="1" t="n">
        <x:v>64450</x:v>
      </x:c>
      <x:c r="AI129" s="1" t="n">
        <x:v>35720</x:v>
      </x:c>
      <x:c r="AJ129" s="1" t="n">
        <x:v>60900</x:v>
      </x:c>
      <x:c r="AK129" s="1" t="n">
        <x:v>362630</x:v>
      </x:c>
      <x:c r="AL129" s="1" t="n">
        <x:v>572500</x:v>
      </x:c>
      <x:c r="AM129" s="1"/>
      <x:c r="AN129" s="1"/>
      <x:c r="AO129" s="1"/>
      <x:c r="AP129" s="1"/>
      <x:c r="AQ129" s="1" t="n">
        <x:v>1976.41</x:v>
      </x:c>
      <x:c r="AR129" s="1" t="n">
        <x:v>721.98</x:v>
      </x:c>
      <x:c r="AS129" s="1" t="n">
        <x:v>790.06</x:v>
      </x:c>
      <x:c r="AT129" s="1" t="n">
        <x:v>837.21</x:v>
      </x:c>
      <x:c r="AU129" s="1" t="n">
        <x:v>1126.37</x:v>
      </x:c>
      <x:c r="AV129" s="1" t="n">
        <x:v>316259.5</x:v>
      </x:c>
      <x:c r="AW129" s="1" t="n">
        <x:v>24</x:v>
      </x:c>
      <x:c r="AX129" s="1" t="n">
        <x:v>402762.5</x:v>
      </x:c>
      <x:c r="AY129" s="1" t="n">
        <x:v>228600</x:v>
      </x:c>
      <x:c r="AZ129" s="1" t="n">
        <x:v>11422</x:v>
      </x:c>
      <x:c r="BA129" s="1" t="n">
        <x:v>10886</x:v>
      </x:c>
      <x:c r="BB129" s="1" t="n">
        <x:v>630.52</x:v>
      </x:c>
      <x:c r="BC129" s="1" t="n">
        <x:v>44</x:v>
      </x:c>
      <x:c r="BD129" s="1" t="n">
        <x:v>1083.43</x:v>
      </x:c>
      <x:c r="BE129" s="1" t="n">
        <x:v>773.06</x:v>
      </x:c>
      <x:c r="BF129" s="1" t="n">
        <x:v>610.655</x:v>
      </x:c>
      <x:c r="BG129" s="1" t="n">
        <x:v>701.02</x:v>
      </x:c>
      <x:c r="BH129" s="1" t="n">
        <x:v>262.22</x:v>
      </x:c>
      <x:c r="BI129" s="1" t="n">
        <x:v>605.62</x:v>
      </x:c>
      <x:c r="BJ129" s="1" t="n">
        <x:v>1177</x:v>
      </x:c>
      <x:c r="BK129" s="1" t="n">
        <x:v>6803</x:v>
      </x:c>
      <x:c r="BL129" s="1"/>
      <x:c r="BM129" s="1" t="n">
        <x:v>6754.12</x:v>
      </x:c>
      <x:c r="BN129" s="1" t="n">
        <x:v>8950</x:v>
      </x:c>
      <x:c r="BO129" s="1" t="n">
        <x:v>7229.12</x:v>
      </x:c>
      <x:c r="BP129" s="1" t="n">
        <x:v>980.81</x:v>
      </x:c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 t="n">
        <x:v>597.3367</x:v>
      </x:c>
      <x:c r="CA129" s="1" t="n">
        <x:v>584.24</x:v>
      </x:c>
      <x:c r="CB129" s="1" t="n">
        <x:v>1717.7</x:v>
      </x:c>
      <x:c r="CC129" s="1" t="n">
        <x:v>1477.29</x:v>
      </x:c>
      <x:c r="CD129" s="1" t="n">
        <x:v>1903.05</x:v>
      </x:c>
      <x:c r="CE129" s="1" t="n">
        <x:v>1830.33</x:v>
      </x:c>
      <x:c r="CF129" s="1" t="n">
        <x:v>1860.25</x:v>
      </x:c>
      <x:c r="CG129" s="1" t="n">
        <x:v>1286.66</x:v>
      </x:c>
      <x:c r="CH129" s="1" t="n">
        <x:v>903.05</x:v>
      </x:c>
      <x:c r="CI129" s="1" t="n">
        <x:v>2369.21</x:v>
      </x:c>
      <x:c r="CJ129" s="1" t="n">
        <x:v>2432.82</x:v>
      </x:c>
      <x:c r="CK129" s="1" t="n">
        <x:v>1917.46</x:v>
      </x:c>
      <x:c r="CL129" s="1" t="n">
        <x:v>1929.23</x:v>
      </x:c>
      <x:c r="CM129" s="1" t="n">
        <x:v>1599.32</x:v>
      </x:c>
      <x:c r="CN129" s="1" t="n">
        <x:v>1217108</x:v>
      </x:c>
      <x:c r="CO129" s="1" t="n">
        <x:v>1261352</x:v>
      </x:c>
      <x:c r="CP129" s="1" t="n">
        <x:v>1108660</x:v>
      </x:c>
      <x:c r="CQ129" s="1" t="n">
        <x:v>949924</x:v>
      </x:c>
      <x:c r="CR129" s="1"/>
      <x:c r="CS129" s="1"/>
      <x:c r="CT129" s="1"/>
      <x:c r="CU129" s="1"/>
      <x:c r="CV129" s="1"/>
      <x:c r="CW129" s="1"/>
      <x:c r="CX129" s="1" t="n">
        <x:v>653790.06</x:v>
      </x:c>
      <x:c r="CY129" s="1" t="n">
        <x:v>863259.55</x:v>
      </x:c>
      <x:c r="CZ129" s="1" t="n">
        <x:v>910386.44</x:v>
      </x:c>
      <x:c r="DA129" s="1" t="n">
        <x:v>517753.51</x:v>
      </x:c>
      <x:c r="DB129" s="1" t="n">
        <x:v>912836</x:v>
      </x:c>
      <x:c r="DC129" s="1" t="n">
        <x:v>777085.04</x:v>
      </x:c>
      <x:c r="DD129" s="1" t="n">
        <x:v>955434.09</x:v>
      </x:c>
      <x:c r="DE129" s="1" t="n">
        <x:v>525843.28</x:v>
      </x:c>
      <x:c r="DF129" s="1" t="n">
        <x:v>924452.11</x:v>
      </x:c>
      <x:c r="DG129" s="1" t="n">
        <x:v>700872.64</x:v>
      </x:c>
      <x:c r="DH129" s="1" t="n">
        <x:v>985281.54</x:v>
      </x:c>
      <x:c r="DI129" s="1" t="n">
        <x:v>661165.61</x:v>
      </x:c>
      <x:c r="DJ129" s="1" t="n">
        <x:v>883209.7</x:v>
      </x:c>
      <x:c r="DK129" s="1" t="n">
        <x:v>663524.27</x:v>
      </x:c>
      <x:c r="DL129" s="1" t="n">
        <x:v>1034685.04</x:v>
      </x:c>
      <x:c r="DM129" s="1" t="n">
        <x:v>870240.21</x:v>
      </x:c>
    </x:row>
    <x:row r="130" ht="23" customHeight="1">
      <x:c r="A130" s="1" t="n">
        <x:v>125</x:v>
      </x:c>
      <x:c r="B130" s="1" t="str">
        <x:v>E-橙花叔醇</x:v>
      </x:c>
      <x:c r="C130" s="1" t="str">
        <x:v>142-50-7</x:v>
      </x:c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 t="n">
        <x:v>66.82</x:v>
      </x:c>
      <x:c r="CA130" s="1" t="n">
        <x:v>63.54</x:v>
      </x:c>
      <x:c r="CB130" s="1" t="n">
        <x:v>134.86</x:v>
      </x:c>
      <x:c r="CC130" s="1" t="n">
        <x:v>136.24</x:v>
      </x:c>
      <x:c r="CD130" s="1" t="n">
        <x:v>152.92</x:v>
      </x:c>
      <x:c r="CE130" s="1" t="n">
        <x:v>135.09</x:v>
      </x:c>
      <x:c r="CF130" s="1" t="n">
        <x:v>156.86</x:v>
      </x:c>
      <x:c r="CG130" s="1" t="n">
        <x:v>109.66</x:v>
      </x:c>
      <x:c r="CH130" s="1" t="n">
        <x:v>109.43</x:v>
      </x:c>
      <x:c r="CI130" s="1" t="n">
        <x:v>205.34</x:v>
      </x:c>
      <x:c r="CJ130" s="1" t="n">
        <x:v>142.34</x:v>
      </x:c>
      <x:c r="CK130" s="1" t="n">
        <x:v>243.49</x:v>
      </x:c>
      <x:c r="CL130" s="1" t="n">
        <x:v>151.27</x:v>
      </x:c>
      <x:c r="CM130" s="1" t="n">
        <x:v>133.72</x:v>
      </x:c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  <x:c r="DE130" s="1"/>
      <x:c r="DF130" s="1"/>
      <x:c r="DG130" s="1"/>
      <x:c r="DH130" s="1"/>
      <x:c r="DI130" s="1"/>
      <x:c r="DJ130" s="1"/>
      <x:c r="DK130" s="1"/>
      <x:c r="DL130" s="1"/>
      <x:c r="DM130" s="1"/>
    </x:row>
    <x:row r="131" ht="23" customHeight="1">
      <x:c r="A131" s="1" t="n">
        <x:v>126</x:v>
      </x:c>
      <x:c r="B131" s="1" t="str">
        <x:v>己酸</x:v>
      </x:c>
      <x:c r="C131" s="1" t="str">
        <x:v>142-62-1</x:v>
      </x:c>
      <x:c r="D131" s="1" t="n">
        <x:v>2520</x:v>
      </x:c>
      <x:c r="E131" s="1" t="n">
        <x:v>722576</x:v>
      </x:c>
      <x:c r="F131" s="1" t="n">
        <x:v>1126596</x:v>
      </x:c>
      <x:c r="G131" s="1" t="n">
        <x:v>160.03</x:v>
      </x:c>
      <x:c r="H131" s="1" t="n">
        <x:v>85.13</x:v>
      </x:c>
      <x:c r="I131" s="1" t="n">
        <x:v>96.7</x:v>
      </x:c>
      <x:c r="J131" s="1" t="n">
        <x:v>572.44</x:v>
      </x:c>
      <x:c r="K131" s="1" t="n">
        <x:v>50.31</x:v>
      </x:c>
      <x:c r="L131" s="1"/>
      <x:c r="M131" s="1"/>
      <x:c r="N131" s="1" t="n">
        <x:v>72065</x:v>
      </x:c>
      <x:c r="O131" s="1" t="n">
        <x:v>102015</x:v>
      </x:c>
      <x:c r="P131" s="1" t="n">
        <x:v>120088</x:v>
      </x:c>
      <x:c r="Q131" s="1" t="n">
        <x:v>141949</x:v>
      </x:c>
      <x:c r="R131" s="1" t="n">
        <x:v>111350</x:v>
      </x:c>
      <x:c r="S131" s="1" t="n">
        <x:v>103087</x:v>
      </x:c>
      <x:c r="T131" s="1" t="n">
        <x:v>128</x:v>
      </x:c>
      <x:c r="U131" s="1" t="n">
        <x:v>141</x:v>
      </x:c>
      <x:c r="V131" s="1" t="n">
        <x:v>2.125</x:v>
      </x:c>
      <x:c r="W131" s="1" t="n">
        <x:v>2380</x:v>
      </x:c>
      <x:c r="X131" s="1" t="n">
        <x:v>2060</x:v>
      </x:c>
      <x:c r="Y131" s="1" t="n">
        <x:v>3870</x:v>
      </x:c>
      <x:c r="Z131" s="1" t="n">
        <x:v>5880</x:v>
      </x:c>
      <x:c r="AA131" s="1" t="n">
        <x:v>9740</x:v>
      </x:c>
      <x:c r="AB131" s="1" t="n">
        <x:v>16300</x:v>
      </x:c>
      <x:c r="AC131" s="1" t="n">
        <x:v>22400</x:v>
      </x:c>
      <x:c r="AD131" s="1" t="n">
        <x:v>21500</x:v>
      </x:c>
      <x:c r="AE131" s="1" t="n">
        <x:v>250250</x:v>
      </x:c>
      <x:c r="AF131" s="1" t="n">
        <x:v>201440</x:v>
      </x:c>
      <x:c r="AG131" s="1" t="n">
        <x:v>64780</x:v>
      </x:c>
      <x:c r="AH131" s="1"/>
      <x:c r="AI131" s="1"/>
      <x:c r="AJ131" s="1"/>
      <x:c r="AK131" s="1" t="n">
        <x:v>59230</x:v>
      </x:c>
      <x:c r="AL131" s="1" t="n">
        <x:v>70240</x:v>
      </x:c>
      <x:c r="AM131" s="1"/>
      <x:c r="AN131" s="1"/>
      <x:c r="AO131" s="1"/>
      <x:c r="AP131" s="1"/>
      <x:c r="AQ131" s="1" t="n">
        <x:v>410.92</x:v>
      </x:c>
      <x:c r="AR131" s="1" t="n">
        <x:v>520.62</x:v>
      </x:c>
      <x:c r="AS131" s="1" t="n">
        <x:v>859.8</x:v>
      </x:c>
      <x:c r="AT131" s="1" t="n">
        <x:v>857.12</x:v>
      </x:c>
      <x:c r="AU131" s="1" t="n">
        <x:v>118.15</x:v>
      </x:c>
      <x:c r="AV131" s="1" t="n">
        <x:v>374348.5</x:v>
      </x:c>
      <x:c r="AW131" s="1" t="n">
        <x:v>147</x:v>
      </x:c>
      <x:c r="AX131" s="1" t="n">
        <x:v>511102.5</x:v>
      </x:c>
      <x:c r="AY131" s="1" t="n">
        <x:v>688000</x:v>
      </x:c>
      <x:c r="AZ131" s="1" t="n">
        <x:v>25205</x:v>
      </x:c>
      <x:c r="BA131" s="1" t="n">
        <x:v>24457</x:v>
      </x:c>
      <x:c r="BB131" s="1"/>
      <x:c r="BC131" s="1"/>
      <x:c r="BD131" s="1" t="n">
        <x:v>502.42</x:v>
      </x:c>
      <x:c r="BE131" s="1" t="n">
        <x:v>953.43</x:v>
      </x:c>
      <x:c r="BF131" s="1" t="n">
        <x:v>602.92</x:v>
      </x:c>
      <x:c r="BG131" s="1" t="n">
        <x:v>510.73</x:v>
      </x:c>
      <x:c r="BH131" s="1"/>
      <x:c r="BI131" s="1" t="n">
        <x:v>536.52</x:v>
      </x:c>
      <x:c r="BJ131" s="1"/>
      <x:c r="BK131" s="1" t="n">
        <x:v>655.27</x:v>
      </x:c>
      <x:c r="BL131" s="1" t="n">
        <x:v>322.71</x:v>
      </x:c>
      <x:c r="BM131" s="1" t="n">
        <x:v>388.51</x:v>
      </x:c>
      <x:c r="BN131" s="1" t="n">
        <x:v>199.16</x:v>
      </x:c>
      <x:c r="BO131" s="1" t="n">
        <x:v>458.67</x:v>
      </x:c>
      <x:c r="BP131" s="1"/>
      <x:c r="BQ131" s="1" t="n">
        <x:v>911000</x:v>
      </x:c>
      <x:c r="BR131" s="1" t="n">
        <x:v>825900</x:v>
      </x:c>
      <x:c r="BS131" s="1" t="n">
        <x:v>268200</x:v>
      </x:c>
      <x:c r="BT131" s="1" t="n">
        <x:v>187600</x:v>
      </x:c>
      <x:c r="BU131" s="1" t="n">
        <x:v>322900</x:v>
      </x:c>
      <x:c r="BV131" s="1" t="n">
        <x:v>377800</x:v>
      </x:c>
      <x:c r="BW131" s="1" t="n">
        <x:v>778300</x:v>
      </x:c>
      <x:c r="BX131" s="1" t="n">
        <x:v>427600</x:v>
      </x:c>
      <x:c r="BY131" s="1" t="n">
        <x:v>803500</x:v>
      </x:c>
      <x:c r="BZ131" s="1" t="n">
        <x:v>212.4867</x:v>
      </x:c>
      <x:c r="CA131" s="1" t="n">
        <x:v>236.2267</x:v>
      </x:c>
      <x:c r="CB131" s="1" t="n">
        <x:v>556.95</x:v>
      </x:c>
      <x:c r="CC131" s="1" t="n">
        <x:v>693.56</x:v>
      </x:c>
      <x:c r="CD131" s="1" t="n">
        <x:v>850.5</x:v>
      </x:c>
      <x:c r="CE131" s="1" t="n">
        <x:v>789.59</x:v>
      </x:c>
      <x:c r="CF131" s="1" t="n">
        <x:v>460.72</x:v>
      </x:c>
      <x:c r="CG131" s="1" t="n">
        <x:v>143.9</x:v>
      </x:c>
      <x:c r="CH131" s="1" t="n">
        <x:v>254.08</x:v>
      </x:c>
      <x:c r="CI131" s="1" t="n">
        <x:v>888.99</x:v>
      </x:c>
      <x:c r="CJ131" s="1" t="n">
        <x:v>973.27</x:v>
      </x:c>
      <x:c r="CK131" s="1" t="n">
        <x:v>801.61</x:v>
      </x:c>
      <x:c r="CL131" s="1" t="n">
        <x:v>1102.28</x:v>
      </x:c>
      <x:c r="CM131" s="1" t="n">
        <x:v>609.15</x:v>
      </x:c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 t="n">
        <x:v>1408567.21</x:v>
      </x:c>
      <x:c r="CY131" s="1" t="n">
        <x:v>1198381.12</x:v>
      </x:c>
      <x:c r="CZ131" s="1" t="n">
        <x:v>1130288.03</x:v>
      </x:c>
      <x:c r="DA131" s="1" t="n">
        <x:v>1551340.76</x:v>
      </x:c>
      <x:c r="DB131" s="1" t="n">
        <x:v>921507.93</x:v>
      </x:c>
      <x:c r="DC131" s="1" t="n">
        <x:v>676196.16</x:v>
      </x:c>
      <x:c r="DD131" s="1" t="n">
        <x:v>1139648.77</x:v>
      </x:c>
      <x:c r="DE131" s="1" t="n">
        <x:v>1177275.06</x:v>
      </x:c>
      <x:c r="DF131" s="1" t="n">
        <x:v>661786</x:v>
      </x:c>
      <x:c r="DG131" s="1" t="n">
        <x:v>873714.8</x:v>
      </x:c>
      <x:c r="DH131" s="1" t="n">
        <x:v>745653.89</x:v>
      </x:c>
      <x:c r="DI131" s="1" t="n">
        <x:v>794136.88</x:v>
      </x:c>
      <x:c r="DJ131" s="1" t="n">
        <x:v>763923.29</x:v>
      </x:c>
      <x:c r="DK131" s="1" t="n">
        <x:v>1079062.53</x:v>
      </x:c>
      <x:c r="DL131" s="1" t="n">
        <x:v>758996.31</x:v>
      </x:c>
      <x:c r="DM131" s="1" t="n">
        <x:v>714132.85</x:v>
      </x:c>
    </x:row>
    <x:row r="132" ht="23" customHeight="1">
      <x:c r="A132" s="1" t="n">
        <x:v>127</x:v>
      </x:c>
      <x:c r="B132" s="1" t="str">
        <x:v>乙酸己酯</x:v>
      </x:c>
      <x:c r="C132" s="1" t="str">
        <x:v>142-92-7</x:v>
      </x:c>
      <x:c r="D132" s="1" t="n">
        <x:v>5560</x:v>
      </x:c>
      <x:c r="E132" s="1"/>
      <x:c r="F132" s="1"/>
      <x:c r="G132" s="1"/>
      <x:c r="H132" s="1"/>
      <x:c r="I132" s="1"/>
      <x:c r="J132" s="1"/>
      <x:c r="K132" s="1"/>
      <x:c r="L132" s="1"/>
      <x:c r="M132" s="1"/>
      <x:c r="N132" s="1" t="n">
        <x:v>7506</x:v>
      </x:c>
      <x:c r="O132" s="1" t="n">
        <x:v>7306</x:v>
      </x:c>
      <x:c r="P132" s="1" t="n">
        <x:v>7197</x:v>
      </x:c>
      <x:c r="Q132" s="1" t="n">
        <x:v>6819</x:v>
      </x:c>
      <x:c r="R132" s="1" t="n">
        <x:v>7589</x:v>
      </x:c>
      <x:c r="S132" s="1" t="n">
        <x:v>8093</x:v>
      </x:c>
      <x:c r="T132" s="1"/>
      <x:c r="U132" s="1"/>
      <x:c r="V132" s="1"/>
      <x:c r="W132" s="1" t="n">
        <x:v>21200</x:v>
      </x:c>
      <x:c r="X132" s="1" t="n">
        <x:v>9130</x:v>
      </x:c>
      <x:c r="Y132" s="1" t="n">
        <x:v>9200</x:v>
      </x:c>
      <x:c r="Z132" s="1" t="n">
        <x:v>6940</x:v>
      </x:c>
      <x:c r="AA132" s="1" t="n">
        <x:v>10500</x:v>
      </x:c>
      <x:c r="AB132" s="1" t="n">
        <x:v>1390</x:v>
      </x:c>
      <x:c r="AC132" s="1" t="n">
        <x:v>779</x:v>
      </x:c>
      <x:c r="AD132" s="1" t="n">
        <x:v>297</x:v>
      </x:c>
      <x:c r="AE132" s="1"/>
      <x:c r="AF132" s="1"/>
      <x:c r="AG132" s="1"/>
      <x:c r="AH132" s="1"/>
      <x:c r="AI132" s="1"/>
      <x:c r="AJ132" s="1"/>
      <x:c r="AK132" s="1" t="n">
        <x:v>121720</x:v>
      </x:c>
      <x:c r="AL132" s="1" t="n">
        <x:v>90200</x:v>
      </x:c>
      <x:c r="AM132" s="1" t="n">
        <x:v>90</x:v>
      </x:c>
      <x:c r="AN132" s="1"/>
      <x:c r="AO132" s="1"/>
      <x:c r="AP132" s="1" t="n">
        <x:v>110</x:v>
      </x:c>
      <x:c r="AQ132" s="1" t="n">
        <x:v>32.81</x:v>
      </x:c>
      <x:c r="AR132" s="1" t="n">
        <x:v>11.2</x:v>
      </x:c>
      <x:c r="AS132" s="1" t="n">
        <x:v>6.31</x:v>
      </x:c>
      <x:c r="AT132" s="1" t="n">
        <x:v>9.03</x:v>
      </x:c>
      <x:c r="AU132" s="1"/>
      <x:c r="AV132" s="1"/>
      <x:c r="AW132" s="1"/>
      <x:c r="AX132" s="1"/>
      <x:c r="AY132" s="1"/>
      <x:c r="AZ132" s="1" t="n">
        <x:v>442</x:v>
      </x:c>
      <x:c r="BA132" s="1" t="n">
        <x:v>761</x:v>
      </x:c>
      <x:c r="BB132" s="1" t="n">
        <x:v>57.79</x:v>
      </x:c>
      <x:c r="BC132" s="1" t="n">
        <x:v>1</x:v>
      </x:c>
      <x:c r="BD132" s="1" t="n">
        <x:v>1260.09</x:v>
      </x:c>
      <x:c r="BE132" s="1" t="n">
        <x:v>701.49</x:v>
      </x:c>
      <x:c r="BF132" s="1" t="n">
        <x:v>1510.08</x:v>
      </x:c>
      <x:c r="BG132" s="1" t="n">
        <x:v>898.42</x:v>
      </x:c>
      <x:c r="BH132" s="1" t="n">
        <x:v>1649.11</x:v>
      </x:c>
      <x:c r="BI132" s="1" t="n">
        <x:v>808.23</x:v>
      </x:c>
      <x:c r="BJ132" s="1" t="n">
        <x:v>112.72</x:v>
      </x:c>
      <x:c r="BK132" s="1" t="n">
        <x:v>10.32</x:v>
      </x:c>
      <x:c r="BL132" s="1" t="n">
        <x:v>22.02</x:v>
      </x:c>
      <x:c r="BM132" s="1" t="n">
        <x:v>22.05</x:v>
      </x:c>
      <x:c r="BN132" s="1" t="n">
        <x:v>14.2</x:v>
      </x:c>
      <x:c r="BO132" s="1" t="n">
        <x:v>21.75</x:v>
      </x:c>
      <x:c r="BP132" s="1" t="n">
        <x:v>254.51</x:v>
      </x:c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 t="n">
        <x:v>80.4633</x:v>
      </x:c>
      <x:c r="CA132" s="1" t="n">
        <x:v>88.6067</x:v>
      </x:c>
      <x:c r="CB132" s="1" t="n">
        <x:v>48.94</x:v>
      </x:c>
      <x:c r="CC132" s="1" t="n">
        <x:v>38.54</x:v>
      </x:c>
      <x:c r="CD132" s="1" t="n">
        <x:v>179.81</x:v>
      </x:c>
      <x:c r="CE132" s="1" t="n">
        <x:v>53.42</x:v>
      </x:c>
      <x:c r="CF132" s="1" t="n">
        <x:v>132.81</x:v>
      </x:c>
      <x:c r="CG132" s="1" t="n">
        <x:v>23.74</x:v>
      </x:c>
      <x:c r="CH132" s="1" t="n">
        <x:v>17.62</x:v>
      </x:c>
      <x:c r="CI132" s="1" t="n">
        <x:v>82.39</x:v>
      </x:c>
      <x:c r="CJ132" s="1" t="n">
        <x:v>344.8</x:v>
      </x:c>
      <x:c r="CK132" s="1" t="n">
        <x:v>240.95</x:v>
      </x:c>
      <x:c r="CL132" s="1" t="n">
        <x:v>176.12</x:v>
      </x:c>
      <x:c r="CM132" s="1" t="n">
        <x:v>123.78</x:v>
      </x:c>
      <x:c r="CN132" s="1" t="n">
        <x:v>5074</x:v>
      </x:c>
      <x:c r="CO132" s="1" t="n">
        <x:v>48008</x:v>
      </x:c>
      <x:c r="CP132" s="1" t="n">
        <x:v>7874</x:v>
      </x:c>
      <x:c r="CQ132" s="1" t="n">
        <x:v>10060</x:v>
      </x:c>
      <x:c r="CR132" s="1"/>
      <x:c r="CS132" s="1"/>
      <x:c r="CT132" s="1" t="n">
        <x:v>181.04</x:v>
      </x:c>
      <x:c r="CU132" s="1" t="n">
        <x:v>51.94</x:v>
      </x:c>
      <x:c r="CV132" s="1" t="n">
        <x:v>178.46</x:v>
      </x:c>
      <x:c r="CW132" s="1" t="n">
        <x:v>136.23</x:v>
      </x:c>
      <x:c r="CX132" s="1" t="n">
        <x:v>482.26</x:v>
      </x:c>
      <x:c r="CY132" s="1" t="n">
        <x:v>1647.1</x:v>
      </x:c>
      <x:c r="CZ132" s="1" t="n">
        <x:v>2037.72</x:v>
      </x:c>
      <x:c r="DA132" s="1" t="n">
        <x:v>1368.35</x:v>
      </x:c>
      <x:c r="DB132" s="1" t="n">
        <x:v>4362.65</x:v>
      </x:c>
      <x:c r="DC132" s="1" t="n">
        <x:v>567.37</x:v>
      </x:c>
      <x:c r="DD132" s="1" t="n">
        <x:v>3885</x:v>
      </x:c>
      <x:c r="DE132" s="1" t="n">
        <x:v>1994.63</x:v>
      </x:c>
      <x:c r="DF132" s="1" t="n">
        <x:v>77.16</x:v>
      </x:c>
      <x:c r="DG132" s="1" t="n">
        <x:v>645.95</x:v>
      </x:c>
      <x:c r="DH132" s="1" t="n">
        <x:v>325.31</x:v>
      </x:c>
      <x:c r="DI132" s="1" t="n">
        <x:v>110.79</x:v>
      </x:c>
      <x:c r="DJ132" s="1" t="n">
        <x:v>164.25</x:v>
      </x:c>
      <x:c r="DK132" s="1" t="n">
        <x:v>702.82</x:v>
      </x:c>
      <x:c r="DL132" s="1" t="n">
        <x:v>885.33</x:v>
      </x:c>
      <x:c r="DM132" s="1" t="n">
        <x:v>467.25</x:v>
      </x:c>
    </x:row>
    <x:row r="133" ht="23" customHeight="1">
      <x:c r="A133" s="1" t="n">
        <x:v>128</x:v>
      </x:c>
      <x:c r="B133" s="1" t="str">
        <x:v>1-壬醇</x:v>
      </x:c>
      <x:c r="C133" s="1" t="str">
        <x:v>143-08-8</x:v>
      </x:c>
      <x:c r="D133" s="1" t="n">
        <x:v>806</x:v>
      </x:c>
      <x:c r="E133" s="1"/>
      <x:c r="F133" s="1"/>
      <x:c r="G133" s="1"/>
      <x:c r="H133" s="1" t="n">
        <x:v>0.16</x:v>
      </x:c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 t="n">
        <x:v>1.5</x:v>
      </x:c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 t="n">
        <x:v>10.335</x:v>
      </x:c>
      <x:c r="CA133" s="1" t="n">
        <x:v>41.735</x:v>
      </x:c>
      <x:c r="CB133" s="1" t="n">
        <x:v>188.86</x:v>
      </x:c>
      <x:c r="CC133" s="1" t="n">
        <x:v>71.62</x:v>
      </x:c>
      <x:c r="CD133" s="1" t="n">
        <x:v>507.06</x:v>
      </x:c>
      <x:c r="CE133" s="1" t="n">
        <x:v>176.27</x:v>
      </x:c>
      <x:c r="CF133" s="1" t="n">
        <x:v>85.9</x:v>
      </x:c>
      <x:c r="CG133" s="1" t="n">
        <x:v>243.42</x:v>
      </x:c>
      <x:c r="CH133" s="1" t="n">
        <x:v>216.03</x:v>
      </x:c>
      <x:c r="CI133" s="1" t="n">
        <x:v>177.67</x:v>
      </x:c>
      <x:c r="CJ133" s="1" t="n">
        <x:v>199.33</x:v>
      </x:c>
      <x:c r="CK133" s="1" t="n">
        <x:v>96.77</x:v>
      </x:c>
      <x:c r="CL133" s="1" t="n">
        <x:v>101.41</x:v>
      </x:c>
      <x:c r="CM133" s="1" t="n">
        <x:v>135.93</x:v>
      </x:c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 t="n">
        <x:v>218.47</x:v>
      </x:c>
      <x:c r="CZ133" s="1" t="n">
        <x:v>129.99</x:v>
      </x:c>
      <x:c r="DA133" s="1"/>
      <x:c r="DB133" s="1" t="n">
        <x:v>119.62</x:v>
      </x:c>
      <x:c r="DC133" s="1" t="n">
        <x:v>300.87</x:v>
      </x:c>
      <x:c r="DD133" s="1" t="n">
        <x:v>296.16</x:v>
      </x:c>
      <x:c r="DE133" s="1"/>
      <x:c r="DF133" s="1" t="n">
        <x:v>766.71</x:v>
      </x:c>
      <x:c r="DG133" s="1"/>
      <x:c r="DH133" s="1" t="n">
        <x:v>651.09</x:v>
      </x:c>
      <x:c r="DI133" s="1"/>
      <x:c r="DJ133" s="1" t="n">
        <x:v>435.92</x:v>
      </x:c>
      <x:c r="DK133" s="1"/>
      <x:c r="DL133" s="1" t="n">
        <x:v>533.06</x:v>
      </x:c>
      <x:c r="DM133" s="1"/>
    </x:row>
    <x:row r="134" ht="23" customHeight="1">
      <x:c r="A134" s="1" t="n">
        <x:v>129</x:v>
      </x:c>
      <x:c r="B134" s="1" t="str">
        <x:v>癸酸</x:v>
      </x:c>
      <x:c r="C134" s="1" t="str">
        <x:v>334-48-5</x:v>
      </x:c>
      <x:c r="D134" s="1"/>
      <x:c r="E134" s="1"/>
      <x:c r="F134" s="1"/>
      <x:c r="G134" s="1"/>
      <x:c r="H134" s="1"/>
      <x:c r="I134" s="1" t="n">
        <x:v>4.09</x:v>
      </x:c>
      <x:c r="J134" s="1" t="n">
        <x:v>5.22</x:v>
      </x:c>
      <x:c r="K134" s="1" t="n">
        <x:v>1.53</x:v>
      </x:c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 t="n">
        <x:v>467.42</x:v>
      </x:c>
      <x:c r="CA134" s="1" t="n">
        <x:v>632.76</x:v>
      </x:c>
      <x:c r="CB134" s="1" t="n">
        <x:v>1287.12</x:v>
      </x:c>
      <x:c r="CC134" s="1" t="n">
        <x:v>1393.59</x:v>
      </x:c>
      <x:c r="CD134" s="1" t="n">
        <x:v>1626.93</x:v>
      </x:c>
      <x:c r="CE134" s="1" t="n">
        <x:v>2010.62</x:v>
      </x:c>
      <x:c r="CF134" s="1" t="n">
        <x:v>1419.53</x:v>
      </x:c>
      <x:c r="CG134" s="1" t="n">
        <x:v>693.6</x:v>
      </x:c>
      <x:c r="CH134" s="1" t="n">
        <x:v>693.6</x:v>
      </x:c>
      <x:c r="CI134" s="1" t="n">
        <x:v>1102.04</x:v>
      </x:c>
      <x:c r="CJ134" s="1" t="n">
        <x:v>1275.49</x:v>
      </x:c>
      <x:c r="CK134" s="1" t="n">
        <x:v>9977.76</x:v>
      </x:c>
      <x:c r="CL134" s="1" t="n">
        <x:v>5197.08</x:v>
      </x:c>
      <x:c r="CM134" s="1" t="n">
        <x:v>2761.98</x:v>
      </x:c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  <x:c r="DE134" s="1"/>
      <x:c r="DF134" s="1"/>
      <x:c r="DG134" s="1"/>
      <x:c r="DH134" s="1"/>
      <x:c r="DI134" s="1"/>
      <x:c r="DJ134" s="1"/>
      <x:c r="DK134" s="1"/>
      <x:c r="DL134" s="1"/>
      <x:c r="DM134" s="1"/>
    </x:row>
    <x:row r="135" ht="23" customHeight="1">
      <x:c r="A135" s="1" t="n">
        <x:v>130</x:v>
      </x:c>
      <x:c r="B135" s="1"/>
      <x:c r="C135" s="1" t="str">
        <x:v>431-63-8</x:v>
      </x:c>
      <x:c r="D135" s="1"/>
      <x:c r="E135" s="1"/>
      <x:c r="F135" s="1"/>
      <x:c r="G135" s="1"/>
      <x:c r="H135" s="1" t="n">
        <x:v>0.97</x:v>
      </x:c>
      <x:c r="I135" s="1"/>
      <x:c r="J135" s="1" t="n">
        <x:v>5.73</x:v>
      </x:c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  <x:c r="DE135" s="1"/>
      <x:c r="DF135" s="1"/>
      <x:c r="DG135" s="1"/>
      <x:c r="DH135" s="1"/>
      <x:c r="DI135" s="1"/>
      <x:c r="DJ135" s="1"/>
      <x:c r="DK135" s="1"/>
      <x:c r="DL135" s="1"/>
      <x:c r="DM135" s="1"/>
    </x:row>
    <x:row r="136" ht="23" customHeight="1">
      <x:c r="A136" s="1" t="n">
        <x:v>131</x:v>
      </x:c>
      <x:c r="B136" s="1" t="str">
        <x:v>二乙氧基甲烷</x:v>
      </x:c>
      <x:c r="C136" s="1" t="str">
        <x:v>462-95-3</x:v>
      </x:c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 t="n">
        <x:v>23</x:v>
      </x:c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  <x:c r="DE136" s="1"/>
      <x:c r="DF136" s="1"/>
      <x:c r="DG136" s="1"/>
      <x:c r="DH136" s="1"/>
      <x:c r="DI136" s="1"/>
      <x:c r="DJ136" s="1"/>
      <x:c r="DK136" s="1"/>
      <x:c r="DL136" s="1"/>
      <x:c r="DM136" s="1"/>
    </x:row>
    <x:row r="137" ht="23" customHeight="1">
      <x:c r="A137" s="1" t="n">
        <x:v>132</x:v>
      </x:c>
      <x:c r="B137" s="1"/>
      <x:c r="C137" s="1" t="str">
        <x:v>463-40-1</x:v>
      </x:c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 t="n">
        <x:v>479</x:v>
      </x:c>
      <x:c r="O137" s="1" t="n">
        <x:v>444</x:v>
      </x:c>
      <x:c r="P137" s="1" t="n">
        <x:v>445</x:v>
      </x:c>
      <x:c r="Q137" s="1" t="n">
        <x:v>442</x:v>
      </x:c>
      <x:c r="R137" s="1" t="n">
        <x:v>124</x:v>
      </x:c>
      <x:c r="S137" s="1" t="n">
        <x:v>478</x:v>
      </x:c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  <x:c r="DE137" s="1"/>
      <x:c r="DF137" s="1"/>
      <x:c r="DG137" s="1"/>
      <x:c r="DH137" s="1"/>
      <x:c r="DI137" s="1"/>
      <x:c r="DJ137" s="1"/>
      <x:c r="DK137" s="1"/>
      <x:c r="DL137" s="1"/>
      <x:c r="DM137" s="1"/>
    </x:row>
    <x:row r="138" ht="23" customHeight="1">
      <x:c r="A138" s="1" t="n">
        <x:v>133</x:v>
      </x:c>
      <x:c r="B138" s="1" t="str">
        <x:v>3-糠醛</x:v>
      </x:c>
      <x:c r="C138" s="1" t="str">
        <x:v>498-60-2</x:v>
      </x:c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 t="n">
        <x:v>5790</x:v>
      </x:c>
      <x:c r="AF138" s="1" t="n">
        <x:v>11980</x:v>
      </x:c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  <x:c r="DE138" s="1"/>
      <x:c r="DF138" s="1"/>
      <x:c r="DG138" s="1"/>
      <x:c r="DH138" s="1"/>
      <x:c r="DI138" s="1"/>
      <x:c r="DJ138" s="1"/>
      <x:c r="DK138" s="1"/>
      <x:c r="DL138" s="1"/>
      <x:c r="DM138" s="1"/>
    </x:row>
    <x:row r="139" ht="23" customHeight="1">
      <x:c r="A139" s="1" t="n">
        <x:v>134</x:v>
      </x:c>
      <x:c r="B139" s="1" t="str">
        <x:v>3-苯基丙酸</x:v>
      </x:c>
      <x:c r="C139" s="1" t="str">
        <x:v>501-52-0</x:v>
      </x:c>
      <x:c r="D139" s="1"/>
      <x:c r="E139" s="1" t="n">
        <x:v>473</x:v>
      </x:c>
      <x:c r="F139" s="1" t="n">
        <x:v>374</x:v>
      </x:c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  <x:c r="DE139" s="1"/>
      <x:c r="DF139" s="1"/>
      <x:c r="DG139" s="1"/>
      <x:c r="DH139" s="1"/>
      <x:c r="DI139" s="1"/>
      <x:c r="DJ139" s="1"/>
      <x:c r="DK139" s="1"/>
      <x:c r="DL139" s="1"/>
      <x:c r="DM139" s="1"/>
    </x:row>
    <x:row r="140" ht="23" customHeight="1">
      <x:c r="A140" s="1" t="n">
        <x:v>135</x:v>
      </x:c>
      <x:c r="B140" s="1"/>
      <x:c r="C140" s="1" t="str">
        <x:v>502-69-2</x:v>
      </x:c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 t="n">
        <x:v>508</x:v>
      </x:c>
      <x:c r="O140" s="1" t="n">
        <x:v>221</x:v>
      </x:c>
      <x:c r="P140" s="1" t="n">
        <x:v>384</x:v>
      </x:c>
      <x:c r="Q140" s="1" t="n">
        <x:v>314</x:v>
      </x:c>
      <x:c r="R140" s="1" t="n">
        <x:v>277</x:v>
      </x:c>
      <x:c r="S140" s="1" t="n">
        <x:v>449</x:v>
      </x:c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  <x:c r="DE140" s="1"/>
      <x:c r="DF140" s="1"/>
      <x:c r="DG140" s="1"/>
      <x:c r="DH140" s="1"/>
      <x:c r="DI140" s="1"/>
      <x:c r="DJ140" s="1"/>
      <x:c r="DK140" s="1"/>
      <x:c r="DL140" s="1"/>
      <x:c r="DM140" s="1"/>
    </x:row>
    <x:row r="141" ht="23" customHeight="1">
      <x:c r="A141" s="1" t="n">
        <x:v>136</x:v>
      </x:c>
      <x:c r="B141" s="1" t="str">
        <x:v>异戊酸/3-甲基丁酸</x:v>
      </x:c>
      <x:c r="C141" s="1" t="str">
        <x:v>503-74-2</x:v>
      </x:c>
      <x:c r="D141" s="1" t="n">
        <x:v>1050</x:v>
      </x:c>
      <x:c r="E141" s="1" t="n">
        <x:v>3885</x:v>
      </x:c>
      <x:c r="F141" s="1" t="n">
        <x:v>13702</x:v>
      </x:c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 t="n">
        <x:v>7</x:v>
      </x:c>
      <x:c r="U141" s="1" t="n">
        <x:v>9</x:v>
      </x:c>
      <x:c r="V141" s="1" t="n">
        <x:v>1.1875</x:v>
      </x:c>
      <x:c r="W141" s="1" t="n">
        <x:v>26500</x:v>
      </x:c>
      <x:c r="X141" s="1" t="n">
        <x:v>12100</x:v>
      </x:c>
      <x:c r="Y141" s="1" t="n">
        <x:v>26300</x:v>
      </x:c>
      <x:c r="Z141" s="1" t="n">
        <x:v>13600</x:v>
      </x:c>
      <x:c r="AA141" s="1" t="n">
        <x:v>44000</x:v>
      </x:c>
      <x:c r="AB141" s="1" t="n">
        <x:v>21000</x:v>
      </x:c>
      <x:c r="AC141" s="1" t="n">
        <x:v>33800</x:v>
      </x:c>
      <x:c r="AD141" s="1" t="n">
        <x:v>688</x:v>
      </x:c>
      <x:c r="AE141" s="1" t="n">
        <x:v>11210</x:v>
      </x:c>
      <x:c r="AF141" s="1" t="n">
        <x:v>10880</x:v>
      </x:c>
      <x:c r="AG141" s="1" t="n">
        <x:v>1185</x:v>
      </x:c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 t="n">
        <x:v>9.57</x:v>
      </x:c>
      <x:c r="AR141" s="1" t="n">
        <x:v>9.64</x:v>
      </x:c>
      <x:c r="AS141" s="1" t="n">
        <x:v>15.8</x:v>
      </x:c>
      <x:c r="AT141" s="1" t="n">
        <x:v>15.89</x:v>
      </x:c>
      <x:c r="AU141" s="1"/>
      <x:c r="AV141" s="1" t="n">
        <x:v>0</x:v>
      </x:c>
      <x:c r="AW141" s="1" t="n">
        <x:v>21</x:v>
      </x:c>
      <x:c r="AX141" s="1" t="n">
        <x:v>14564</x:v>
      </x:c>
      <x:c r="AY141" s="1" t="n">
        <x:v>0</x:v>
      </x:c>
      <x:c r="AZ141" s="1"/>
      <x:c r="BA141" s="1"/>
      <x:c r="BB141" s="1"/>
      <x:c r="BC141" s="1"/>
      <x:c r="BD141" s="1" t="n">
        <x:v>6.61</x:v>
      </x:c>
      <x:c r="BE141" s="1" t="n">
        <x:v>12.49</x:v>
      </x:c>
      <x:c r="BF141" s="1" t="n">
        <x:v>9.21</x:v>
      </x:c>
      <x:c r="BG141" s="1" t="n">
        <x:v>5.49</x:v>
      </x:c>
      <x:c r="BH141" s="1"/>
      <x:c r="BI141" s="1" t="n">
        <x:v>6.07</x:v>
      </x:c>
      <x:c r="BJ141" s="1"/>
      <x:c r="BK141" s="1" t="n">
        <x:v>7.38</x:v>
      </x:c>
      <x:c r="BL141" s="1" t="n">
        <x:v>3.2</x:v>
      </x:c>
      <x:c r="BM141" s="1" t="n">
        <x:v>10.33</x:v>
      </x:c>
      <x:c r="BN141" s="1" t="n">
        <x:v>2.44</x:v>
      </x:c>
      <x:c r="BO141" s="1" t="n">
        <x:v>9.157</x:v>
      </x:c>
      <x:c r="BP141" s="1"/>
      <x:c r="BQ141" s="1" t="n">
        <x:v>7100</x:v>
      </x:c>
      <x:c r="BR141" s="1" t="n">
        <x:v>18100</x:v>
      </x:c>
      <x:c r="BS141" s="1" t="n">
        <x:v>12600</x:v>
      </x:c>
      <x:c r="BT141" s="1" t="n">
        <x:v>15800</x:v>
      </x:c>
      <x:c r="BU141" s="1" t="n">
        <x:v>32300</x:v>
      </x:c>
      <x:c r="BV141" s="1" t="n">
        <x:v>7000</x:v>
      </x:c>
      <x:c r="BW141" s="1" t="n">
        <x:v>25600</x:v>
      </x:c>
      <x:c r="BX141" s="1" t="n">
        <x:v>16900</x:v>
      </x:c>
      <x:c r="BY141" s="1" t="n">
        <x:v>26000</x:v>
      </x:c>
      <x:c r="BZ141" s="1" t="n">
        <x:v>5.04</x:v>
      </x:c>
      <x:c r="CA141" s="1" t="n">
        <x:v>5.255</x:v>
      </x:c>
      <x:c r="CB141" s="1" t="n">
        <x:v>4.8</x:v>
      </x:c>
      <x:c r="CC141" s="1" t="n">
        <x:v>4.8</x:v>
      </x:c>
      <x:c r="CD141" s="1" t="n">
        <x:v>5.17</x:v>
      </x:c>
      <x:c r="CE141" s="1" t="n">
        <x:v>11.83</x:v>
      </x:c>
      <x:c r="CF141" s="1" t="n">
        <x:v>4.93</x:v>
      </x:c>
      <x:c r="CG141" s="1" t="n">
        <x:v>1.37</x:v>
      </x:c>
      <x:c r="CH141" s="1" t="n">
        <x:v>1.6</x:v>
      </x:c>
      <x:c r="CI141" s="1" t="n">
        <x:v>11.47</x:v>
      </x:c>
      <x:c r="CJ141" s="1" t="n">
        <x:v>12.74</x:v>
      </x:c>
      <x:c r="CK141" s="1" t="n">
        <x:v>12.71</x:v>
      </x:c>
      <x:c r="CL141" s="1" t="n">
        <x:v>13.17</x:v>
      </x:c>
      <x:c r="CM141" s="1" t="n">
        <x:v>7.44</x:v>
      </x:c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 t="n">
        <x:v>13694.63</x:v>
      </x:c>
      <x:c r="CY141" s="1" t="n">
        <x:v>10206.88</x:v>
      </x:c>
      <x:c r="CZ141" s="1" t="n">
        <x:v>6864.55</x:v>
      </x:c>
      <x:c r="DA141" s="1" t="n">
        <x:v>12747.1</x:v>
      </x:c>
      <x:c r="DB141" s="1" t="n">
        <x:v>4760.44</x:v>
      </x:c>
      <x:c r="DC141" s="1" t="n">
        <x:v>14470.96</x:v>
      </x:c>
      <x:c r="DD141" s="1" t="n">
        <x:v>12847.69</x:v>
      </x:c>
      <x:c r="DE141" s="1" t="n">
        <x:v>15474.39</x:v>
      </x:c>
      <x:c r="DF141" s="1" t="n">
        <x:v>7017.64</x:v>
      </x:c>
      <x:c r="DG141" s="1" t="n">
        <x:v>5762.54</x:v>
      </x:c>
      <x:c r="DH141" s="1" t="n">
        <x:v>8091.67</x:v>
      </x:c>
      <x:c r="DI141" s="1" t="n">
        <x:v>5175.73</x:v>
      </x:c>
      <x:c r="DJ141" s="1" t="n">
        <x:v>7943.99</x:v>
      </x:c>
      <x:c r="DK141" s="1" t="n">
        <x:v>6506.78</x:v>
      </x:c>
      <x:c r="DL141" s="1" t="n">
        <x:v>7716.44</x:v>
      </x:c>
      <x:c r="DM141" s="1" t="n">
        <x:v>6655.6</x:v>
      </x:c>
    </x:row>
    <x:row r="142" ht="23" customHeight="1">
      <x:c r="A142" s="1" t="n">
        <x:v>137</x:v>
      </x:c>
      <x:c r="B142" s="1"/>
      <x:c r="C142" s="1" t="str">
        <x:v>505-10-2</x:v>
      </x:c>
      <x:c r="D142" s="1"/>
      <x:c r="E142" s="1"/>
      <x:c r="F142" s="1" t="n">
        <x:v>205</x:v>
      </x:c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 t="n">
        <x:v>4000</x:v>
      </x:c>
      <x:c r="X142" s="1" t="n">
        <x:v>1100</x:v>
      </x:c>
      <x:c r="Y142" s="1" t="n">
        <x:v>3420</x:v>
      </x:c>
      <x:c r="Z142" s="1" t="n">
        <x:v>2420</x:v>
      </x:c>
      <x:c r="AA142" s="1" t="n">
        <x:v>8140</x:v>
      </x:c>
      <x:c r="AB142" s="1" t="n">
        <x:v>1080</x:v>
      </x:c>
      <x:c r="AC142" s="1" t="n">
        <x:v>8660</x:v>
      </x:c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  <x:c r="DE142" s="1"/>
      <x:c r="DF142" s="1"/>
      <x:c r="DG142" s="1"/>
      <x:c r="DH142" s="1"/>
      <x:c r="DI142" s="1"/>
      <x:c r="DJ142" s="1"/>
      <x:c r="DK142" s="1"/>
      <x:c r="DL142" s="1"/>
      <x:c r="DM142" s="1"/>
    </x:row>
    <x:row r="143" ht="23" customHeight="1">
      <x:c r="A143" s="1" t="n">
        <x:v>138</x:v>
      </x:c>
      <x:c r="B143" s="1" t="str">
        <x:v>苯甲酸乙酯</x:v>
      </x:c>
      <x:c r="C143" s="1" t="str">
        <x:v>513-85-9</x:v>
      </x:c>
      <x:c r="D143" s="1" t="n">
        <x:v>407</x:v>
      </x:c>
      <x:c r="E143" s="1"/>
      <x:c r="F143" s="1"/>
      <x:c r="G143" s="1" t="n">
        <x:v>2.32</x:v>
      </x:c>
      <x:c r="H143" s="1" t="n">
        <x:v>2.19</x:v>
      </x:c>
      <x:c r="I143" s="1" t="n">
        <x:v>1.25</x:v>
      </x:c>
      <x:c r="J143" s="1" t="n">
        <x:v>1.27</x:v>
      </x:c>
      <x:c r="K143" s="1" t="n">
        <x:v>2.34</x:v>
      </x:c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 t="n">
        <x:v>7.13</x:v>
      </x:c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  <x:c r="DE143" s="1"/>
      <x:c r="DF143" s="1"/>
      <x:c r="DG143" s="1"/>
      <x:c r="DH143" s="1"/>
      <x:c r="DI143" s="1"/>
      <x:c r="DJ143" s="1"/>
      <x:c r="DK143" s="1"/>
      <x:c r="DL143" s="1"/>
      <x:c r="DM143" s="1"/>
    </x:row>
    <x:row r="144" ht="23" customHeight="1">
      <x:c r="A144" s="1" t="n">
        <x:v>139</x:v>
      </x:c>
      <x:c r="B144" s="1" t="str">
        <x:v>3-羟基-2-丁酮</x:v>
      </x:c>
      <x:c r="C144" s="1" t="str">
        <x:v>513-86-0</x:v>
      </x:c>
      <x:c r="D144" s="1" t="n">
        <x:v>259</x:v>
      </x:c>
      <x:c r="E144" s="1"/>
      <x:c r="F144" s="1"/>
      <x:c r="G144" s="1" t="n">
        <x:v>4.1</x:v>
      </x:c>
      <x:c r="H144" s="1" t="n">
        <x:v>1.68</x:v>
      </x:c>
      <x:c r="I144" s="1" t="n">
        <x:v>0.95</x:v>
      </x:c>
      <x:c r="J144" s="1" t="n">
        <x:v>77.53</x:v>
      </x:c>
      <x:c r="K144" s="1" t="n">
        <x:v>55.38</x:v>
      </x:c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 t="n">
        <x:v>420</x:v>
      </x:c>
      <x:c r="AI144" s="1" t="n">
        <x:v>260</x:v>
      </x:c>
      <x:c r="AJ144" s="1" t="n">
        <x:v>180</x:v>
      </x:c>
      <x:c r="AK144" s="1"/>
      <x:c r="AL144" s="1"/>
      <x:c r="AM144" s="1"/>
      <x:c r="AN144" s="1"/>
      <x:c r="AO144" s="1"/>
      <x:c r="AP144" s="1"/>
      <x:c r="AQ144" s="1"/>
      <x:c r="AR144" s="1" t="n">
        <x:v>1.21</x:v>
      </x:c>
      <x:c r="AS144" s="1" t="n">
        <x:v>4.35</x:v>
      </x:c>
      <x:c r="AT144" s="1" t="n">
        <x:v>4.52</x:v>
      </x:c>
      <x:c r="AU144" s="1" t="n">
        <x:v>15.18</x:v>
      </x:c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  <x:c r="DE144" s="1"/>
      <x:c r="DF144" s="1"/>
      <x:c r="DG144" s="1"/>
      <x:c r="DH144" s="1"/>
      <x:c r="DI144" s="1"/>
      <x:c r="DJ144" s="1"/>
      <x:c r="DK144" s="1"/>
      <x:c r="DL144" s="1"/>
      <x:c r="DM144" s="1"/>
    </x:row>
    <x:row r="145" ht="23" customHeight="1">
      <x:c r="A145" s="1" t="n">
        <x:v>140</x:v>
      </x:c>
      <x:c r="B145" s="1" t="str">
        <x:v>2-甲基呋喃</x:v>
      </x:c>
      <x:c r="C145" s="1" t="str">
        <x:v>534-22-5</x:v>
      </x:c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 t="n">
        <x:v>3</x:v>
      </x:c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  <x:c r="DE145" s="1"/>
      <x:c r="DF145" s="1"/>
      <x:c r="DG145" s="1"/>
      <x:c r="DH145" s="1"/>
      <x:c r="DI145" s="1"/>
      <x:c r="DJ145" s="1"/>
      <x:c r="DK145" s="1"/>
      <x:c r="DL145" s="1"/>
      <x:c r="DM145" s="1"/>
    </x:row>
    <x:row r="146" ht="23" customHeight="1">
      <x:c r="A146" s="1" t="n">
        <x:v>141</x:v>
      </x:c>
      <x:c r="B146" s="1" t="str">
        <x:v>戊酸乙酯</x:v>
      </x:c>
      <x:c r="C146" s="1" t="str">
        <x:v>539-82-2</x:v>
      </x:c>
      <x:c r="D146" s="1" t="n">
        <x:v>26.8</x:v>
      </x:c>
      <x:c r="E146" s="1" t="n">
        <x:v>44849</x:v>
      </x:c>
      <x:c r="F146" s="1" t="n">
        <x:v>143889</x:v>
      </x:c>
      <x:c r="G146" s="1" t="n">
        <x:v>439.66</x:v>
      </x:c>
      <x:c r="H146" s="1" t="n">
        <x:v>114.58</x:v>
      </x:c>
      <x:c r="I146" s="1" t="n">
        <x:v>80.4</x:v>
      </x:c>
      <x:c r="J146" s="1" t="n">
        <x:v>393.75</x:v>
      </x:c>
      <x:c r="K146" s="1" t="n">
        <x:v>82.3</x:v>
      </x:c>
      <x:c r="L146" s="1" t="n">
        <x:v>18031</x:v>
      </x:c>
      <x:c r="M146" s="1" t="n">
        <x:v>16080</x:v>
      </x:c>
      <x:c r="N146" s="1" t="n">
        <x:v>69105</x:v>
      </x:c>
      <x:c r="O146" s="1" t="n">
        <x:v>109528</x:v>
      </x:c>
      <x:c r="P146" s="1" t="n">
        <x:v>115971</x:v>
      </x:c>
      <x:c r="Q146" s="1" t="n">
        <x:v>124348</x:v>
      </x:c>
      <x:c r="R146" s="1" t="n">
        <x:v>106662</x:v>
      </x:c>
      <x:c r="S146" s="1" t="n">
        <x:v>127159</x:v>
      </x:c>
      <x:c r="T146" s="1" t="n">
        <x:v>0</x:v>
      </x:c>
      <x:c r="U146" s="1" t="n">
        <x:v>6665</x:v>
      </x:c>
      <x:c r="V146" s="1"/>
      <x:c r="W146" s="1" t="n">
        <x:v>193000</x:v>
      </x:c>
      <x:c r="X146" s="1" t="n">
        <x:v>46400</x:v>
      </x:c>
      <x:c r="Y146" s="1" t="n">
        <x:v>34100</x:v>
      </x:c>
      <x:c r="Z146" s="1" t="n">
        <x:v>25100</x:v>
      </x:c>
      <x:c r="AA146" s="1" t="n">
        <x:v>21000</x:v>
      </x:c>
      <x:c r="AB146" s="1" t="n">
        <x:v>15300</x:v>
      </x:c>
      <x:c r="AC146" s="1" t="n">
        <x:v>11900</x:v>
      </x:c>
      <x:c r="AD146" s="1" t="n">
        <x:v>7770</x:v>
      </x:c>
      <x:c r="AE146" s="1" t="n">
        <x:v>236260</x:v>
      </x:c>
      <x:c r="AF146" s="1" t="n">
        <x:v>93770</x:v>
      </x:c>
      <x:c r="AG146" s="1" t="n">
        <x:v>1039840</x:v>
      </x:c>
      <x:c r="AH146" s="1" t="n">
        <x:v>1130</x:v>
      </x:c>
      <x:c r="AI146" s="1" t="n">
        <x:v>9040</x:v>
      </x:c>
      <x:c r="AJ146" s="1" t="n">
        <x:v>3800</x:v>
      </x:c>
      <x:c r="AK146" s="1" t="n">
        <x:v>15550</x:v>
      </x:c>
      <x:c r="AL146" s="1" t="n">
        <x:v>46560</x:v>
      </x:c>
      <x:c r="AM146" s="1"/>
      <x:c r="AN146" s="1"/>
      <x:c r="AO146" s="1"/>
      <x:c r="AP146" s="1"/>
      <x:c r="AQ146" s="1" t="n">
        <x:v>343.15</x:v>
      </x:c>
      <x:c r="AR146" s="1" t="n">
        <x:v>94.67</x:v>
      </x:c>
      <x:c r="AS146" s="1" t="n">
        <x:v>83.73</x:v>
      </x:c>
      <x:c r="AT146" s="1" t="n">
        <x:v>127.85</x:v>
      </x:c>
      <x:c r="AU146" s="1" t="n">
        <x:v>17.71</x:v>
      </x:c>
      <x:c r="AV146" s="1" t="n">
        <x:v>18205</x:v>
      </x:c>
      <x:c r="AW146" s="1" t="n">
        <x:v>2388</x:v>
      </x:c>
      <x:c r="AX146" s="1" t="n">
        <x:v>17738</x:v>
      </x:c>
      <x:c r="AY146" s="1" t="n">
        <x:v>54100</x:v>
      </x:c>
      <x:c r="AZ146" s="1" t="n">
        <x:v>10567</x:v>
      </x:c>
      <x:c r="BA146" s="1" t="n">
        <x:v>8774</x:v>
      </x:c>
      <x:c r="BB146" s="1" t="n">
        <x:v>2.2</x:v>
      </x:c>
      <x:c r="BC146" s="1" t="n">
        <x:v>1326.5</x:v>
      </x:c>
      <x:c r="BD146" s="1" t="n">
        <x:v>22.79</x:v>
      </x:c>
      <x:c r="BE146" s="1" t="n">
        <x:v>540.83</x:v>
      </x:c>
      <x:c r="BF146" s="1" t="n">
        <x:v>439.41</x:v>
      </x:c>
      <x:c r="BG146" s="1" t="n">
        <x:v>10.46</x:v>
      </x:c>
      <x:c r="BH146" s="1" t="n">
        <x:v>37.66</x:v>
      </x:c>
      <x:c r="BI146" s="1" t="n">
        <x:v>5.81</x:v>
      </x:c>
      <x:c r="BJ146" s="1" t="n">
        <x:v>19.8</x:v>
      </x:c>
      <x:c r="BK146" s="1" t="n">
        <x:v>72.57</x:v>
      </x:c>
      <x:c r="BL146" s="1" t="n">
        <x:v>168.4</x:v>
      </x:c>
      <x:c r="BM146" s="1" t="n">
        <x:v>105.92</x:v>
      </x:c>
      <x:c r="BN146" s="1" t="n">
        <x:v>116.42</x:v>
      </x:c>
      <x:c r="BO146" s="1" t="n">
        <x:v>89.56</x:v>
      </x:c>
      <x:c r="BP146" s="1" t="n">
        <x:v>35.55</x:v>
      </x:c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 t="n">
        <x:v>1647.0933</x:v>
      </x:c>
      <x:c r="CA146" s="1" t="n">
        <x:v>1713.9833</x:v>
      </x:c>
      <x:c r="CB146" s="1" t="n">
        <x:v>96.19</x:v>
      </x:c>
      <x:c r="CC146" s="1" t="n">
        <x:v>74.3</x:v>
      </x:c>
      <x:c r="CD146" s="1" t="n">
        <x:v>172.95</x:v>
      </x:c>
      <x:c r="CE146" s="1" t="n">
        <x:v>187.93</x:v>
      </x:c>
      <x:c r="CF146" s="1" t="n">
        <x:v>79.51</x:v>
      </x:c>
      <x:c r="CG146" s="1" t="n">
        <x:v>76.49</x:v>
      </x:c>
      <x:c r="CH146" s="1" t="n">
        <x:v>55.9</x:v>
      </x:c>
      <x:c r="CI146" s="1" t="n">
        <x:v>365.85</x:v>
      </x:c>
      <x:c r="CJ146" s="1" t="n">
        <x:v>450.7</x:v>
      </x:c>
      <x:c r="CK146" s="1" t="n">
        <x:v>214.2</x:v>
      </x:c>
      <x:c r="CL146" s="1" t="n">
        <x:v>202.97</x:v>
      </x:c>
      <x:c r="CM146" s="1" t="n">
        <x:v>157.26</x:v>
      </x:c>
      <x:c r="CN146" s="1" t="n">
        <x:v>34353</x:v>
      </x:c>
      <x:c r="CO146" s="1" t="n">
        <x:v>40919</x:v>
      </x:c>
      <x:c r="CP146" s="1" t="n">
        <x:v>44543</x:v>
      </x:c>
      <x:c r="CQ146" s="1" t="n">
        <x:v>47947</x:v>
      </x:c>
      <x:c r="CR146" s="1" t="n">
        <x:v>27166.51</x:v>
      </x:c>
      <x:c r="CS146" s="1" t="n">
        <x:v>33933.56</x:v>
      </x:c>
      <x:c r="CT146" s="1" t="n">
        <x:v>2434.67</x:v>
      </x:c>
      <x:c r="CU146" s="1" t="n">
        <x:v>1774.81</x:v>
      </x:c>
      <x:c r="CV146" s="1" t="n">
        <x:v>1443.09</x:v>
      </x:c>
      <x:c r="CW146" s="1" t="n">
        <x:v>2029.81</x:v>
      </x:c>
      <x:c r="CX146" s="1" t="n">
        <x:v>5905.54</x:v>
      </x:c>
      <x:c r="CY146" s="1" t="n">
        <x:v>9013.55</x:v>
      </x:c>
      <x:c r="CZ146" s="1" t="n">
        <x:v>17277.68</x:v>
      </x:c>
      <x:c r="DA146" s="1" t="n">
        <x:v>12621.33</x:v>
      </x:c>
      <x:c r="DB146" s="1" t="n">
        <x:v>6483.78</x:v>
      </x:c>
      <x:c r="DC146" s="1" t="n">
        <x:v>9898.88</x:v>
      </x:c>
      <x:c r="DD146" s="1" t="n">
        <x:v>10681.44</x:v>
      </x:c>
      <x:c r="DE146" s="1" t="n">
        <x:v>8344.03</x:v>
      </x:c>
      <x:c r="DF146" s="1" t="n">
        <x:v>27536.03</x:v>
      </x:c>
      <x:c r="DG146" s="1" t="n">
        <x:v>19926.68</x:v>
      </x:c>
      <x:c r="DH146" s="1" t="n">
        <x:v>27625.85</x:v>
      </x:c>
      <x:c r="DI146" s="1" t="n">
        <x:v>12113.61</x:v>
      </x:c>
      <x:c r="DJ146" s="1" t="n">
        <x:v>52302.3</x:v>
      </x:c>
      <x:c r="DK146" s="1" t="n">
        <x:v>12189.85</x:v>
      </x:c>
      <x:c r="DL146" s="1" t="n">
        <x:v>17249.93</x:v>
      </x:c>
      <x:c r="DM146" s="1" t="n">
        <x:v>14541.46</x:v>
      </x:c>
    </x:row>
    <x:row r="147" ht="23" customHeight="1">
      <x:c r="A147" s="1" t="n">
        <x:v>142</x:v>
      </x:c>
      <x:c r="B147" s="1" t="str">
        <x:v>丁酸异丁酯</x:v>
      </x:c>
      <x:c r="C147" s="1" t="str">
        <x:v>539-90-2</x:v>
      </x:c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 t="n">
        <x:v>222</x:v>
      </x:c>
      <x:c r="BA147" s="1" t="n">
        <x:v>119</x:v>
      </x:c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  <x:c r="DE147" s="1"/>
      <x:c r="DF147" s="1"/>
      <x:c r="DG147" s="1"/>
      <x:c r="DH147" s="1"/>
      <x:c r="DI147" s="1"/>
      <x:c r="DJ147" s="1"/>
      <x:c r="DK147" s="1"/>
      <x:c r="DL147" s="1"/>
      <x:c r="DM147" s="1"/>
    </x:row>
    <x:row r="148" ht="23" customHeight="1">
      <x:c r="A148" s="1" t="n">
        <x:v>143</x:v>
      </x:c>
      <x:c r="B148" s="1" t="str">
        <x:v>4-甲基戊酸乙酯/异己酸乙酯</x:v>
      </x:c>
      <x:c r="C148" s="1" t="str">
        <x:v>540-07-8</x:v>
      </x:c>
      <x:c r="D148" s="1"/>
      <x:c r="E148" s="1"/>
      <x:c r="F148" s="1"/>
      <x:c r="G148" s="1"/>
      <x:c r="H148" s="1" t="n">
        <x:v>94.42</x:v>
      </x:c>
      <x:c r="I148" s="1" t="n">
        <x:v>3.48</x:v>
      </x:c>
      <x:c r="J148" s="1"/>
      <x:c r="K148" s="1"/>
      <x:c r="L148" s="1"/>
      <x:c r="M148" s="1"/>
      <x:c r="N148" s="1" t="n">
        <x:v>40843</x:v>
      </x:c>
      <x:c r="O148" s="1" t="n">
        <x:v>35625</x:v>
      </x:c>
      <x:c r="P148" s="1" t="n">
        <x:v>29245</x:v>
      </x:c>
      <x:c r="Q148" s="1" t="n">
        <x:v>24228</x:v>
      </x:c>
      <x:c r="R148" s="1" t="n">
        <x:v>24708</x:v>
      </x:c>
      <x:c r="S148" s="1" t="n">
        <x:v>23626</x:v>
      </x:c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 t="n">
        <x:v>1250</x:v>
      </x:c>
      <x:c r="AL148" s="1" t="n">
        <x:v>1300</x:v>
      </x:c>
      <x:c r="AM148" s="1" t="n">
        <x:v>2590</x:v>
      </x:c>
      <x:c r="AN148" s="1"/>
      <x:c r="AO148" s="1" t="n">
        <x:v>550</x:v>
      </x:c>
      <x:c r="AP148" s="1" t="n">
        <x:v>3350</x:v>
      </x:c>
      <x:c r="AQ148" s="1" t="n">
        <x:v>17.42</x:v>
      </x:c>
      <x:c r="AR148" s="1" t="n">
        <x:v>10.07</x:v>
      </x:c>
      <x:c r="AS148" s="1" t="n">
        <x:v>3.13</x:v>
      </x:c>
      <x:c r="AT148" s="1" t="n">
        <x:v>3.89</x:v>
      </x:c>
      <x:c r="AU148" s="1"/>
      <x:c r="AV148" s="1"/>
      <x:c r="AW148" s="1"/>
      <x:c r="AX148" s="1"/>
      <x:c r="AY148" s="1"/>
      <x:c r="AZ148" s="1"/>
      <x:c r="BA148" s="1" t="n">
        <x:v>2395</x:v>
      </x:c>
      <x:c r="BB148" s="1" t="n">
        <x:v>180.22</x:v>
      </x:c>
      <x:c r="BC148" s="1" t="n">
        <x:v>1</x:v>
      </x:c>
      <x:c r="BD148" s="1" t="n">
        <x:v>256.64</x:v>
      </x:c>
      <x:c r="BE148" s="1" t="n">
        <x:v>442.36</x:v>
      </x:c>
      <x:c r="BF148" s="1" t="n">
        <x:v>466.655</x:v>
      </x:c>
      <x:c r="BG148" s="1" t="n">
        <x:v>65.61</x:v>
      </x:c>
      <x:c r="BH148" s="1" t="n">
        <x:v>5583.96</x:v>
      </x:c>
      <x:c r="BI148" s="1" t="n">
        <x:v>57.34</x:v>
      </x:c>
      <x:c r="BJ148" s="1" t="n">
        <x:v>462.93</x:v>
      </x:c>
      <x:c r="BK148" s="1" t="n">
        <x:v>3412</x:v>
      </x:c>
      <x:c r="BL148" s="1" t="n">
        <x:v>4622.89</x:v>
      </x:c>
      <x:c r="BM148" s="1" t="n">
        <x:v>4350.22</x:v>
      </x:c>
      <x:c r="BN148" s="1" t="n">
        <x:v>4726.98</x:v>
      </x:c>
      <x:c r="BO148" s="1" t="n">
        <x:v>5390.31</x:v>
      </x:c>
      <x:c r="BP148" s="1" t="n">
        <x:v>511.61</x:v>
      </x:c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 t="n">
        <x:v>1260.45</x:v>
      </x:c>
      <x:c r="CA148" s="1" t="n">
        <x:v>3043.17</x:v>
      </x:c>
      <x:c r="CB148" s="1" t="n">
        <x:v>2017.38</x:v>
      </x:c>
      <x:c r="CC148" s="1" t="n">
        <x:v>942.17</x:v>
      </x:c>
      <x:c r="CD148" s="1" t="n">
        <x:v>4059.33</x:v>
      </x:c>
      <x:c r="CE148" s="1" t="n">
        <x:v>2077.76</x:v>
      </x:c>
      <x:c r="CF148" s="1" t="n">
        <x:v>2359.92</x:v>
      </x:c>
      <x:c r="CG148" s="1" t="n">
        <x:v>750.18</x:v>
      </x:c>
      <x:c r="CH148" s="1" t="n">
        <x:v>503.8</x:v>
      </x:c>
      <x:c r="CI148" s="1" t="n">
        <x:v>4492.7</x:v>
      </x:c>
      <x:c r="CJ148" s="1" t="n">
        <x:v>8653.01</x:v>
      </x:c>
      <x:c r="CK148" s="1" t="n">
        <x:v>9281.16</x:v>
      </x:c>
      <x:c r="CL148" s="1" t="n">
        <x:v>2977.48</x:v>
      </x:c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 t="n">
        <x:v>31.17</x:v>
      </x:c>
      <x:c r="CY148" s="1" t="n">
        <x:v>298.54</x:v>
      </x:c>
      <x:c r="CZ148" s="1" t="n">
        <x:v>224.93</x:v>
      </x:c>
      <x:c r="DA148" s="1" t="n">
        <x:v>42.04</x:v>
      </x:c>
      <x:c r="DB148" s="1" t="n">
        <x:v>305.62</x:v>
      </x:c>
      <x:c r="DC148" s="1" t="n">
        <x:v>35.67</x:v>
      </x:c>
      <x:c r="DD148" s="1" t="n">
        <x:v>699.18</x:v>
      </x:c>
      <x:c r="DE148" s="1" t="n">
        <x:v>68.19</x:v>
      </x:c>
      <x:c r="DF148" s="1" t="n">
        <x:v>199.44</x:v>
      </x:c>
      <x:c r="DG148" s="1" t="n">
        <x:v>67.08</x:v>
      </x:c>
      <x:c r="DH148" s="1" t="n">
        <x:v>476.4</x:v>
      </x:c>
      <x:c r="DI148" s="1" t="n">
        <x:v>322.76</x:v>
      </x:c>
      <x:c r="DJ148" s="1" t="n">
        <x:v>208.29</x:v>
      </x:c>
      <x:c r="DK148" s="1" t="n">
        <x:v>73.46</x:v>
      </x:c>
      <x:c r="DL148" s="1" t="n">
        <x:v>2920.01</x:v>
      </x:c>
      <x:c r="DM148" s="1" t="n">
        <x:v>76.44</x:v>
      </x:c>
    </x:row>
    <x:row r="149" ht="23" customHeight="1">
      <x:c r="A149" s="1" t="n">
        <x:v>144</x:v>
      </x:c>
      <x:c r="B149" s="1"/>
      <x:c r="C149" s="1" t="str">
        <x:v>540-18-1</x:v>
      </x:c>
      <x:c r="D149" s="1"/>
      <x:c r="E149" s="1"/>
      <x:c r="F149" s="1"/>
      <x:c r="G149" s="1"/>
      <x:c r="H149" s="1" t="n">
        <x:v>0.05</x:v>
      </x:c>
      <x:c r="I149" s="1"/>
      <x:c r="J149" s="1"/>
      <x:c r="K149" s="1" t="n">
        <x:v>0.85</x:v>
      </x:c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  <x:c r="DE149" s="1"/>
      <x:c r="DF149" s="1"/>
      <x:c r="DG149" s="1"/>
      <x:c r="DH149" s="1"/>
      <x:c r="DI149" s="1"/>
      <x:c r="DJ149" s="1"/>
      <x:c r="DK149" s="1"/>
      <x:c r="DL149" s="1"/>
      <x:c r="DM149" s="1"/>
    </x:row>
    <x:row r="150" ht="23" customHeight="1">
      <x:c r="A150" s="1" t="n">
        <x:v>145</x:v>
      </x:c>
      <x:c r="B150" s="1"/>
      <x:c r="C150" s="1" t="str">
        <x:v>542-10-9</x:v>
      </x:c>
      <x:c r="D150" s="1"/>
      <x:c r="E150" s="1"/>
      <x:c r="F150" s="1"/>
      <x:c r="G150" s="1"/>
      <x:c r="H150" s="1" t="n">
        <x:v>0.73</x:v>
      </x:c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  <x:c r="DE150" s="1"/>
      <x:c r="DF150" s="1"/>
      <x:c r="DG150" s="1"/>
      <x:c r="DH150" s="1"/>
      <x:c r="DI150" s="1"/>
      <x:c r="DJ150" s="1"/>
      <x:c r="DK150" s="1"/>
      <x:c r="DL150" s="1"/>
      <x:c r="DM150" s="1"/>
    </x:row>
    <x:row r="151" ht="23" customHeight="1">
      <x:c r="A151" s="1" t="n">
        <x:v>146</x:v>
      </x:c>
      <x:c r="B151" s="1" t="str">
        <x:v>2-庚醇</x:v>
      </x:c>
      <x:c r="C151" s="1" t="str">
        <x:v>543-49-7</x:v>
      </x:c>
      <x:c r="D151" s="1" t="n">
        <x:v>1431</x:v>
      </x:c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 t="n">
        <x:v>0</x:v>
      </x:c>
      <x:c r="U151" s="1" t="n">
        <x:v>0</x:v>
      </x:c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 t="n">
        <x:v>56.865</x:v>
      </x:c>
      <x:c r="CA151" s="1" t="n">
        <x:v>8.79</x:v>
      </x:c>
      <x:c r="CB151" s="1" t="n">
        <x:v>45.2</x:v>
      </x:c>
      <x:c r="CC151" s="1" t="n">
        <x:v>117.48</x:v>
      </x:c>
      <x:c r="CD151" s="1" t="n">
        <x:v>258.33</x:v>
      </x:c>
      <x:c r="CE151" s="1" t="n">
        <x:v>33.96</x:v>
      </x:c>
      <x:c r="CF151" s="1" t="n">
        <x:v>26.87</x:v>
      </x:c>
      <x:c r="CG151" s="1" t="n">
        <x:v>1.83</x:v>
      </x:c>
      <x:c r="CH151" s="1" t="n">
        <x:v>0.96</x:v>
      </x:c>
      <x:c r="CI151" s="1" t="n">
        <x:v>133.6</x:v>
      </x:c>
      <x:c r="CJ151" s="1" t="n">
        <x:v>104.47</x:v>
      </x:c>
      <x:c r="CK151" s="1" t="n">
        <x:v>107.51</x:v>
      </x:c>
      <x:c r="CL151" s="1" t="n">
        <x:v>17.38</x:v>
      </x:c>
      <x:c r="CM151" s="1" t="n">
        <x:v>74.38</x:v>
      </x:c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 t="n">
        <x:v>1104.03</x:v>
      </x:c>
      <x:c r="CY151" s="1" t="n">
        <x:v>644.44</x:v>
      </x:c>
      <x:c r="CZ151" s="1" t="n">
        <x:v>1354.91</x:v>
      </x:c>
      <x:c r="DA151" s="1" t="n">
        <x:v>660.21</x:v>
      </x:c>
      <x:c r="DB151" s="1"/>
      <x:c r="DC151" s="1" t="n">
        <x:v>625.33</x:v>
      </x:c>
      <x:c r="DD151" s="1" t="n">
        <x:v>1634.14</x:v>
      </x:c>
      <x:c r="DE151" s="1" t="n">
        <x:v>575.89</x:v>
      </x:c>
      <x:c r="DF151" s="1" t="n">
        <x:v>852.6</x:v>
      </x:c>
      <x:c r="DG151" s="1" t="n">
        <x:v>402.41</x:v>
      </x:c>
      <x:c r="DH151" s="1" t="n">
        <x:v>943.76</x:v>
      </x:c>
      <x:c r="DI151" s="1" t="n">
        <x:v>483.93</x:v>
      </x:c>
      <x:c r="DJ151" s="1" t="n">
        <x:v>904.38</x:v>
      </x:c>
      <x:c r="DK151" s="1" t="n">
        <x:v>383.54</x:v>
      </x:c>
      <x:c r="DL151" s="1" t="n">
        <x:v>1593.81</x:v>
      </x:c>
      <x:c r="DM151" s="1" t="n">
        <x:v>862.09</x:v>
      </x:c>
    </x:row>
    <x:row r="152" ht="23" customHeight="1">
      <x:c r="A152" s="1" t="n">
        <x:v>147</x:v>
      </x:c>
      <x:c r="B152" s="1" t="str">
        <x:v>亚油酸乙酯</x:v>
      </x:c>
      <x:c r="C152" s="1" t="str">
        <x:v>544-35-4</x:v>
      </x:c>
      <x:c r="D152" s="1"/>
      <x:c r="E152" s="1"/>
      <x:c r="F152" s="1"/>
      <x:c r="G152" s="1" t="n">
        <x:v>7.82</x:v>
      </x:c>
      <x:c r="H152" s="1" t="n">
        <x:v>103.61</x:v>
      </x:c>
      <x:c r="I152" s="1" t="n">
        <x:v>3.51</x:v>
      </x:c>
      <x:c r="J152" s="1" t="n">
        <x:v>2.03</x:v>
      </x:c>
      <x:c r="K152" s="1" t="n">
        <x:v>1.48</x:v>
      </x:c>
      <x:c r="L152" s="1"/>
      <x:c r="M152" s="1"/>
      <x:c r="N152" s="1" t="n">
        <x:v>31557</x:v>
      </x:c>
      <x:c r="O152" s="1" t="n">
        <x:v>14238</x:v>
      </x:c>
      <x:c r="P152" s="1" t="n">
        <x:v>15593</x:v>
      </x:c>
      <x:c r="Q152" s="1" t="n">
        <x:v>15490</x:v>
      </x:c>
      <x:c r="R152" s="1" t="n">
        <x:v>16625</x:v>
      </x:c>
      <x:c r="S152" s="1" t="n">
        <x:v>15487</x:v>
      </x:c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 t="n">
        <x:v>83690</x:v>
      </x:c>
      <x:c r="AL152" s="1" t="n">
        <x:v>75760</x:v>
      </x:c>
      <x:c r="AM152" s="1"/>
      <x:c r="AN152" s="1"/>
      <x:c r="AO152" s="1"/>
      <x:c r="AP152" s="1"/>
      <x:c r="AQ152" s="1" t="n">
        <x:v>49.81</x:v>
      </x:c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 t="n">
        <x:v>314.29</x:v>
      </x:c>
      <x:c r="CU152" s="1" t="n">
        <x:v>252.57</x:v>
      </x:c>
      <x:c r="CV152" s="1" t="n">
        <x:v>200.82</x:v>
      </x:c>
      <x:c r="CW152" s="1" t="n">
        <x:v>141.65</x:v>
      </x:c>
      <x:c r="CX152" s="1"/>
      <x:c r="CY152" s="1"/>
      <x:c r="CZ152" s="1"/>
      <x:c r="DA152" s="1"/>
      <x:c r="DB152" s="1"/>
      <x:c r="DC152" s="1"/>
      <x:c r="DD152" s="1"/>
      <x:c r="DE152" s="1"/>
      <x:c r="DF152" s="1"/>
      <x:c r="DG152" s="1"/>
      <x:c r="DH152" s="1"/>
      <x:c r="DI152" s="1"/>
      <x:c r="DJ152" s="1"/>
      <x:c r="DK152" s="1"/>
      <x:c r="DL152" s="1"/>
      <x:c r="DM152" s="1"/>
    </x:row>
    <x:row r="153" ht="23" customHeight="1">
      <x:c r="A153" s="1" t="n">
        <x:v>148</x:v>
      </x:c>
      <x:c r="B153" s="1"/>
      <x:c r="C153" s="1" t="str">
        <x:v>545-49-7</x:v>
      </x:c>
      <x:c r="D153" s="1"/>
      <x:c r="E153" s="1"/>
      <x:c r="F153" s="1"/>
      <x:c r="G153" s="1" t="n">
        <x:v>0.74</x:v>
      </x:c>
      <x:c r="H153" s="1" t="n">
        <x:v>0.11</x:v>
      </x:c>
      <x:c r="I153" s="1" t="n">
        <x:v>0.87</x:v>
      </x:c>
      <x:c r="J153" s="1"/>
      <x:c r="K153" s="1" t="n">
        <x:v>0.13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  <x:c r="DE153" s="1"/>
      <x:c r="DF153" s="1"/>
      <x:c r="DG153" s="1"/>
      <x:c r="DH153" s="1"/>
      <x:c r="DI153" s="1"/>
      <x:c r="DJ153" s="1"/>
      <x:c r="DK153" s="1"/>
      <x:c r="DL153" s="1"/>
      <x:c r="DM153" s="1"/>
    </x:row>
    <x:row r="154" ht="23" customHeight="1">
      <x:c r="A154" s="1" t="n">
        <x:v>149</x:v>
      </x:c>
      <x:c r="B154" s="1" t="str">
        <x:v>反,顺-2,6-壬二烯醛</x:v>
      </x:c>
      <x:c r="C154" s="1" t="str">
        <x:v>557-48-2</x:v>
      </x:c>
      <x:c r="D154" s="1" t="n">
        <x:v>0.64</x:v>
      </x:c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 t="n">
        <x:v>4.69</x:v>
      </x:c>
      <x:c r="CY154" s="1" t="n">
        <x:v>378.79</x:v>
      </x:c>
      <x:c r="CZ154" s="1" t="n">
        <x:v>261.01</x:v>
      </x:c>
      <x:c r="DA154" s="1" t="n">
        <x:v>5.05</x:v>
      </x:c>
      <x:c r="DB154" s="1" t="n">
        <x:v>138.48</x:v>
      </x:c>
      <x:c r="DC154" s="1" t="n">
        <x:v>54.85</x:v>
      </x:c>
      <x:c r="DD154" s="1" t="n">
        <x:v>125.12</x:v>
      </x:c>
      <x:c r="DE154" s="1" t="n">
        <x:v>27.53</x:v>
      </x:c>
      <x:c r="DF154" s="1" t="n">
        <x:v>68.18</x:v>
      </x:c>
      <x:c r="DG154" s="1" t="n">
        <x:v>190.6</x:v>
      </x:c>
      <x:c r="DH154" s="1" t="n">
        <x:v>104.38</x:v>
      </x:c>
      <x:c r="DI154" s="1" t="n">
        <x:v>477.36</x:v>
      </x:c>
      <x:c r="DJ154" s="1" t="n">
        <x:v>47.1</x:v>
      </x:c>
      <x:c r="DK154" s="1" t="n">
        <x:v>317.91</x:v>
      </x:c>
      <x:c r="DL154" s="1" t="n">
        <x:v>296.56</x:v>
      </x:c>
      <x:c r="DM154" s="1" t="n">
        <x:v>127.09</x:v>
      </x:c>
    </x:row>
    <x:row r="155" ht="23" customHeight="1">
      <x:c r="A155" s="1" t="n">
        <x:v>150</x:v>
      </x:c>
      <x:c r="B155" s="1" t="str">
        <x:v>乳酸异丁酯</x:v>
      </x:c>
      <x:c r="C155" s="1" t="str">
        <x:v>585-24-0</x:v>
      </x:c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 t="n">
        <x:v>251.42</x:v>
      </x:c>
      <x:c r="CY155" s="1" t="n">
        <x:v>1949.26</x:v>
      </x:c>
      <x:c r="CZ155" s="1" t="n">
        <x:v>963.24</x:v>
      </x:c>
      <x:c r="DA155" s="1" t="n">
        <x:v>259.68</x:v>
      </x:c>
      <x:c r="DB155" s="1" t="n">
        <x:v>809.26</x:v>
      </x:c>
      <x:c r="DC155" s="1" t="n">
        <x:v>189.62</x:v>
      </x:c>
      <x:c r="DD155" s="1" t="n">
        <x:v>2053.95</x:v>
      </x:c>
      <x:c r="DE155" s="1" t="n">
        <x:v>371.48</x:v>
      </x:c>
      <x:c r="DF155" s="1" t="n">
        <x:v>2503.88</x:v>
      </x:c>
      <x:c r="DG155" s="1" t="n">
        <x:v>81.36</x:v>
      </x:c>
      <x:c r="DH155" s="1" t="n">
        <x:v>1987.16</x:v>
      </x:c>
      <x:c r="DI155" s="1" t="n">
        <x:v>177.62</x:v>
      </x:c>
      <x:c r="DJ155" s="1" t="n">
        <x:v>1979.03</x:v>
      </x:c>
      <x:c r="DK155" s="1" t="n">
        <x:v>145.92</x:v>
      </x:c>
      <x:c r="DL155" s="1" t="n">
        <x:v>2033.26</x:v>
      </x:c>
      <x:c r="DM155" s="1" t="n">
        <x:v>168.26</x:v>
      </x:c>
    </x:row>
    <x:row r="156" ht="23" customHeight="1">
      <x:c r="A156" s="1" t="n">
        <x:v>151</x:v>
      </x:c>
      <x:c r="B156" s="1" t="str">
        <x:v>3-辛醇</x:v>
      </x:c>
      <x:c r="C156" s="1" t="str">
        <x:v>589-98-0</x:v>
      </x:c>
      <x:c r="D156" s="1" t="n">
        <x:v>483</x:v>
      </x:c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 t="n">
        <x:v>28.25</x:v>
      </x:c>
      <x:c r="CA156" s="1" t="n">
        <x:v>31.38</x:v>
      </x:c>
      <x:c r="CB156" s="1" t="n">
        <x:v>48.01</x:v>
      </x:c>
      <x:c r="CC156" s="1" t="n">
        <x:v>24.46</x:v>
      </x:c>
      <x:c r="CD156" s="1" t="n">
        <x:v>394.15</x:v>
      </x:c>
      <x:c r="CE156" s="1" t="n">
        <x:v>27.76</x:v>
      </x:c>
      <x:c r="CF156" s="1" t="n">
        <x:v>188.2</x:v>
      </x:c>
      <x:c r="CG156" s="1" t="n">
        <x:v>60.85</x:v>
      </x:c>
      <x:c r="CH156" s="1" t="n">
        <x:v>30.38</x:v>
      </x:c>
      <x:c r="CI156" s="1" t="n">
        <x:v>180.66</x:v>
      </x:c>
      <x:c r="CJ156" s="1" t="n">
        <x:v>142.34</x:v>
      </x:c>
      <x:c r="CK156" s="1" t="n">
        <x:v>116.2</x:v>
      </x:c>
      <x:c r="CL156" s="1" t="n">
        <x:v>69.86</x:v>
      </x:c>
      <x:c r="CM156" s="1" t="n">
        <x:v>103.8</x:v>
      </x:c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 t="n">
        <x:v>104.53</x:v>
      </x:c>
      <x:c r="CY156" s="1" t="n">
        <x:v>119.93</x:v>
      </x:c>
      <x:c r="CZ156" s="1" t="n">
        <x:v>120.69</x:v>
      </x:c>
      <x:c r="DA156" s="1" t="n">
        <x:v>8.1</x:v>
      </x:c>
      <x:c r="DB156" s="1" t="n">
        <x:v>131.25</x:v>
      </x:c>
      <x:c r="DC156" s="1" t="n">
        <x:v>77.59</x:v>
      </x:c>
      <x:c r="DD156" s="1" t="n">
        <x:v>135.32</x:v>
      </x:c>
      <x:c r="DE156" s="1" t="n">
        <x:v>107.8</x:v>
      </x:c>
      <x:c r="DF156" s="1" t="n">
        <x:v>102.88</x:v>
      </x:c>
      <x:c r="DG156" s="1" t="n">
        <x:v>57.44</x:v>
      </x:c>
      <x:c r="DH156" s="1" t="n">
        <x:v>119.14</x:v>
      </x:c>
      <x:c r="DI156" s="1" t="n">
        <x:v>126.4</x:v>
      </x:c>
      <x:c r="DJ156" s="1" t="n">
        <x:v>156.82</x:v>
      </x:c>
      <x:c r="DK156" s="1" t="n">
        <x:v>104.03</x:v>
      </x:c>
      <x:c r="DL156" s="1" t="n">
        <x:v>144.26</x:v>
      </x:c>
      <x:c r="DM156" s="1" t="n">
        <x:v>53.59</x:v>
      </x:c>
    </x:row>
    <x:row r="157" ht="23" customHeight="1">
      <x:c r="A157" s="1" t="n">
        <x:v>152</x:v>
      </x:c>
      <x:c r="B157" s="1" t="str">
        <x:v>异戊醛</x:v>
      </x:c>
      <x:c r="C157" s="1" t="str">
        <x:v>590-86-3</x:v>
      </x:c>
      <x:c r="D157" s="1" t="n">
        <x:v>16.5</x:v>
      </x:c>
      <x:c r="E157" s="1"/>
      <x:c r="F157" s="1"/>
      <x:c r="G157" s="1"/>
      <x:c r="H157" s="1"/>
      <x:c r="I157" s="1"/>
      <x:c r="J157" s="1"/>
      <x:c r="K157" s="1"/>
      <x:c r="L157" s="1"/>
      <x:c r="M157" s="1"/>
      <x:c r="N157" s="1" t="n">
        <x:v>3576</x:v>
      </x:c>
      <x:c r="O157" s="1" t="n">
        <x:v>5626</x:v>
      </x:c>
      <x:c r="P157" s="1" t="n">
        <x:v>6706</x:v>
      </x:c>
      <x:c r="Q157" s="1" t="n">
        <x:v>5371</x:v>
      </x:c>
      <x:c r="R157" s="1" t="n">
        <x:v>5545</x:v>
      </x:c>
      <x:c r="S157" s="1" t="n">
        <x:v>6509</x:v>
      </x:c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 t="n">
        <x:v>330</x:v>
      </x:c>
      <x:c r="AI157" s="1" t="n">
        <x:v>130</x:v>
      </x:c>
      <x:c r="AJ157" s="1"/>
      <x:c r="AK157" s="1"/>
      <x:c r="AL157" s="1"/>
      <x:c r="AM157" s="1"/>
      <x:c r="AN157" s="1"/>
      <x:c r="AO157" s="1"/>
      <x:c r="AP157" s="1"/>
      <x:c r="AQ157" s="1" t="n">
        <x:v>20.19</x:v>
      </x:c>
      <x:c r="AR157" s="1" t="n">
        <x:v>43.58</x:v>
      </x:c>
      <x:c r="AS157" s="1" t="n">
        <x:v>17.21</x:v>
      </x:c>
      <x:c r="AT157" s="1" t="n">
        <x:v>17.43</x:v>
      </x:c>
      <x:c r="AU157" s="1"/>
      <x:c r="AV157" s="1"/>
      <x:c r="AW157" s="1"/>
      <x:c r="AX157" s="1"/>
      <x:c r="AY157" s="1"/>
      <x:c r="AZ157" s="1" t="n">
        <x:v>905</x:v>
      </x:c>
      <x:c r="BA157" s="1" t="n">
        <x:v>2489</x:v>
      </x:c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 t="n">
        <x:v>55200</x:v>
      </x:c>
      <x:c r="BR157" s="1" t="n">
        <x:v>227200</x:v>
      </x:c>
      <x:c r="BS157" s="1" t="n">
        <x:v>81000</x:v>
      </x:c>
      <x:c r="BT157" s="1" t="n">
        <x:v>152900</x:v>
      </x:c>
      <x:c r="BU157" s="1" t="n">
        <x:v>127600</x:v>
      </x:c>
      <x:c r="BV157" s="1" t="n">
        <x:v>13900</x:v>
      </x:c>
      <x:c r="BW157" s="1" t="n">
        <x:v>21700</x:v>
      </x:c>
      <x:c r="BX157" s="1" t="n">
        <x:v>64300</x:v>
      </x:c>
      <x:c r="BY157" s="1" t="n">
        <x:v>21600</x:v>
      </x:c>
      <x:c r="BZ157" s="1" t="n">
        <x:v>964.5633</x:v>
      </x:c>
      <x:c r="CA157" s="1" t="n">
        <x:v>1302.6667</x:v>
      </x:c>
      <x:c r="CB157" s="1" t="n">
        <x:v>58.31</x:v>
      </x:c>
      <x:c r="CC157" s="1" t="n">
        <x:v>31.91</x:v>
      </x:c>
      <x:c r="CD157" s="1" t="n">
        <x:v>99.89</x:v>
      </x:c>
      <x:c r="CE157" s="1" t="n">
        <x:v>84.44</x:v>
      </x:c>
      <x:c r="CF157" s="1" t="n">
        <x:v>29.11</x:v>
      </x:c>
      <x:c r="CG157" s="1" t="n">
        <x:v>10.35</x:v>
      </x:c>
      <x:c r="CH157" s="1" t="n">
        <x:v>4.84</x:v>
      </x:c>
      <x:c r="CI157" s="1" t="n">
        <x:v>140.44</x:v>
      </x:c>
      <x:c r="CJ157" s="1" t="n">
        <x:v>225.04</x:v>
      </x:c>
      <x:c r="CK157" s="1" t="n">
        <x:v>63.71</x:v>
      </x:c>
      <x:c r="CL157" s="1" t="n">
        <x:v>51.95</x:v>
      </x:c>
      <x:c r="CM157" s="1" t="n">
        <x:v>68.88</x:v>
      </x:c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 t="n">
        <x:v>6050.65</x:v>
      </x:c>
      <x:c r="CY157" s="1" t="n">
        <x:v>19433.43</x:v>
      </x:c>
      <x:c r="CZ157" s="1" t="n">
        <x:v>17781.5</x:v>
      </x:c>
      <x:c r="DA157" s="1" t="n">
        <x:v>5473.49</x:v>
      </x:c>
      <x:c r="DB157" s="1" t="n">
        <x:v>11359.54</x:v>
      </x:c>
      <x:c r="DC157" s="1" t="n">
        <x:v>2236.48</x:v>
      </x:c>
      <x:c r="DD157" s="1" t="n">
        <x:v>19993.9</x:v>
      </x:c>
      <x:c r="DE157" s="1" t="n">
        <x:v>8664.22</x:v>
      </x:c>
      <x:c r="DF157" s="1" t="n">
        <x:v>8319.89</x:v>
      </x:c>
      <x:c r="DG157" s="1" t="n">
        <x:v>5838.39</x:v>
      </x:c>
      <x:c r="DH157" s="1" t="n">
        <x:v>14218.54</x:v>
      </x:c>
      <x:c r="DI157" s="1" t="n">
        <x:v>6586.96</x:v>
      </x:c>
      <x:c r="DJ157" s="1" t="n">
        <x:v>24592.53</x:v>
      </x:c>
      <x:c r="DK157" s="1" t="n">
        <x:v>17769.13</x:v>
      </x:c>
      <x:c r="DL157" s="1" t="n">
        <x:v>19134.36</x:v>
      </x:c>
      <x:c r="DM157" s="1" t="n">
        <x:v>9323.91</x:v>
      </x:c>
    </x:row>
    <x:row r="158" ht="23" customHeight="1">
      <x:c r="A158" s="1" t="n">
        <x:v>153</x:v>
      </x:c>
      <x:c r="B158" s="1" t="str">
        <x:v>戊酸丁酯</x:v>
      </x:c>
      <x:c r="C158" s="1" t="str">
        <x:v>591-68-4</x:v>
      </x:c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 t="n">
        <x:v>3118</x:v>
      </x:c>
      <x:c r="O158" s="1" t="n">
        <x:v>108</x:v>
      </x:c>
      <x:c r="P158" s="1" t="n">
        <x:v>360</x:v>
      </x:c>
      <x:c r="Q158" s="1" t="n">
        <x:v>1652</x:v>
      </x:c>
      <x:c r="R158" s="1" t="n">
        <x:v>1795</x:v>
      </x:c>
      <x:c r="S158" s="1" t="n">
        <x:v>3381</x:v>
      </x:c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 t="n">
        <x:v>230</x:v>
      </x:c>
      <x:c r="AQ158" s="1" t="n">
        <x:v>4.05</x:v>
      </x:c>
      <x:c r="AR158" s="1"/>
      <x:c r="AS158" s="1" t="n">
        <x:v>1.05</x:v>
      </x:c>
      <x:c r="AT158" s="1" t="n">
        <x:v>1.11</x:v>
      </x:c>
      <x:c r="AU158" s="1"/>
      <x:c r="AV158" s="1"/>
      <x:c r="AW158" s="1"/>
      <x:c r="AX158" s="1"/>
      <x:c r="AY158" s="1"/>
      <x:c r="AZ158" s="1" t="n">
        <x:v>250</x:v>
      </x:c>
      <x:c r="BA158" s="1" t="n">
        <x:v>139</x:v>
      </x:c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  <x:c r="DE158" s="1"/>
      <x:c r="DF158" s="1"/>
      <x:c r="DG158" s="1"/>
      <x:c r="DH158" s="1"/>
      <x:c r="DI158" s="1"/>
      <x:c r="DJ158" s="1"/>
      <x:c r="DK158" s="1"/>
      <x:c r="DL158" s="1"/>
      <x:c r="DM158" s="1"/>
    </x:row>
    <x:row r="159" ht="23" customHeight="1">
      <x:c r="A159" s="1" t="n">
        <x:v>154</x:v>
      </x:c>
      <x:c r="B159" s="1"/>
      <x:c r="C159" s="1" t="str">
        <x:v>592-84-7</x:v>
      </x:c>
      <x:c r="D159" s="1"/>
      <x:c r="E159" s="1"/>
      <x:c r="F159" s="1"/>
      <x:c r="G159" s="1"/>
      <x:c r="H159" s="1"/>
      <x:c r="I159" s="1"/>
      <x:c r="J159" s="1" t="n">
        <x:v>0.63</x:v>
      </x:c>
      <x:c r="K159" s="1" t="n">
        <x:v>0.12</x:v>
      </x:c>
      <x:c r="L159" s="1"/>
      <x:c r="M159" s="1"/>
      <x:c r="N159" s="1"/>
      <x:c r="O159" s="1"/>
      <x:c r="P159" s="1"/>
      <x:c r="Q159" s="1"/>
      <x:c r="R159" s="1"/>
      <x:c r="S159" s="1"/>
      <x:c r="T159" s="1" t="n">
        <x:v>64</x:v>
      </x:c>
      <x:c r="U159" s="1" t="n">
        <x:v>71</x:v>
      </x:c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  <x:c r="DE159" s="1"/>
      <x:c r="DF159" s="1"/>
      <x:c r="DG159" s="1"/>
      <x:c r="DH159" s="1"/>
      <x:c r="DI159" s="1"/>
      <x:c r="DJ159" s="1"/>
      <x:c r="DK159" s="1"/>
      <x:c r="DL159" s="1"/>
      <x:c r="DM159" s="1"/>
    </x:row>
    <x:row r="160" ht="23" customHeight="1">
      <x:c r="A160" s="1" t="n">
        <x:v>155</x:v>
      </x:c>
      <x:c r="B160" s="1"/>
      <x:c r="C160" s="1" t="str">
        <x:v>598-75-4</x:v>
      </x:c>
      <x:c r="D160" s="1"/>
      <x:c r="E160" s="1"/>
      <x:c r="F160" s="1"/>
      <x:c r="G160" s="1" t="n">
        <x:v>5.82</x:v>
      </x:c>
      <x:c r="H160" s="1" t="n">
        <x:v>1.78</x:v>
      </x:c>
      <x:c r="I160" s="1" t="n">
        <x:v>2</x:v>
      </x:c>
      <x:c r="J160" s="1" t="n">
        <x:v>8.43</x:v>
      </x:c>
      <x:c r="K160" s="1" t="n">
        <x:v>3.39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  <x:c r="DE160" s="1"/>
      <x:c r="DF160" s="1"/>
      <x:c r="DG160" s="1"/>
      <x:c r="DH160" s="1"/>
      <x:c r="DI160" s="1"/>
      <x:c r="DJ160" s="1"/>
      <x:c r="DK160" s="1"/>
      <x:c r="DL160" s="1"/>
      <x:c r="DM160" s="1"/>
    </x:row>
    <x:row r="161" ht="23" customHeight="1">
      <x:c r="A161" s="1" t="n">
        <x:v>156</x:v>
      </x:c>
      <x:c r="B161" s="1" t="str">
        <x:v>2-糠醛乙酯</x:v>
      </x:c>
      <x:c r="C161" s="1" t="str">
        <x:v>614-99-3</x:v>
      </x:c>
      <x:c r="D161" s="1"/>
      <x:c r="E161" s="1" t="n">
        <x:v>166</x:v>
      </x:c>
      <x:c r="F161" s="1" t="n">
        <x:v>31</x:v>
      </x:c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 t="n">
        <x:v>649.72</x:v>
      </x:c>
      <x:c r="CA161" s="1" t="n">
        <x:v>643.78</x:v>
      </x:c>
      <x:c r="CB161" s="1" t="n">
        <x:v>765.55</x:v>
      </x:c>
      <x:c r="CC161" s="1" t="n">
        <x:v>799.4</x:v>
      </x:c>
      <x:c r="CD161" s="1" t="n">
        <x:v>829.99</x:v>
      </x:c>
      <x:c r="CE161" s="1" t="n">
        <x:v>771.04</x:v>
      </x:c>
      <x:c r="CF161" s="1" t="n">
        <x:v>900.27</x:v>
      </x:c>
      <x:c r="CG161" s="1" t="n">
        <x:v>654.93</x:v>
      </x:c>
      <x:c r="CH161" s="1" t="n">
        <x:v>652.33</x:v>
      </x:c>
      <x:c r="CI161" s="1" t="n">
        <x:v>869.27</x:v>
      </x:c>
      <x:c r="CJ161" s="1" t="n">
        <x:v>822.12</x:v>
      </x:c>
      <x:c r="CK161" s="1" t="n">
        <x:v>805.76</x:v>
      </x:c>
      <x:c r="CL161" s="1" t="n">
        <x:v>826.39</x:v>
      </x:c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  <x:c r="DE161" s="1"/>
      <x:c r="DF161" s="1"/>
      <x:c r="DG161" s="1"/>
      <x:c r="DH161" s="1"/>
      <x:c r="DI161" s="1"/>
      <x:c r="DJ161" s="1"/>
      <x:c r="DK161" s="1"/>
      <x:c r="DL161" s="1"/>
      <x:c r="DM161" s="1"/>
    </x:row>
    <x:row r="162" ht="23" customHeight="1">
      <x:c r="A162" s="1" t="n">
        <x:v>157</x:v>
      </x:c>
      <x:c r="B162" s="1" t="str">
        <x:v>乳酸丙酯</x:v>
      </x:c>
      <x:c r="C162" s="1" t="str">
        <x:v>616-09-1</x:v>
      </x:c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 t="n">
        <x:v>2470</x:v>
      </x:c>
      <x:c r="AL162" s="1" t="n">
        <x:v>9190</x:v>
      </x:c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  <x:c r="DE162" s="1"/>
      <x:c r="DF162" s="1"/>
      <x:c r="DG162" s="1"/>
      <x:c r="DH162" s="1"/>
      <x:c r="DI162" s="1"/>
      <x:c r="DJ162" s="1"/>
      <x:c r="DK162" s="1"/>
      <x:c r="DL162" s="1"/>
      <x:c r="DM162" s="1"/>
    </x:row>
    <x:row r="163" ht="23" customHeight="1">
      <x:c r="A163" s="1" t="n">
        <x:v>158</x:v>
      </x:c>
      <x:c r="B163" s="1"/>
      <x:c r="C163" s="1" t="str">
        <x:v>617-35-6</x:v>
      </x:c>
      <x:c r="D163" s="1"/>
      <x:c r="E163" s="1"/>
      <x:c r="F163" s="1"/>
      <x:c r="G163" s="1"/>
      <x:c r="H163" s="1" t="n">
        <x:v>2.19</x:v>
      </x:c>
      <x:c r="I163" s="1"/>
      <x:c r="J163" s="1"/>
      <x:c r="K163" s="1"/>
      <x:c r="L163" s="1"/>
      <x:c r="M163" s="1"/>
      <x:c r="N163" s="1" t="n">
        <x:v>2555</x:v>
      </x:c>
      <x:c r="O163" s="1" t="n">
        <x:v>2571</x:v>
      </x:c>
      <x:c r="P163" s="1" t="n">
        <x:v>2518</x:v>
      </x:c>
      <x:c r="Q163" s="1" t="n">
        <x:v>2468</x:v>
      </x:c>
      <x:c r="R163" s="1" t="n">
        <x:v>2201</x:v>
      </x:c>
      <x:c r="S163" s="1" t="n">
        <x:v>4034</x:v>
      </x:c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  <x:c r="DE163" s="1"/>
      <x:c r="DF163" s="1"/>
      <x:c r="DG163" s="1"/>
      <x:c r="DH163" s="1"/>
      <x:c r="DI163" s="1"/>
      <x:c r="DJ163" s="1"/>
      <x:c r="DK163" s="1"/>
      <x:c r="DL163" s="1"/>
      <x:c r="DM163" s="1"/>
    </x:row>
    <x:row r="164" ht="23" customHeight="1">
      <x:c r="A164" s="1" t="n">
        <x:v>159</x:v>
      </x:c>
      <x:c r="B164" s="1" t="str">
        <x:v>5-甲基-2-糠醛</x:v>
      </x:c>
      <x:c r="C164" s="1" t="str">
        <x:v>620-02-0</x:v>
      </x:c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 t="n">
        <x:v>299.015</x:v>
      </x:c>
      <x:c r="CA164" s="1" t="n">
        <x:v>195.135</x:v>
      </x:c>
      <x:c r="CB164" s="1" t="n">
        <x:v>160.61</x:v>
      </x:c>
      <x:c r="CC164" s="1" t="n">
        <x:v>210.76</x:v>
      </x:c>
      <x:c r="CD164" s="1" t="n">
        <x:v>69.89</x:v>
      </x:c>
      <x:c r="CE164" s="1" t="n">
        <x:v>110.9</x:v>
      </x:c>
      <x:c r="CF164" s="1" t="n">
        <x:v>120.4</x:v>
      </x:c>
      <x:c r="CG164" s="1" t="n">
        <x:v>165.96</x:v>
      </x:c>
      <x:c r="CH164" s="1" t="n">
        <x:v>82.16</x:v>
      </x:c>
      <x:c r="CI164" s="1" t="n">
        <x:v>364.85</x:v>
      </x:c>
      <x:c r="CJ164" s="1" t="n">
        <x:v>379.83</x:v>
      </x:c>
      <x:c r="CK164" s="1" t="n">
        <x:v>529.51</x:v>
      </x:c>
      <x:c r="CL164" s="1" t="n">
        <x:v>293.69</x:v>
      </x:c>
      <x:c r="CM164" s="1" t="n">
        <x:v>252.1</x:v>
      </x:c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  <x:c r="DE164" s="1"/>
      <x:c r="DF164" s="1"/>
      <x:c r="DG164" s="1"/>
      <x:c r="DH164" s="1"/>
      <x:c r="DI164" s="1"/>
      <x:c r="DJ164" s="1"/>
      <x:c r="DK164" s="1"/>
      <x:c r="DL164" s="1"/>
      <x:c r="DM164" s="1"/>
    </x:row>
    <x:row r="165" ht="23" customHeight="1">
      <x:c r="A165" s="1" t="n">
        <x:v>160</x:v>
      </x:c>
      <x:c r="B165" s="1" t="str">
        <x:v>乙酸糠酯</x:v>
      </x:c>
      <x:c r="C165" s="1" t="str">
        <x:v>623-17-6</x:v>
      </x:c>
      <x:c r="D165" s="1" t="n">
        <x:v>26050</x:v>
      </x:c>
      <x:c r="E165" s="1" t="n">
        <x:v>13</x:v>
      </x:c>
      <x:c r="F165" s="1" t="n">
        <x:v>114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 t="n">
        <x:v>34.4</x:v>
      </x:c>
      <x:c r="CY165" s="1" t="n">
        <x:v>97.85</x:v>
      </x:c>
      <x:c r="CZ165" s="1" t="n">
        <x:v>69.76</x:v>
      </x:c>
      <x:c r="DA165" s="1" t="n">
        <x:v>41.22</x:v>
      </x:c>
      <x:c r="DB165" s="1" t="n">
        <x:v>71.24</x:v>
      </x:c>
      <x:c r="DC165" s="1" t="n">
        <x:v>52.53</x:v>
      </x:c>
      <x:c r="DD165" s="1" t="n">
        <x:v>95.72</x:v>
      </x:c>
      <x:c r="DE165" s="1" t="n">
        <x:v>56.58</x:v>
      </x:c>
      <x:c r="DF165" s="1" t="n">
        <x:v>103.45</x:v>
      </x:c>
      <x:c r="DG165" s="1" t="n">
        <x:v>30.1</x:v>
      </x:c>
      <x:c r="DH165" s="1" t="n">
        <x:v>97.46</x:v>
      </x:c>
      <x:c r="DI165" s="1" t="n">
        <x:v>102.74</x:v>
      </x:c>
      <x:c r="DJ165" s="1" t="n">
        <x:v>99.76</x:v>
      </x:c>
      <x:c r="DK165" s="1" t="n">
        <x:v>30.52</x:v>
      </x:c>
      <x:c r="DL165" s="1" t="n">
        <x:v>98.58</x:v>
      </x:c>
      <x:c r="DM165" s="1" t="n">
        <x:v>34.9</x:v>
      </x:c>
    </x:row>
    <x:row r="166" ht="23" customHeight="1">
      <x:c r="A166" s="1" t="n">
        <x:v>161</x:v>
      </x:c>
      <x:c r="B166" s="1" t="str">
        <x:v>丁酸糠酯</x:v>
      </x:c>
      <x:c r="C166" s="1" t="str">
        <x:v>623-21-2</x:v>
      </x:c>
      <x:c r="D166" s="1" t="n">
        <x:v>4900</x:v>
      </x:c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 t="n">
        <x:v>14.55</x:v>
      </x:c>
      <x:c r="CY166" s="1" t="n">
        <x:v>42.54</x:v>
      </x:c>
      <x:c r="CZ166" s="1"/>
      <x:c r="DA166" s="1" t="n">
        <x:v>14.06</x:v>
      </x:c>
      <x:c r="DB166" s="1" t="n">
        <x:v>33.15</x:v>
      </x:c>
      <x:c r="DC166" s="1" t="n">
        <x:v>4.66</x:v>
      </x:c>
      <x:c r="DD166" s="1"/>
      <x:c r="DE166" s="1" t="n">
        <x:v>30.66</x:v>
      </x:c>
      <x:c r="DF166" s="1" t="n">
        <x:v>112.8</x:v>
      </x:c>
      <x:c r="DG166" s="1" t="n">
        <x:v>11.54</x:v>
      </x:c>
      <x:c r="DH166" s="1" t="n">
        <x:v>66.27</x:v>
      </x:c>
      <x:c r="DI166" s="1" t="n">
        <x:v>66.08</x:v>
      </x:c>
      <x:c r="DJ166" s="1" t="n">
        <x:v>101.21</x:v>
      </x:c>
      <x:c r="DK166" s="1" t="n">
        <x:v>14.56</x:v>
      </x:c>
      <x:c r="DL166" s="1" t="n">
        <x:v>152.91</x:v>
      </x:c>
      <x:c r="DM166" s="1" t="n">
        <x:v>17.4</x:v>
      </x:c>
    </x:row>
    <x:row r="167" ht="23" customHeight="1">
      <x:c r="A167" s="1" t="n">
        <x:v>162</x:v>
      </x:c>
      <x:c r="B167" s="1" t="str">
        <x:v>辛酸丙酯</x:v>
      </x:c>
      <x:c r="C167" s="1" t="str">
        <x:v>624-13-5</x:v>
      </x:c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 t="n">
        <x:v>4186</x:v>
      </x:c>
      <x:c r="O167" s="1" t="n">
        <x:v>2650</x:v>
      </x:c>
      <x:c r="P167" s="1" t="n">
        <x:v>3236</x:v>
      </x:c>
      <x:c r="Q167" s="1" t="n">
        <x:v>2377</x:v>
      </x:c>
      <x:c r="R167" s="1" t="n">
        <x:v>2477</x:v>
      </x:c>
      <x:c r="S167" s="1" t="n">
        <x:v>2725</x:v>
      </x:c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 t="n">
        <x:v>285.29</x:v>
      </x:c>
      <x:c r="CY167" s="1" t="n">
        <x:v>786.24</x:v>
      </x:c>
      <x:c r="CZ167" s="1" t="n">
        <x:v>973.42</x:v>
      </x:c>
      <x:c r="DA167" s="1" t="n">
        <x:v>424.22</x:v>
      </x:c>
      <x:c r="DB167" s="1" t="n">
        <x:v>947.61</x:v>
      </x:c>
      <x:c r="DC167" s="1" t="n">
        <x:v>84.63</x:v>
      </x:c>
      <x:c r="DD167" s="1" t="n">
        <x:v>905.08</x:v>
      </x:c>
      <x:c r="DE167" s="1" t="n">
        <x:v>187.75</x:v>
      </x:c>
      <x:c r="DF167" s="1" t="n">
        <x:v>2885.79</x:v>
      </x:c>
      <x:c r="DG167" s="1" t="n">
        <x:v>192.83</x:v>
      </x:c>
      <x:c r="DH167" s="1" t="n">
        <x:v>854.58</x:v>
      </x:c>
      <x:c r="DI167" s="1" t="n">
        <x:v>249.07</x:v>
      </x:c>
      <x:c r="DJ167" s="1" t="n">
        <x:v>4014.28</x:v>
      </x:c>
      <x:c r="DK167" s="1" t="n">
        <x:v>162.51</x:v>
      </x:c>
      <x:c r="DL167" s="1" t="n">
        <x:v>1037.56</x:v>
      </x:c>
      <x:c r="DM167" s="1" t="n">
        <x:v>269.2</x:v>
      </x:c>
    </x:row>
    <x:row r="168" ht="23" customHeight="1">
      <x:c r="A168" s="1" t="n">
        <x:v>163</x:v>
      </x:c>
      <x:c r="B168" s="1" t="str">
        <x:v>二甲基二硫</x:v>
      </x:c>
      <x:c r="C168" s="1" t="str">
        <x:v>624-92-0</x:v>
      </x:c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 t="n">
        <x:v>43</x:v>
      </x:c>
      <x:c r="BA168" s="1" t="n">
        <x:v>155</x:v>
      </x:c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 t="n">
        <x:v>299.94</x:v>
      </x:c>
      <x:c r="CA168" s="1" t="n">
        <x:v>348.77</x:v>
      </x:c>
      <x:c r="CB168" s="1" t="n">
        <x:v>1046.31</x:v>
      </x:c>
      <x:c r="CC168" s="1" t="n">
        <x:v>654.41</x:v>
      </x:c>
      <x:c r="CD168" s="1" t="n">
        <x:v>790.32</x:v>
      </x:c>
      <x:c r="CE168" s="1" t="n">
        <x:v>1068.51</x:v>
      </x:c>
      <x:c r="CF168" s="1" t="n">
        <x:v>1078.31</x:v>
      </x:c>
      <x:c r="CG168" s="1" t="n">
        <x:v>833.56</x:v>
      </x:c>
      <x:c r="CH168" s="1" t="n">
        <x:v>284.54</x:v>
      </x:c>
      <x:c r="CI168" s="1" t="n">
        <x:v>1633.97</x:v>
      </x:c>
      <x:c r="CJ168" s="1" t="n">
        <x:v>1504.26</x:v>
      </x:c>
      <x:c r="CK168" s="1" t="n">
        <x:v>1140.77</x:v>
      </x:c>
      <x:c r="CL168" s="1" t="n">
        <x:v>758.68</x:v>
      </x:c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  <x:c r="DE168" s="1"/>
      <x:c r="DF168" s="1"/>
      <x:c r="DG168" s="1"/>
      <x:c r="DH168" s="1"/>
      <x:c r="DI168" s="1"/>
      <x:c r="DJ168" s="1"/>
      <x:c r="DK168" s="1"/>
      <x:c r="DL168" s="1"/>
      <x:c r="DM168" s="1"/>
    </x:row>
    <x:row r="169" ht="23" customHeight="1">
      <x:c r="A169" s="1" t="n">
        <x:v>164</x:v>
      </x:c>
      <x:c r="B169" s="1" t="str">
        <x:v>己酸丙酯a</x:v>
      </x:c>
      <x:c r="C169" s="1" t="str">
        <x:v>626-77-7</x:v>
      </x:c>
      <x:c r="D169" s="1" t="n">
        <x:v>12784</x:v>
      </x:c>
      <x:c r="E169" s="1" t="n">
        <x:v>146</x:v>
      </x:c>
      <x:c r="F169" s="1" t="n">
        <x:v>28416</x:v>
      </x:c>
      <x:c r="G169" s="1" t="n">
        <x:v>4.67</x:v>
      </x:c>
      <x:c r="H169" s="1" t="n">
        <x:v>101.73</x:v>
      </x:c>
      <x:c r="I169" s="1" t="n">
        <x:v>4.66</x:v>
      </x:c>
      <x:c r="J169" s="1" t="n">
        <x:v>8.35</x:v>
      </x:c>
      <x:c r="K169" s="1" t="n">
        <x:v>1.35</x:v>
      </x:c>
      <x:c r="L169" s="1"/>
      <x:c r="M169" s="1"/>
      <x:c r="N169" s="1" t="n">
        <x:v>35818</x:v>
      </x:c>
      <x:c r="O169" s="1" t="n">
        <x:v>26679</x:v>
      </x:c>
      <x:c r="P169" s="1" t="n">
        <x:v>34411</x:v>
      </x:c>
      <x:c r="Q169" s="1" t="n">
        <x:v>27427</x:v>
      </x:c>
      <x:c r="R169" s="1" t="n">
        <x:v>30692</x:v>
      </x:c>
      <x:c r="S169" s="1" t="n">
        <x:v>27106</x:v>
      </x:c>
      <x:c r="T169" s="1" t="n">
        <x:v>1</x:v>
      </x:c>
      <x:c r="U169" s="1" t="n">
        <x:v>0</x:v>
      </x:c>
      <x:c r="V169" s="1"/>
      <x:c r="W169" s="1"/>
      <x:c r="X169" s="1"/>
      <x:c r="Y169" s="1" t="n">
        <x:v>349</x:v>
      </x:c>
      <x:c r="Z169" s="1" t="n">
        <x:v>431</x:v>
      </x:c>
      <x:c r="AA169" s="1"/>
      <x:c r="AB169" s="1" t="n">
        <x:v>670</x:v>
      </x:c>
      <x:c r="AC169" s="1" t="n">
        <x:v>987</x:v>
      </x:c>
      <x:c r="AD169" s="1" t="n">
        <x:v>1200</x:v>
      </x:c>
      <x:c r="AE169" s="1"/>
      <x:c r="AF169" s="1"/>
      <x:c r="AG169" s="1"/>
      <x:c r="AH169" s="1"/>
      <x:c r="AI169" s="1"/>
      <x:c r="AJ169" s="1"/>
      <x:c r="AK169" s="1" t="n">
        <x:v>5920</x:v>
      </x:c>
      <x:c r="AL169" s="1" t="n">
        <x:v>7980</x:v>
      </x:c>
      <x:c r="AM169" s="1" t="n">
        <x:v>1070</x:v>
      </x:c>
      <x:c r="AN169" s="1" t="n">
        <x:v>240</x:v>
      </x:c>
      <x:c r="AO169" s="1" t="n">
        <x:v>310</x:v>
      </x:c>
      <x:c r="AP169" s="1" t="n">
        <x:v>1080</x:v>
      </x:c>
      <x:c r="AQ169" s="1" t="n">
        <x:v>48.74</x:v>
      </x:c>
      <x:c r="AR169" s="1" t="n">
        <x:v>14.41</x:v>
      </x:c>
      <x:c r="AS169" s="1" t="n">
        <x:v>9.41</x:v>
      </x:c>
      <x:c r="AT169" s="1" t="n">
        <x:v>10.51</x:v>
      </x:c>
      <x:c r="AU169" s="1"/>
      <x:c r="AV169" s="1"/>
      <x:c r="AW169" s="1"/>
      <x:c r="AX169" s="1"/>
      <x:c r="AY169" s="1"/>
      <x:c r="AZ169" s="1" t="n">
        <x:v>3646</x:v>
      </x:c>
      <x:c r="BA169" s="1" t="n">
        <x:v>3267</x:v>
      </x:c>
      <x:c r="BB169" s="1" t="n">
        <x:v>1.58</x:v>
      </x:c>
      <x:c r="BC169" s="1" t="n">
        <x:v>1</x:v>
      </x:c>
      <x:c r="BD169" s="1" t="n">
        <x:v>6.12</x:v>
      </x:c>
      <x:c r="BE169" s="1" t="n">
        <x:v>4.325</x:v>
      </x:c>
      <x:c r="BF169" s="1" t="n">
        <x:v>6.435</x:v>
      </x:c>
      <x:c r="BG169" s="1" t="n">
        <x:v>3.31</x:v>
      </x:c>
      <x:c r="BH169" s="1" t="n">
        <x:v>15.89</x:v>
      </x:c>
      <x:c r="BI169" s="1" t="n">
        <x:v>2.77</x:v>
      </x:c>
      <x:c r="BJ169" s="1" t="n">
        <x:v>1.39</x:v>
      </x:c>
      <x:c r="BK169" s="1" t="n">
        <x:v>28.56</x:v>
      </x:c>
      <x:c r="BL169" s="1" t="n">
        <x:v>35.6</x:v>
      </x:c>
      <x:c r="BM169" s="1" t="n">
        <x:v>44.41</x:v>
      </x:c>
      <x:c r="BN169" s="1" t="n">
        <x:v>29.49</x:v>
      </x:c>
      <x:c r="BO169" s="1" t="n">
        <x:v>45.59</x:v>
      </x:c>
      <x:c r="BP169" s="1" t="n">
        <x:v>4.98</x:v>
      </x:c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 t="n">
        <x:v>1.605</x:v>
      </x:c>
      <x:c r="CA169" s="1" t="n">
        <x:v>1.635</x:v>
      </x:c>
      <x:c r="CB169" s="1" t="n">
        <x:v>18.55</x:v>
      </x:c>
      <x:c r="CC169" s="1" t="n">
        <x:v>7.36</x:v>
      </x:c>
      <x:c r="CD169" s="1" t="n">
        <x:v>3.1</x:v>
      </x:c>
      <x:c r="CE169" s="1" t="n">
        <x:v>3.44</x:v>
      </x:c>
      <x:c r="CF169" s="1" t="n">
        <x:v>2.71</x:v>
      </x:c>
      <x:c r="CG169" s="1" t="n">
        <x:v>1</x:v>
      </x:c>
      <x:c r="CH169" s="1" t="n">
        <x:v>0.64</x:v>
      </x:c>
      <x:c r="CI169" s="1" t="n">
        <x:v>7.18</x:v>
      </x:c>
      <x:c r="CJ169" s="1" t="n">
        <x:v>10.94</x:v>
      </x:c>
      <x:c r="CK169" s="1" t="n">
        <x:v>11.1</x:v>
      </x:c>
      <x:c r="CL169" s="1" t="n">
        <x:v>3.98</x:v>
      </x:c>
      <x:c r="CM169" s="1" t="n">
        <x:v>5.39</x:v>
      </x:c>
      <x:c r="CN169" s="1" t="n">
        <x:v>2130</x:v>
      </x:c>
      <x:c r="CO169" s="1" t="n">
        <x:v>3491</x:v>
      </x:c>
      <x:c r="CP169" s="1" t="n">
        <x:v>2558</x:v>
      </x:c>
      <x:c r="CQ169" s="1" t="n">
        <x:v>2837</x:v>
      </x:c>
      <x:c r="CR169" s="1"/>
      <x:c r="CS169" s="1"/>
      <x:c r="CT169" s="1" t="n">
        <x:v>601.19</x:v>
      </x:c>
      <x:c r="CU169" s="1" t="n">
        <x:v>178.07</x:v>
      </x:c>
      <x:c r="CV169" s="1" t="n">
        <x:v>274.12</x:v>
      </x:c>
      <x:c r="CW169" s="1" t="n">
        <x:v>568.38</x:v>
      </x:c>
      <x:c r="CX169" s="1" t="n">
        <x:v>5071.84</x:v>
      </x:c>
      <x:c r="CY169" s="1" t="n">
        <x:v>19114.67</x:v>
      </x:c>
      <x:c r="CZ169" s="1" t="n">
        <x:v>18770.54</x:v>
      </x:c>
      <x:c r="DA169" s="1" t="n">
        <x:v>3655.91</x:v>
      </x:c>
      <x:c r="DB169" s="1" t="n">
        <x:v>24200.46</x:v>
      </x:c>
      <x:c r="DC169" s="1" t="n">
        <x:v>2473.35</x:v>
      </x:c>
      <x:c r="DD169" s="1" t="n">
        <x:v>19122.94</x:v>
      </x:c>
      <x:c r="DE169" s="1" t="n">
        <x:v>8484.44</x:v>
      </x:c>
      <x:c r="DF169" s="1" t="n">
        <x:v>45868.92</x:v>
      </x:c>
      <x:c r="DG169" s="1" t="n">
        <x:v>9875.29</x:v>
      </x:c>
      <x:c r="DH169" s="1" t="n">
        <x:v>29142.25</x:v>
      </x:c>
      <x:c r="DI169" s="1" t="n">
        <x:v>9041.23</x:v>
      </x:c>
      <x:c r="DJ169" s="1" t="n">
        <x:v>32848.88</x:v>
      </x:c>
      <x:c r="DK169" s="1" t="n">
        <x:v>7306.11</x:v>
      </x:c>
      <x:c r="DL169" s="1" t="n">
        <x:v>28993.91</x:v>
      </x:c>
      <x:c r="DM169" s="1" t="n">
        <x:v>12536.11</x:v>
      </x:c>
    </x:row>
    <x:row r="170" ht="23" customHeight="1">
      <x:c r="A170" s="1" t="n">
        <x:v>165</x:v>
      </x:c>
      <x:c r="B170" s="1" t="str">
        <x:v>己酸丁酯</x:v>
      </x:c>
      <x:c r="C170" s="1" t="str">
        <x:v>626-82-4</x:v>
      </x:c>
      <x:c r="D170" s="1" t="n">
        <x:v>677.84</x:v>
      </x:c>
      <x:c r="E170" s="1"/>
      <x:c r="F170" s="1"/>
      <x:c r="G170" s="1" t="n">
        <x:v>36.04</x:v>
      </x:c>
      <x:c r="H170" s="1" t="n">
        <x:v>45.49</x:v>
      </x:c>
      <x:c r="I170" s="1" t="n">
        <x:v>31.18</x:v>
      </x:c>
      <x:c r="J170" s="1" t="n">
        <x:v>47.71</x:v>
      </x:c>
      <x:c r="K170" s="1" t="n">
        <x:v>11.06</x:v>
      </x:c>
      <x:c r="L170" s="1" t="n">
        <x:v>675</x:v>
      </x:c>
      <x:c r="M170" s="1" t="n">
        <x:v>848</x:v>
      </x:c>
      <x:c r="N170" s="1" t="n">
        <x:v>86300</x:v>
      </x:c>
      <x:c r="O170" s="1" t="n">
        <x:v>67344</x:v>
      </x:c>
      <x:c r="P170" s="1" t="n">
        <x:v>72534</x:v>
      </x:c>
      <x:c r="Q170" s="1" t="n">
        <x:v>69305</x:v>
      </x:c>
      <x:c r="R170" s="1" t="n">
        <x:v>32877</x:v>
      </x:c>
      <x:c r="S170" s="1" t="n">
        <x:v>59224</x:v>
      </x:c>
      <x:c r="T170" s="1" t="n">
        <x:v>21</x:v>
      </x:c>
      <x:c r="U170" s="1" t="n">
        <x:v>29</x:v>
      </x:c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 t="n">
        <x:v>20910</x:v>
      </x:c>
      <x:c r="AF170" s="1" t="n">
        <x:v>6410</x:v>
      </x:c>
      <x:c r="AG170" s="1"/>
      <x:c r="AH170" s="1" t="n">
        <x:v>550</x:v>
      </x:c>
      <x:c r="AI170" s="1" t="n">
        <x:v>560</x:v>
      </x:c>
      <x:c r="AJ170" s="1" t="n">
        <x:v>15</x:v>
      </x:c>
      <x:c r="AK170" s="1" t="n">
        <x:v>5090</x:v>
      </x:c>
      <x:c r="AL170" s="1" t="n">
        <x:v>5610</x:v>
      </x:c>
      <x:c r="AM170" s="1" t="n">
        <x:v>5000</x:v>
      </x:c>
      <x:c r="AN170" s="1" t="n">
        <x:v>480</x:v>
      </x:c>
      <x:c r="AO170" s="1" t="n">
        <x:v>700</x:v>
      </x:c>
      <x:c r="AP170" s="1" t="n">
        <x:v>6990</x:v>
      </x:c>
      <x:c r="AQ170" s="1" t="n">
        <x:v>77</x:v>
      </x:c>
      <x:c r="AR170" s="1" t="n">
        <x:v>32.48</x:v>
      </x:c>
      <x:c r="AS170" s="1" t="n">
        <x:v>11.31</x:v>
      </x:c>
      <x:c r="AT170" s="1" t="n">
        <x:v>13.83</x:v>
      </x:c>
      <x:c r="AU170" s="1"/>
      <x:c r="AV170" s="1"/>
      <x:c r="AW170" s="1"/>
      <x:c r="AX170" s="1"/>
      <x:c r="AY170" s="1"/>
      <x:c r="AZ170" s="1" t="n">
        <x:v>11399</x:v>
      </x:c>
      <x:c r="BA170" s="1"/>
      <x:c r="BB170" s="1" t="n">
        <x:v>3.24</x:v>
      </x:c>
      <x:c r="BC170" s="1" t="n">
        <x:v>22.5</x:v>
      </x:c>
      <x:c r="BD170" s="1" t="n">
        <x:v>7.3</x:v>
      </x:c>
      <x:c r="BE170" s="1" t="n">
        <x:v>19.86</x:v>
      </x:c>
      <x:c r="BF170" s="1" t="n">
        <x:v>13.01</x:v>
      </x:c>
      <x:c r="BG170" s="1" t="n">
        <x:v>2.79</x:v>
      </x:c>
      <x:c r="BH170" s="1" t="n">
        <x:v>37.41</x:v>
      </x:c>
      <x:c r="BI170" s="1" t="n">
        <x:v>2.86</x:v>
      </x:c>
      <x:c r="BJ170" s="1" t="n">
        <x:v>3.78</x:v>
      </x:c>
      <x:c r="BK170" s="1" t="n">
        <x:v>49.99</x:v>
      </x:c>
      <x:c r="BL170" s="1" t="n">
        <x:v>61.77</x:v>
      </x:c>
      <x:c r="BM170" s="1" t="n">
        <x:v>95.51</x:v>
      </x:c>
      <x:c r="BN170" s="1" t="n">
        <x:v>67.74</x:v>
      </x:c>
      <x:c r="BO170" s="1" t="n">
        <x:v>98.83</x:v>
      </x:c>
      <x:c r="BP170" s="1" t="n">
        <x:v>4.69</x:v>
      </x:c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 t="n">
        <x:v>3138.08</x:v>
      </x:c>
      <x:c r="CA170" s="1" t="n">
        <x:v>3602.1033</x:v>
      </x:c>
      <x:c r="CB170" s="1" t="n">
        <x:v>8916.18</x:v>
      </x:c>
      <x:c r="CC170" s="1" t="n">
        <x:v>2694.41</x:v>
      </x:c>
      <x:c r="CD170" s="1" t="n">
        <x:v>24918.47</x:v>
      </x:c>
      <x:c r="CE170" s="1" t="n">
        <x:v>8707.78</x:v>
      </x:c>
      <x:c r="CF170" s="1" t="n">
        <x:v>7818.61</x:v>
      </x:c>
      <x:c r="CG170" s="1" t="n">
        <x:v>1491.19</x:v>
      </x:c>
      <x:c r="CH170" s="1" t="n">
        <x:v>799.47</x:v>
      </x:c>
      <x:c r="CI170" s="1" t="n">
        <x:v>17820.66</x:v>
      </x:c>
      <x:c r="CJ170" s="1" t="n">
        <x:v>36995.29</x:v>
      </x:c>
      <x:c r="CK170" s="1" t="n">
        <x:v>43495.18</x:v>
      </x:c>
      <x:c r="CL170" s="1" t="n">
        <x:v>12475.5</x:v>
      </x:c>
      <x:c r="CM170" s="1" t="n">
        <x:v>14941.38</x:v>
      </x:c>
      <x:c r="CN170" s="1" t="n">
        <x:v>1801</x:v>
      </x:c>
      <x:c r="CO170" s="1" t="n">
        <x:v>8339</x:v>
      </x:c>
      <x:c r="CP170" s="1" t="n">
        <x:v>2256</x:v>
      </x:c>
      <x:c r="CQ170" s="1" t="n">
        <x:v>2796</x:v>
      </x:c>
      <x:c r="CR170" s="1"/>
      <x:c r="CS170" s="1"/>
      <x:c r="CT170" s="1" t="n">
        <x:v>1911.38</x:v>
      </x:c>
      <x:c r="CU170" s="1" t="n">
        <x:v>454.98</x:v>
      </x:c>
      <x:c r="CV170" s="1" t="n">
        <x:v>1268.03</x:v>
      </x:c>
      <x:c r="CW170" s="1" t="n">
        <x:v>1433.29</x:v>
      </x:c>
      <x:c r="CX170" s="1"/>
      <x:c r="CY170" s="1"/>
      <x:c r="CZ170" s="1"/>
      <x:c r="DA170" s="1"/>
      <x:c r="DB170" s="1"/>
      <x:c r="DC170" s="1"/>
      <x:c r="DD170" s="1"/>
      <x:c r="DE170" s="1"/>
      <x:c r="DF170" s="1"/>
      <x:c r="DG170" s="1"/>
      <x:c r="DH170" s="1"/>
      <x:c r="DI170" s="1"/>
      <x:c r="DJ170" s="1"/>
      <x:c r="DK170" s="1"/>
      <x:c r="DL170" s="1"/>
      <x:c r="DM170" s="1"/>
    </x:row>
    <x:row r="171" ht="23" customHeight="1">
      <x:c r="A171" s="1" t="n">
        <x:v>166</x:v>
      </x:c>
      <x:c r="B171" s="1" t="str">
        <x:v>2-己醇</x:v>
      </x:c>
      <x:c r="C171" s="1" t="str">
        <x:v>626-93-7</x:v>
      </x:c>
      <x:c r="D171" s="1"/>
      <x:c r="E171" s="1"/>
      <x:c r="F171" s="1"/>
      <x:c r="G171" s="1"/>
      <x:c r="H171" s="1"/>
      <x:c r="I171" s="1" t="n">
        <x:v>0.15</x:v>
      </x:c>
      <x:c r="J171" s="1"/>
      <x:c r="K171" s="1" t="n">
        <x:v>0.14</x:v>
      </x:c>
      <x:c r="L171" s="1"/>
      <x:c r="M171" s="1"/>
      <x:c r="N171" s="1"/>
      <x:c r="O171" s="1"/>
      <x:c r="P171" s="1"/>
      <x:c r="Q171" s="1"/>
      <x:c r="R171" s="1"/>
      <x:c r="S171" s="1"/>
      <x:c r="T171" s="1" t="n">
        <x:v>0</x:v>
      </x:c>
      <x:c r="U171" s="1" t="n">
        <x:v>0</x:v>
      </x:c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 t="n">
        <x:v>5.96</x:v>
      </x:c>
      <x:c r="AR171" s="1" t="n">
        <x:v>2.4</x:v>
      </x:c>
      <x:c r="AS171" s="1" t="n">
        <x:v>2.38</x:v>
      </x:c>
      <x:c r="AT171" s="1" t="n">
        <x:v>2.02</x:v>
      </x:c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  <x:c r="DE171" s="1"/>
      <x:c r="DF171" s="1"/>
      <x:c r="DG171" s="1"/>
      <x:c r="DH171" s="1"/>
      <x:c r="DI171" s="1"/>
      <x:c r="DJ171" s="1"/>
      <x:c r="DK171" s="1"/>
      <x:c r="DL171" s="1"/>
      <x:c r="DM171" s="1"/>
    </x:row>
    <x:row r="172" ht="23" customHeight="1">
      <x:c r="A172" s="1" t="n">
        <x:v>167</x:v>
      </x:c>
      <x:c r="B172" s="1" t="str">
        <x:v>十一酸乙酯</x:v>
      </x:c>
      <x:c r="C172" s="1" t="str">
        <x:v>627-90-7</x:v>
      </x:c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 t="n">
        <x:v>2149</x:v>
      </x:c>
      <x:c r="O172" s="1" t="n">
        <x:v>1046</x:v>
      </x:c>
      <x:c r="P172" s="1" t="n">
        <x:v>1373</x:v>
      </x:c>
      <x:c r="Q172" s="1" t="n">
        <x:v>785</x:v>
      </x:c>
      <x:c r="R172" s="1" t="n">
        <x:v>1142</x:v>
      </x:c>
      <x:c r="S172" s="1" t="n">
        <x:v>1349</x:v>
      </x:c>
      <x:c r="T172" s="1"/>
      <x:c r="U172" s="1"/>
      <x:c r="V172" s="1" t="n">
        <x:v>1.6667</x:v>
      </x:c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 t="n">
        <x:v>16.18</x:v>
      </x:c>
      <x:c r="CA172" s="1" t="n">
        <x:v>17.035</x:v>
      </x:c>
      <x:c r="CB172" s="1" t="n">
        <x:v>39.98</x:v>
      </x:c>
      <x:c r="CC172" s="1" t="n">
        <x:v>34.78</x:v>
      </x:c>
      <x:c r="CD172" s="1" t="n">
        <x:v>36.36</x:v>
      </x:c>
      <x:c r="CE172" s="1" t="n">
        <x:v>34.37</x:v>
      </x:c>
      <x:c r="CF172" s="1" t="n">
        <x:v>39.49</x:v>
      </x:c>
      <x:c r="CG172" s="1" t="n">
        <x:v>15.09</x:v>
      </x:c>
      <x:c r="CH172" s="1" t="n">
        <x:v>13.37</x:v>
      </x:c>
      <x:c r="CI172" s="1" t="n">
        <x:v>51.15</x:v>
      </x:c>
      <x:c r="CJ172" s="1" t="n">
        <x:v>32.5</x:v>
      </x:c>
      <x:c r="CK172" s="1" t="n">
        <x:v>52.61</x:v>
      </x:c>
      <x:c r="CL172" s="1" t="n">
        <x:v>33.94</x:v>
      </x:c>
      <x:c r="CM172" s="1"/>
      <x:c r="CN172" s="1" t="n">
        <x:v>20</x:v>
      </x:c>
      <x:c r="CO172" s="1" t="n">
        <x:v>23</x:v>
      </x:c>
      <x:c r="CP172" s="1" t="n">
        <x:v>16</x:v>
      </x:c>
      <x:c r="CQ172" s="1" t="n">
        <x:v>21</x:v>
      </x:c>
      <x:c r="CR172" s="1"/>
      <x:c r="CS172" s="1"/>
      <x:c r="CT172" s="1"/>
      <x:c r="CU172" s="1"/>
      <x:c r="CV172" s="1"/>
      <x:c r="CW172" s="1"/>
      <x:c r="CX172" s="1" t="n">
        <x:v>37.6</x:v>
      </x:c>
      <x:c r="CY172" s="1" t="n">
        <x:v>6.83</x:v>
      </x:c>
      <x:c r="CZ172" s="1" t="n">
        <x:v>3.16</x:v>
      </x:c>
      <x:c r="DA172" s="1" t="n">
        <x:v>24.89</x:v>
      </x:c>
      <x:c r="DB172" s="1" t="n">
        <x:v>3.65</x:v>
      </x:c>
      <x:c r="DC172" s="1" t="n">
        <x:v>19.52</x:v>
      </x:c>
      <x:c r="DD172" s="1" t="n">
        <x:v>13.37</x:v>
      </x:c>
      <x:c r="DE172" s="1" t="n">
        <x:v>67.38</x:v>
      </x:c>
      <x:c r="DF172" s="1" t="n">
        <x:v>5.48</x:v>
      </x:c>
      <x:c r="DG172" s="1" t="n">
        <x:v>4.73</x:v>
      </x:c>
      <x:c r="DH172" s="1" t="n">
        <x:v>6.84</x:v>
      </x:c>
      <x:c r="DI172" s="1" t="n">
        <x:v>4.74</x:v>
      </x:c>
      <x:c r="DJ172" s="1" t="n">
        <x:v>4.49</x:v>
      </x:c>
      <x:c r="DK172" s="1" t="n">
        <x:v>4.6</x:v>
      </x:c>
      <x:c r="DL172" s="1" t="n">
        <x:v>10.33</x:v>
      </x:c>
      <x:c r="DM172" s="1" t="n">
        <x:v>70.2</x:v>
      </x:c>
    </x:row>
    <x:row r="173" ht="23" customHeight="1">
      <x:c r="A173" s="1" t="n">
        <x:v>168</x:v>
      </x:c>
      <x:c r="B173" s="1" t="str">
        <x:v>乙酸戊酯</x:v>
      </x:c>
      <x:c r="C173" s="1" t="str">
        <x:v>628-63-7</x:v>
      </x:c>
      <x:c r="D173" s="1"/>
      <x:c r="E173" s="1"/>
      <x:c r="F173" s="1"/>
      <x:c r="G173" s="1" t="n">
        <x:v>3.6</x:v>
      </x:c>
      <x:c r="H173" s="1" t="n">
        <x:v>0.15</x:v>
      </x:c>
      <x:c r="I173" s="1"/>
      <x:c r="J173" s="1" t="n">
        <x:v>20.24</x:v>
      </x:c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 t="n">
        <x:v>318</x:v>
      </x:c>
      <x:c r="BA173" s="1" t="n">
        <x:v>321</x:v>
      </x:c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  <x:c r="DE173" s="1"/>
      <x:c r="DF173" s="1"/>
      <x:c r="DG173" s="1"/>
      <x:c r="DH173" s="1"/>
      <x:c r="DI173" s="1"/>
      <x:c r="DJ173" s="1"/>
      <x:c r="DK173" s="1"/>
      <x:c r="DL173" s="1"/>
      <x:c r="DM173" s="1"/>
    </x:row>
    <x:row r="174" ht="23" customHeight="1">
      <x:c r="A174" s="1" t="n">
        <x:v>169</x:v>
      </x:c>
      <x:c r="B174" s="1" t="str">
        <x:v>棕榈酸乙酯</x:v>
      </x:c>
      <x:c r="C174" s="1" t="str">
        <x:v>628-97-7</x:v>
      </x:c>
      <x:c r="D174" s="1"/>
      <x:c r="E174" s="1" t="n">
        <x:v>601</x:v>
      </x:c>
      <x:c r="F174" s="1" t="n">
        <x:v>14044</x:v>
      </x:c>
      <x:c r="G174" s="1" t="n">
        <x:v>41.84</x:v>
      </x:c>
      <x:c r="H174" s="1" t="n">
        <x:v>47.81</x:v>
      </x:c>
      <x:c r="I174" s="1" t="n">
        <x:v>14.02</x:v>
      </x:c>
      <x:c r="J174" s="1" t="n">
        <x:v>34.52</x:v>
      </x:c>
      <x:c r="K174" s="1" t="n">
        <x:v>3.56</x:v>
      </x:c>
      <x:c r="L174" s="1"/>
      <x:c r="M174" s="1"/>
      <x:c r="N174" s="1" t="n">
        <x:v>156714</x:v>
      </x:c>
      <x:c r="O174" s="1" t="n">
        <x:v>106419</x:v>
      </x:c>
      <x:c r="P174" s="1" t="n">
        <x:v>115440</x:v>
      </x:c>
      <x:c r="Q174" s="1" t="n">
        <x:v>98682</x:v>
      </x:c>
      <x:c r="R174" s="1" t="n">
        <x:v>99126</x:v>
      </x:c>
      <x:c r="S174" s="1" t="n">
        <x:v>114452</x:v>
      </x:c>
      <x:c r="T174" s="1" t="n">
        <x:v>53</x:v>
      </x:c>
      <x:c r="U174" s="1" t="n">
        <x:v>16</x:v>
      </x:c>
      <x:c r="V174" s="1" t="n">
        <x:v>1.875</x:v>
      </x:c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 t="n">
        <x:v>0.4</x:v>
      </x:c>
      <x:c r="AJ174" s="1"/>
      <x:c r="AK174" s="1" t="n">
        <x:v>1140</x:v>
      </x:c>
      <x:c r="AL174" s="1" t="n">
        <x:v>6380</x:v>
      </x:c>
      <x:c r="AM174" s="1"/>
      <x:c r="AN174" s="1"/>
      <x:c r="AO174" s="1"/>
      <x:c r="AP174" s="1"/>
      <x:c r="AQ174" s="1" t="n">
        <x:v>94.55</x:v>
      </x:c>
      <x:c r="AR174" s="1" t="n">
        <x:v>38.12</x:v>
      </x:c>
      <x:c r="AS174" s="1" t="n">
        <x:v>48.09</x:v>
      </x:c>
      <x:c r="AT174" s="1" t="n">
        <x:v>50.57</x:v>
      </x:c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 t="n">
        <x:v>4446.35</x:v>
      </x:c>
      <x:c r="CU174" s="1" t="n">
        <x:v>4608.76</x:v>
      </x:c>
      <x:c r="CV174" s="1" t="n">
        <x:v>3111.51</x:v>
      </x:c>
      <x:c r="CW174" s="1" t="n">
        <x:v>3071.14</x:v>
      </x:c>
      <x:c r="CX174" s="1" t="n">
        <x:v>1141.54</x:v>
      </x:c>
      <x:c r="CY174" s="1" t="n">
        <x:v>3180.43</x:v>
      </x:c>
      <x:c r="CZ174" s="1" t="n">
        <x:v>2412.99</x:v>
      </x:c>
      <x:c r="DA174" s="1" t="n">
        <x:v>1181.94</x:v>
      </x:c>
      <x:c r="DB174" s="1"/>
      <x:c r="DC174" s="1" t="n">
        <x:v>1035.33</x:v>
      </x:c>
      <x:c r="DD174" s="1" t="n">
        <x:v>5634.68</x:v>
      </x:c>
      <x:c r="DE174" s="1" t="n">
        <x:v>1233.61</x:v>
      </x:c>
      <x:c r="DF174" s="1" t="n">
        <x:v>2044.91</x:v>
      </x:c>
      <x:c r="DG174" s="1" t="n">
        <x:v>571.41</x:v>
      </x:c>
      <x:c r="DH174" s="1" t="n">
        <x:v>7356.18</x:v>
      </x:c>
      <x:c r="DI174" s="1" t="n">
        <x:v>1229.99</x:v>
      </x:c>
      <x:c r="DJ174" s="1" t="n">
        <x:v>4489.77</x:v>
      </x:c>
      <x:c r="DK174" s="1" t="n">
        <x:v>573.52</x:v>
      </x:c>
      <x:c r="DL174" s="1" t="n">
        <x:v>4268.11</x:v>
      </x:c>
      <x:c r="DM174" s="1" t="n">
        <x:v>1577.88</x:v>
      </x:c>
    </x:row>
    <x:row r="175" ht="23" customHeight="1">
      <x:c r="A175" s="1" t="n">
        <x:v>170</x:v>
      </x:c>
      <x:c r="B175" s="1" t="str">
        <x:v>2-壬基醇</x:v>
      </x:c>
      <x:c r="C175" s="1" t="str">
        <x:v>628-99-9</x:v>
      </x:c>
      <x:c r="D175" s="1"/>
      <x:c r="E175" s="1"/>
      <x:c r="F175" s="1"/>
      <x:c r="G175" s="1"/>
      <x:c r="H175" s="1"/>
      <x:c r="I175" s="1" t="n">
        <x:v>0.1</x:v>
      </x:c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  <x:c r="DE175" s="1"/>
      <x:c r="DF175" s="1"/>
      <x:c r="DG175" s="1"/>
      <x:c r="DH175" s="1"/>
      <x:c r="DI175" s="1"/>
      <x:c r="DJ175" s="1"/>
      <x:c r="DK175" s="1"/>
      <x:c r="DL175" s="1"/>
      <x:c r="DM175" s="1"/>
    </x:row>
    <x:row r="176" ht="23" customHeight="1">
      <x:c r="A176" s="1" t="n">
        <x:v>171</x:v>
      </x:c>
      <x:c r="B176" s="1" t="str">
        <x:v>异己酸（4-甲基戊酸）</x:v>
      </x:c>
      <x:c r="C176" s="1" t="str">
        <x:v>646-07-1</x:v>
      </x:c>
      <x:c r="D176" s="1"/>
      <x:c r="E176" s="1" t="n">
        <x:v>300</x:v>
      </x:c>
      <x:c r="F176" s="1" t="n">
        <x:v>1311</x:v>
      </x:c>
      <x:c r="G176" s="1"/>
      <x:c r="H176" s="1" t="n">
        <x:v>0.15</x:v>
      </x:c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 t="n">
        <x:v>4930</x:v>
      </x:c>
      <x:c r="X176" s="1" t="n">
        <x:v>2500</x:v>
      </x:c>
      <x:c r="Y176" s="1" t="n">
        <x:v>4710</x:v>
      </x:c>
      <x:c r="Z176" s="1" t="n">
        <x:v>6340</x:v>
      </x:c>
      <x:c r="AA176" s="1" t="n">
        <x:v>12300</x:v>
      </x:c>
      <x:c r="AB176" s="1" t="n">
        <x:v>18200</x:v>
      </x:c>
      <x:c r="AC176" s="1" t="n">
        <x:v>18800</x:v>
      </x:c>
      <x:c r="AD176" s="1" t="n">
        <x:v>25500</x:v>
      </x:c>
      <x:c r="AE176" s="1" t="n">
        <x:v>220</x:v>
      </x:c>
      <x:c r="AF176" s="1" t="n">
        <x:v>70</x:v>
      </x:c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 t="n">
        <x:v>254.11</x:v>
      </x:c>
      <x:c r="BE176" s="1" t="n">
        <x:v>631.81</x:v>
      </x:c>
      <x:c r="BF176" s="1" t="n">
        <x:v>395.33</x:v>
      </x:c>
      <x:c r="BG176" s="1" t="n">
        <x:v>281.12</x:v>
      </x:c>
      <x:c r="BH176" s="1"/>
      <x:c r="BI176" s="1" t="n">
        <x:v>364.22</x:v>
      </x:c>
      <x:c r="BJ176" s="1"/>
      <x:c r="BK176" s="1" t="n">
        <x:v>815.63</x:v>
      </x:c>
      <x:c r="BL176" s="1" t="n">
        <x:v>390.32</x:v>
      </x:c>
      <x:c r="BM176" s="1" t="n">
        <x:v>696.21</x:v>
      </x:c>
      <x:c r="BN176" s="1" t="n">
        <x:v>218.74</x:v>
      </x:c>
      <x:c r="BO176" s="1" t="n">
        <x:v>697.34</x:v>
      </x:c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 t="n">
        <x:v>474.525</x:v>
      </x:c>
      <x:c r="CA176" s="1" t="n">
        <x:v>501.71</x:v>
      </x:c>
      <x:c r="CB176" s="1" t="n">
        <x:v>826.75</x:v>
      </x:c>
      <x:c r="CC176" s="1" t="n">
        <x:v>900.59</x:v>
      </x:c>
      <x:c r="CD176" s="1" t="n">
        <x:v>1030.82</x:v>
      </x:c>
      <x:c r="CE176" s="1" t="n">
        <x:v>1215.35</x:v>
      </x:c>
      <x:c r="CF176" s="1" t="n">
        <x:v>785.43</x:v>
      </x:c>
      <x:c r="CG176" s="1" t="n">
        <x:v>458.77</x:v>
      </x:c>
      <x:c r="CH176" s="1" t="n">
        <x:v>454.62</x:v>
      </x:c>
      <x:c r="CI176" s="1" t="n">
        <x:v>1091.36</x:v>
      </x:c>
      <x:c r="CJ176" s="1" t="n">
        <x:v>1489.7</x:v>
      </x:c>
      <x:c r="CK176" s="1" t="n">
        <x:v>2233.91</x:v>
      </x:c>
      <x:c r="CL176" s="1" t="n">
        <x:v>4104.59</x:v>
      </x:c>
      <x:c r="CM176" s="1" t="n">
        <x:v>1200.45</x:v>
      </x:c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  <x:c r="DE176" s="1"/>
      <x:c r="DF176" s="1"/>
      <x:c r="DG176" s="1"/>
      <x:c r="DH176" s="1"/>
      <x:c r="DI176" s="1"/>
      <x:c r="DJ176" s="1"/>
      <x:c r="DK176" s="1"/>
      <x:c r="DL176" s="1"/>
      <x:c r="DM176" s="1"/>
    </x:row>
    <x:row r="177" ht="23" customHeight="1">
      <x:c r="A177" s="1" t="n">
        <x:v>172</x:v>
      </x:c>
      <x:c r="B177" s="1" t="str">
        <x:v>异戊酸异戊酯</x:v>
      </x:c>
      <x:c r="C177" s="1" t="str">
        <x:v>659-70-1</x:v>
      </x:c>
      <x:c r="D177" s="1" t="n">
        <x:v>134</x:v>
      </x:c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 t="n">
        <x:v>15.85</x:v>
      </x:c>
      <x:c r="CY177" s="1" t="n">
        <x:v>20.79</x:v>
      </x:c>
      <x:c r="CZ177" s="1" t="n">
        <x:v>24.34</x:v>
      </x:c>
      <x:c r="DA177" s="1" t="n">
        <x:v>17.2</x:v>
      </x:c>
      <x:c r="DB177" s="1" t="n">
        <x:v>27.8</x:v>
      </x:c>
      <x:c r="DC177" s="1" t="n">
        <x:v>12.61</x:v>
      </x:c>
      <x:c r="DD177" s="1" t="n">
        <x:v>31.76</x:v>
      </x:c>
      <x:c r="DE177" s="1" t="n">
        <x:v>14.5</x:v>
      </x:c>
      <x:c r="DF177" s="1" t="n">
        <x:v>18.36</x:v>
      </x:c>
      <x:c r="DG177" s="1" t="n">
        <x:v>14.78</x:v>
      </x:c>
      <x:c r="DH177" s="1" t="n">
        <x:v>24.35</x:v>
      </x:c>
      <x:c r="DI177" s="1" t="n">
        <x:v>13.43</x:v>
      </x:c>
      <x:c r="DJ177" s="1" t="n">
        <x:v>19.31</x:v>
      </x:c>
      <x:c r="DK177" s="1" t="n">
        <x:v>12.96</x:v>
      </x:c>
      <x:c r="DL177" s="1" t="n">
        <x:v>42.64</x:v>
      </x:c>
      <x:c r="DM177" s="1" t="n">
        <x:v>14.88</x:v>
      </x:c>
    </x:row>
    <x:row r="178" ht="23" customHeight="1">
      <x:c r="A178" s="1" t="n">
        <x:v>173</x:v>
      </x:c>
      <x:c r="B178" s="1"/>
      <x:c r="C178" s="1" t="str">
        <x:v>687-47-8</x:v>
      </x:c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  <x:c r="DE178" s="1"/>
      <x:c r="DF178" s="1"/>
      <x:c r="DG178" s="1"/>
      <x:c r="DH178" s="1"/>
      <x:c r="DI178" s="1"/>
      <x:c r="DJ178" s="1"/>
      <x:c r="DK178" s="1"/>
      <x:c r="DL178" s="1"/>
      <x:c r="DM178" s="1"/>
    </x:row>
    <x:row r="179" ht="23" customHeight="1">
      <x:c r="A179" s="1" t="n">
        <x:v>174</x:v>
      </x:c>
      <x:c r="B179" s="1" t="str">
        <x:v>甲基壬基甲酮</x:v>
      </x:c>
      <x:c r="C179" s="1" t="str">
        <x:v>693-54-9</x:v>
      </x:c>
      <x:c r="D179" s="1" t="n">
        <x:v>400</x:v>
      </x:c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 t="n">
        <x:v>207</x:v>
      </x:c>
      <x:c r="BA179" s="1" t="n">
        <x:v>374</x:v>
      </x:c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  <x:c r="DE179" s="1"/>
      <x:c r="DF179" s="1"/>
      <x:c r="DG179" s="1"/>
      <x:c r="DH179" s="1"/>
      <x:c r="DI179" s="1"/>
      <x:c r="DJ179" s="1"/>
      <x:c r="DK179" s="1"/>
      <x:c r="DL179" s="1"/>
      <x:c r="DM179" s="1"/>
    </x:row>
    <x:row r="180" ht="23" customHeight="1">
      <x:c r="A180" s="1" t="n">
        <x:v>175</x:v>
      </x:c>
      <x:c r="B180" s="1" t="str">
        <x:v>γ-己内酯</x:v>
      </x:c>
      <x:c r="C180" s="1" t="str">
        <x:v>695-06-7</x:v>
      </x:c>
      <x:c r="D180" s="1" t="n">
        <x:v>12500</x:v>
      </x:c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 t="n">
        <x:v>1.375</x:v>
      </x:c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 t="n">
        <x:v>9950</x:v>
      </x:c>
      <x:c r="AL180" s="1" t="n">
        <x:v>17760</x:v>
      </x:c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 t="n">
        <x:v>185.5</x:v>
      </x:c>
      <x:c r="CZ180" s="1" t="n">
        <x:v>184.09</x:v>
      </x:c>
      <x:c r="DA180" s="1" t="n">
        <x:v>4.2</x:v>
      </x:c>
      <x:c r="DB180" s="1" t="n">
        <x:v>144.01</x:v>
      </x:c>
      <x:c r="DC180" s="1" t="n">
        <x:v>5.35</x:v>
      </x:c>
      <x:c r="DD180" s="1" t="n">
        <x:v>131.58</x:v>
      </x:c>
      <x:c r="DE180" s="1" t="n">
        <x:v>8.77</x:v>
      </x:c>
      <x:c r="DF180" s="1" t="n">
        <x:v>40.87</x:v>
      </x:c>
      <x:c r="DG180" s="1" t="n">
        <x:v>3.22</x:v>
      </x:c>
      <x:c r="DH180" s="1" t="n">
        <x:v>12.79</x:v>
      </x:c>
      <x:c r="DI180" s="1" t="n">
        <x:v>15.31</x:v>
      </x:c>
      <x:c r="DJ180" s="1" t="n">
        <x:v>26.72</x:v>
      </x:c>
      <x:c r="DK180" s="1" t="n">
        <x:v>4.63</x:v>
      </x:c>
      <x:c r="DL180" s="1" t="n">
        <x:v>98.79</x:v>
      </x:c>
      <x:c r="DM180" s="1" t="n">
        <x:v>6.57</x:v>
      </x:c>
    </x:row>
    <x:row r="181" ht="23" customHeight="1">
      <x:c r="A181" s="1" t="n">
        <x:v>176</x:v>
      </x:c>
      <x:c r="B181" s="1" t="str">
        <x:v>2-壬酮</x:v>
      </x:c>
      <x:c r="C181" s="1" t="str">
        <x:v>821-55-6</x:v>
      </x:c>
      <x:c r="D181" s="1" t="n">
        <x:v>393</x:v>
      </x:c>
      <x:c r="E181" s="1"/>
      <x:c r="F181" s="1"/>
      <x:c r="G181" s="1"/>
      <x:c r="H181" s="1"/>
      <x:c r="I181" s="1" t="n">
        <x:v>0.97</x:v>
      </x:c>
      <x:c r="J181" s="1" t="n">
        <x:v>0.52</x:v>
      </x:c>
      <x:c r="K181" s="1" t="n">
        <x:v>0.32</x:v>
      </x:c>
      <x:c r="L181" s="1"/>
      <x:c r="M181" s="1"/>
      <x:c r="N181" s="1" t="n">
        <x:v>1324</x:v>
      </x:c>
      <x:c r="O181" s="1" t="n">
        <x:v>1544</x:v>
      </x:c>
      <x:c r="P181" s="1" t="n">
        <x:v>1108</x:v>
      </x:c>
      <x:c r="Q181" s="1" t="n">
        <x:v>1233</x:v>
      </x:c>
      <x:c r="R181" s="1" t="n">
        <x:v>1224</x:v>
      </x:c>
      <x:c r="S181" s="1" t="n">
        <x:v>1559</x:v>
      </x:c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 t="n">
        <x:v>0.61</x:v>
      </x:c>
      <x:c r="AR181" s="1" t="n">
        <x:v>1.07</x:v>
      </x:c>
      <x:c r="AS181" s="1" t="n">
        <x:v>1.25</x:v>
      </x:c>
      <x:c r="AT181" s="1" t="n">
        <x:v>1.12</x:v>
      </x:c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 t="n">
        <x:v>98.74</x:v>
      </x:c>
      <x:c r="CA181" s="1" t="n">
        <x:v>130.245</x:v>
      </x:c>
      <x:c r="CB181" s="1" t="n">
        <x:v>2288.38</x:v>
      </x:c>
      <x:c r="CC181" s="1" t="n">
        <x:v>209.36</x:v>
      </x:c>
      <x:c r="CD181" s="1" t="n">
        <x:v>488.3</x:v>
      </x:c>
      <x:c r="CE181" s="1" t="n">
        <x:v>1469.11</x:v>
      </x:c>
      <x:c r="CF181" s="1" t="n">
        <x:v>707.49</x:v>
      </x:c>
      <x:c r="CG181" s="1" t="n">
        <x:v>87.65</x:v>
      </x:c>
      <x:c r="CH181" s="1" t="n">
        <x:v>56.99</x:v>
      </x:c>
      <x:c r="CI181" s="1" t="n">
        <x:v>767.09</x:v>
      </x:c>
      <x:c r="CJ181" s="1" t="n">
        <x:v>760.45</x:v>
      </x:c>
      <x:c r="CK181" s="1" t="n">
        <x:v>994.98</x:v>
      </x:c>
      <x:c r="CL181" s="1" t="n">
        <x:v>630.31</x:v>
      </x:c>
      <x:c r="CM181" s="1" t="n">
        <x:v>685.38</x:v>
      </x:c>
      <x:c r="CN181" s="1"/>
      <x:c r="CO181" s="1"/>
      <x:c r="CP181" s="1"/>
      <x:c r="CQ181" s="1"/>
      <x:c r="CR181" s="1"/>
      <x:c r="CS181" s="1"/>
      <x:c r="CT181" s="1"/>
      <x:c r="CU181" s="1"/>
      <x:c r="CV181" s="1" t="n">
        <x:v>38.16</x:v>
      </x:c>
      <x:c r="CW181" s="1"/>
      <x:c r="CX181" s="1" t="n">
        <x:v>16.33</x:v>
      </x:c>
      <x:c r="CY181" s="1" t="n">
        <x:v>466.51</x:v>
      </x:c>
      <x:c r="CZ181" s="1" t="n">
        <x:v>155.11</x:v>
      </x:c>
      <x:c r="DA181" s="1" t="n">
        <x:v>22.82</x:v>
      </x:c>
      <x:c r="DB181" s="1" t="n">
        <x:v>44.51</x:v>
      </x:c>
      <x:c r="DC181" s="1" t="n">
        <x:v>21.14</x:v>
      </x:c>
      <x:c r="DD181" s="1" t="n">
        <x:v>34.6</x:v>
      </x:c>
      <x:c r="DE181" s="1" t="n">
        <x:v>21.39</x:v>
      </x:c>
      <x:c r="DF181" s="1" t="n">
        <x:v>103.87</x:v>
      </x:c>
      <x:c r="DG181" s="1" t="n">
        <x:v>1.4</x:v>
      </x:c>
      <x:c r="DH181" s="1" t="n">
        <x:v>117.38</x:v>
      </x:c>
      <x:c r="DI181" s="1" t="n">
        <x:v>2.05</x:v>
      </x:c>
      <x:c r="DJ181" s="1" t="n">
        <x:v>115.48</x:v>
      </x:c>
      <x:c r="DK181" s="1" t="n">
        <x:v>1.13</x:v>
      </x:c>
      <x:c r="DL181" s="1" t="n">
        <x:v>368.82</x:v>
      </x:c>
      <x:c r="DM181" s="1" t="n">
        <x:v>31.31</x:v>
      </x:c>
    </x:row>
    <x:row r="182" ht="23" customHeight="1">
      <x:c r="A182" s="1" t="n">
        <x:v>177</x:v>
      </x:c>
      <x:c r="B182" s="1" t="str">
        <x:v>反式-3-己烯-1-醇</x:v>
      </x:c>
      <x:c r="C182" s="1" t="str">
        <x:v>928-97-2</x:v>
      </x:c>
      <x:c r="D182" s="1" t="n">
        <x:v>400</x:v>
      </x:c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 t="n">
        <x:v>148.97</x:v>
      </x:c>
      <x:c r="CY182" s="1" t="n">
        <x:v>289.91</x:v>
      </x:c>
      <x:c r="CZ182" s="1" t="n">
        <x:v>318.88</x:v>
      </x:c>
      <x:c r="DA182" s="1" t="n">
        <x:v>1.08</x:v>
      </x:c>
      <x:c r="DB182" s="1" t="n">
        <x:v>376.86</x:v>
      </x:c>
      <x:c r="DC182" s="1" t="n">
        <x:v>111.8</x:v>
      </x:c>
      <x:c r="DD182" s="1" t="n">
        <x:v>270.02</x:v>
      </x:c>
      <x:c r="DE182" s="1" t="n">
        <x:v>161.43</x:v>
      </x:c>
      <x:c r="DF182" s="1" t="n">
        <x:v>432.32</x:v>
      </x:c>
      <x:c r="DG182" s="1" t="n">
        <x:v>149.76</x:v>
      </x:c>
      <x:c r="DH182" s="1" t="n">
        <x:v>394.91</x:v>
      </x:c>
      <x:c r="DI182" s="1" t="n">
        <x:v>237.24</x:v>
      </x:c>
      <x:c r="DJ182" s="1" t="n">
        <x:v>195.05</x:v>
      </x:c>
      <x:c r="DK182" s="1"/>
      <x:c r="DL182" s="1" t="n">
        <x:v>480.35</x:v>
      </x:c>
      <x:c r="DM182" s="1"/>
    </x:row>
    <x:row r="183" ht="23" customHeight="1">
      <x:c r="A183" s="1" t="n">
        <x:v>178</x:v>
      </x:c>
      <x:c r="B183" s="1" t="str">
        <x:v>辛酸己酯</x:v>
      </x:c>
      <x:c r="C183" s="1" t="str">
        <x:v>1117-55-1</x:v>
      </x:c>
      <x:c r="D183" s="1"/>
      <x:c r="E183" s="1"/>
      <x:c r="F183" s="1"/>
      <x:c r="G183" s="1"/>
      <x:c r="H183" s="1" t="n">
        <x:v>1.64</x:v>
      </x:c>
      <x:c r="I183" s="1"/>
      <x:c r="J183" s="1"/>
      <x:c r="K183" s="1"/>
      <x:c r="L183" s="1"/>
      <x:c r="M183" s="1"/>
      <x:c r="N183" s="1" t="n">
        <x:v>18397</x:v>
      </x:c>
      <x:c r="O183" s="1" t="n">
        <x:v>19805</x:v>
      </x:c>
      <x:c r="P183" s="1" t="n">
        <x:v>21311</x:v>
      </x:c>
      <x:c r="Q183" s="1" t="n">
        <x:v>16506</x:v>
      </x:c>
      <x:c r="R183" s="1" t="n">
        <x:v>18704</x:v>
      </x:c>
      <x:c r="S183" s="1" t="n">
        <x:v>14859</x:v>
      </x:c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 t="n">
        <x:v>1.23</x:v>
      </x:c>
      <x:c r="AR183" s="1" t="n">
        <x:v>0.87</x:v>
      </x:c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  <x:c r="DE183" s="1"/>
      <x:c r="DF183" s="1"/>
      <x:c r="DG183" s="1"/>
      <x:c r="DH183" s="1"/>
      <x:c r="DI183" s="1"/>
      <x:c r="DJ183" s="1"/>
      <x:c r="DK183" s="1"/>
      <x:c r="DL183" s="1"/>
      <x:c r="DM183" s="1"/>
    </x:row>
    <x:row r="184" ht="23" customHeight="1">
      <x:c r="A184" s="1" t="n">
        <x:v>179</x:v>
      </x:c>
      <x:c r="B184" s="1" t="str">
        <x:v>2,3,5,6-四甲基吡嗪</x:v>
      </x:c>
      <x:c r="C184" s="1" t="str">
        <x:v>1124-11-4</x:v>
      </x:c>
      <x:c r="D184" s="1" t="n">
        <x:v>80073</x:v>
      </x:c>
      <x:c r="E184" s="1"/>
      <x:c r="F184" s="1"/>
      <x:c r="G184" s="1"/>
      <x:c r="H184" s="1"/>
      <x:c r="I184" s="1"/>
      <x:c r="J184" s="1"/>
      <x:c r="K184" s="1" t="n">
        <x:v>0.68</x:v>
      </x:c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 t="n">
        <x:v>1550.5</x:v>
      </x:c>
      <x:c r="AW184" s="1"/>
      <x:c r="AX184" s="1" t="n">
        <x:v>0</x:v>
      </x:c>
      <x:c r="AY184" s="1" t="n">
        <x:v>0</x:v>
      </x:c>
      <x:c r="AZ184" s="1" t="n">
        <x:v>12</x:v>
      </x:c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 t="n">
        <x:v>1</x:v>
      </x:c>
      <x:c r="CA184" s="1" t="n">
        <x:v>1</x:v>
      </x:c>
      <x:c r="CB184" s="1" t="n">
        <x:v>818.34</x:v>
      </x:c>
      <x:c r="CC184" s="1" t="n">
        <x:v>863.83</x:v>
      </x:c>
      <x:c r="CD184" s="1"/>
      <x:c r="CE184" s="1"/>
      <x:c r="CF184" s="1"/>
      <x:c r="CG184" s="1" t="n">
        <x:v>72.99</x:v>
      </x:c>
      <x:c r="CH184" s="1" t="n">
        <x:v>71.81</x:v>
      </x:c>
      <x:c r="CI184" s="1"/>
      <x:c r="CJ184" s="1"/>
      <x:c r="CK184" s="1"/>
      <x:c r="CL184" s="1"/>
      <x:c r="CM184" s="1" t="n">
        <x:v>156.12</x:v>
      </x:c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 t="n">
        <x:v>117.41</x:v>
      </x:c>
      <x:c r="CY184" s="1" t="n">
        <x:v>233.06</x:v>
      </x:c>
      <x:c r="CZ184" s="1" t="n">
        <x:v>176.77</x:v>
      </x:c>
      <x:c r="DA184" s="1" t="n">
        <x:v>87.84</x:v>
      </x:c>
      <x:c r="DB184" s="1" t="n">
        <x:v>80.1</x:v>
      </x:c>
      <x:c r="DC184" s="1" t="n">
        <x:v>51.61</x:v>
      </x:c>
      <x:c r="DD184" s="1" t="n">
        <x:v>23.8</x:v>
      </x:c>
      <x:c r="DE184" s="1" t="n">
        <x:v>66.13</x:v>
      </x:c>
      <x:c r="DF184" s="1" t="n">
        <x:v>15.8</x:v>
      </x:c>
      <x:c r="DG184" s="1" t="n">
        <x:v>154.9</x:v>
      </x:c>
      <x:c r="DH184" s="1" t="n">
        <x:v>17.74</x:v>
      </x:c>
      <x:c r="DI184" s="1" t="n">
        <x:v>136.9</x:v>
      </x:c>
      <x:c r="DJ184" s="1" t="n">
        <x:v>21.19</x:v>
      </x:c>
      <x:c r="DK184" s="1" t="n">
        <x:v>134.63</x:v>
      </x:c>
      <x:c r="DL184" s="1" t="n">
        <x:v>16.34</x:v>
      </x:c>
      <x:c r="DM184" s="1" t="n">
        <x:v>38.31</x:v>
      </x:c>
    </x:row>
    <x:row r="185" ht="23" customHeight="1">
      <x:c r="A185" s="1" t="n">
        <x:v>180</x:v>
      </x:c>
      <x:c r="B185" s="1" t="str">
        <x:v>亚麻酸乙酯</x:v>
      </x:c>
      <x:c r="C185" s="1" t="str">
        <x:v>1191-41-9</x:v>
      </x:c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 t="n">
        <x:v>25310</x:v>
      </x:c>
      <x:c r="AL185" s="1" t="n">
        <x:v>326760</x:v>
      </x:c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  <x:c r="DE185" s="1"/>
      <x:c r="DF185" s="1"/>
      <x:c r="DG185" s="1"/>
      <x:c r="DH185" s="1"/>
      <x:c r="DI185" s="1"/>
      <x:c r="DJ185" s="1"/>
      <x:c r="DK185" s="1"/>
      <x:c r="DL185" s="1"/>
      <x:c r="DM185" s="1"/>
    </x:row>
    <x:row r="186" ht="23" customHeight="1">
      <x:c r="A186" s="1" t="n">
        <x:v>181</x:v>
      </x:c>
      <x:c r="B186" s="1" t="str">
        <x:v>2-乙酰基呋喃</x:v>
      </x:c>
      <x:c r="C186" s="1" t="str">
        <x:v>1192-62-7</x:v>
      </x:c>
      <x:c r="D186" s="1" t="n">
        <x:v>88596.2</x:v>
      </x:c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 t="n">
        <x:v>51500</x:v>
      </x:c>
      <x:c r="X186" s="1" t="n">
        <x:v>44900</x:v>
      </x:c>
      <x:c r="Y186" s="1" t="n">
        <x:v>60600</x:v>
      </x:c>
      <x:c r="Z186" s="1" t="n">
        <x:v>74900</x:v>
      </x:c>
      <x:c r="AA186" s="1" t="n">
        <x:v>97100</x:v>
      </x:c>
      <x:c r="AB186" s="1" t="n">
        <x:v>62100</x:v>
      </x:c>
      <x:c r="AC186" s="1" t="n">
        <x:v>142000</x:v>
      </x:c>
      <x:c r="AD186" s="1" t="n">
        <x:v>148000</x:v>
      </x:c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 t="n">
        <x:v>1133.615</x:v>
      </x:c>
      <x:c r="CA186" s="1" t="n">
        <x:v>1083.895</x:v>
      </x:c>
      <x:c r="CB186" s="1" t="n">
        <x:v>2255.48</x:v>
      </x:c>
      <x:c r="CC186" s="1" t="n">
        <x:v>2266.28</x:v>
      </x:c>
      <x:c r="CD186" s="1" t="n">
        <x:v>2209.91</x:v>
      </x:c>
      <x:c r="CE186" s="1" t="n">
        <x:v>2173.12</x:v>
      </x:c>
      <x:c r="CF186" s="1" t="n">
        <x:v>2492.23</x:v>
      </x:c>
      <x:c r="CG186" s="1" t="n">
        <x:v>1875.06</x:v>
      </x:c>
      <x:c r="CH186" s="1" t="n">
        <x:v>1839.56</x:v>
      </x:c>
      <x:c r="CI186" s="1" t="n">
        <x:v>2257.13</x:v>
      </x:c>
      <x:c r="CJ186" s="1" t="n">
        <x:v>2197.77</x:v>
      </x:c>
      <x:c r="CK186" s="1" t="n">
        <x:v>2212.44</x:v>
      </x:c>
      <x:c r="CL186" s="1" t="n">
        <x:v>2497.88</x:v>
      </x:c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  <x:c r="DE186" s="1"/>
      <x:c r="DF186" s="1"/>
      <x:c r="DG186" s="1"/>
      <x:c r="DH186" s="1"/>
      <x:c r="DI186" s="1"/>
      <x:c r="DJ186" s="1"/>
      <x:c r="DK186" s="1"/>
      <x:c r="DL186" s="1"/>
      <x:c r="DM186" s="1"/>
    </x:row>
    <x:row r="187" ht="23" customHeight="1">
      <x:c r="A187" s="1" t="n">
        <x:v>182</x:v>
      </x:c>
      <x:c r="B187" s="1" t="str">
        <x:v>2-乙酰基-5-甲基呋喃</x:v>
      </x:c>
      <x:c r="C187" s="1" t="str">
        <x:v>1193-79-9</x:v>
      </x:c>
      <x:c r="D187" s="1" t="n">
        <x:v>83259.8</x:v>
      </x:c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 t="n">
        <x:v>26.285</x:v>
      </x:c>
      <x:c r="CA187" s="1" t="n">
        <x:v>28.925</x:v>
      </x:c>
      <x:c r="CB187" s="1"/>
      <x:c r="CC187" s="1"/>
      <x:c r="CD187" s="1"/>
      <x:c r="CE187" s="1" t="n">
        <x:v>73.62</x:v>
      </x:c>
      <x:c r="CF187" s="1" t="n">
        <x:v>84.11</x:v>
      </x:c>
      <x:c r="CG187" s="1" t="n">
        <x:v>17.76</x:v>
      </x:c>
      <x:c r="CH187" s="1" t="n">
        <x:v>77.31</x:v>
      </x:c>
      <x:c r="CI187" s="1" t="n">
        <x:v>131.14</x:v>
      </x:c>
      <x:c r="CJ187" s="1" t="n">
        <x:v>137.74</x:v>
      </x:c>
      <x:c r="CK187" s="1" t="n">
        <x:v>151.65</x:v>
      </x:c>
      <x:c r="CL187" s="1" t="n">
        <x:v>101.3</x:v>
      </x:c>
      <x:c r="CM187" s="1" t="n">
        <x:v>93.78</x:v>
      </x:c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  <x:c r="DE187" s="1"/>
      <x:c r="DF187" s="1"/>
      <x:c r="DG187" s="1"/>
      <x:c r="DH187" s="1"/>
      <x:c r="DI187" s="1"/>
      <x:c r="DJ187" s="1"/>
      <x:c r="DK187" s="1"/>
      <x:c r="DL187" s="1"/>
      <x:c r="DM187" s="1"/>
    </x:row>
    <x:row r="188" ht="23" customHeight="1">
      <x:c r="A188" s="1" t="n">
        <x:v>183</x:v>
      </x:c>
      <x:c r="B188" s="1"/>
      <x:c r="C188" s="1" t="str">
        <x:v>1565-80-6</x:v>
      </x:c>
      <x:c r="D188" s="1"/>
      <x:c r="E188" s="1"/>
      <x:c r="F188" s="1"/>
      <x:c r="G188" s="1"/>
      <x:c r="H188" s="1" t="n">
        <x:v>0.14</x:v>
      </x:c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  <x:c r="DE188" s="1"/>
      <x:c r="DF188" s="1"/>
      <x:c r="DG188" s="1"/>
      <x:c r="DH188" s="1"/>
      <x:c r="DI188" s="1"/>
      <x:c r="DJ188" s="1"/>
      <x:c r="DK188" s="1"/>
      <x:c r="DL188" s="1"/>
      <x:c r="DM188" s="1"/>
    </x:row>
    <x:row r="189" ht="23" customHeight="1">
      <x:c r="A189" s="1" t="n">
        <x:v>184</x:v>
      </x:c>
      <x:c r="B189" s="1" t="str">
        <x:v>3-辛烯-2-酮</x:v>
      </x:c>
      <x:c r="C189" s="1" t="str">
        <x:v>1669-44-9</x:v>
      </x:c>
      <x:c r="D189" s="1" t="n">
        <x:v>48.2</x:v>
      </x:c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 t="n">
        <x:v>133.52</x:v>
      </x:c>
      <x:c r="CZ189" s="1" t="n">
        <x:v>93.18</x:v>
      </x:c>
      <x:c r="DA189" s="1"/>
      <x:c r="DB189" s="1"/>
      <x:c r="DC189" s="1"/>
      <x:c r="DD189" s="1" t="n">
        <x:v>179.12</x:v>
      </x:c>
      <x:c r="DE189" s="1"/>
      <x:c r="DF189" s="1"/>
      <x:c r="DG189" s="1"/>
      <x:c r="DH189" s="1"/>
      <x:c r="DI189" s="1"/>
      <x:c r="DJ189" s="1"/>
      <x:c r="DK189" s="1"/>
      <x:c r="DL189" s="1" t="n">
        <x:v>5.13</x:v>
      </x:c>
      <x:c r="DM189" s="1"/>
    </x:row>
    <x:row r="190" ht="23" customHeight="1">
      <x:c r="A190" s="1" t="n">
        <x:v>185</x:v>
      </x:c>
      <x:c r="B190" s="1"/>
      <x:c r="C190" s="1" t="str">
        <x:v>1883-13-2</x:v>
      </x:c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 t="n">
        <x:v>36</x:v>
      </x:c>
      <x:c r="O190" s="1"/>
      <x:c r="P190" s="1"/>
      <x:c r="Q190" s="1" t="n">
        <x:v>72</x:v>
      </x:c>
      <x:c r="R190" s="1" t="n">
        <x:v>189</x:v>
      </x:c>
      <x:c r="S190" s="1" t="n">
        <x:v>134</x:v>
      </x:c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  <x:c r="DE190" s="1"/>
      <x:c r="DF190" s="1"/>
      <x:c r="DG190" s="1"/>
      <x:c r="DH190" s="1"/>
      <x:c r="DI190" s="1"/>
      <x:c r="DJ190" s="1"/>
      <x:c r="DK190" s="1"/>
      <x:c r="DL190" s="1"/>
      <x:c r="DM190" s="1"/>
    </x:row>
    <x:row r="191" ht="23" customHeight="1">
      <x:c r="A191" s="1" t="n">
        <x:v>186</x:v>
      </x:c>
      <x:c r="B191" s="1" t="str">
        <x:v>3-苯基丙酸乙酯</x:v>
      </x:c>
      <x:c r="C191" s="1" t="str">
        <x:v>2021-28-5</x:v>
      </x:c>
      <x:c r="D191" s="1" t="n">
        <x:v>125</x:v>
      </x:c>
      <x:c r="E191" s="1" t="n">
        <x:v>635</x:v>
      </x:c>
      <x:c r="F191" s="1" t="n">
        <x:v>1646</x:v>
      </x:c>
      <x:c r="G191" s="1" t="n">
        <x:v>4.43</x:v>
      </x:c>
      <x:c r="H191" s="1" t="n">
        <x:v>6.93</x:v>
      </x:c>
      <x:c r="I191" s="1" t="n">
        <x:v>4.21</x:v>
      </x:c>
      <x:c r="J191" s="1" t="n">
        <x:v>6.6</x:v>
      </x:c>
      <x:c r="K191" s="1" t="n">
        <x:v>2.72</x:v>
      </x:c>
      <x:c r="L191" s="1" t="n">
        <x:v>148</x:v>
      </x:c>
      <x:c r="M191" s="1" t="n">
        <x:v>213</x:v>
      </x:c>
      <x:c r="N191" s="1" t="n">
        <x:v>7525000</x:v>
      </x:c>
      <x:c r="O191" s="1" t="n">
        <x:v>11533000</x:v>
      </x:c>
      <x:c r="P191" s="1" t="n">
        <x:v>11648000</x:v>
      </x:c>
      <x:c r="Q191" s="1" t="n">
        <x:v>9245000</x:v>
      </x:c>
      <x:c r="R191" s="1" t="n">
        <x:v>11140000</x:v>
      </x:c>
      <x:c r="S191" s="1" t="n">
        <x:v>10896000</x:v>
      </x:c>
      <x:c r="T191" s="1" t="n">
        <x:v>85</x:v>
      </x:c>
      <x:c r="U191" s="1" t="n">
        <x:v>0</x:v>
      </x:c>
      <x:c r="V191" s="1" t="n">
        <x:v>2</x:v>
      </x:c>
      <x:c r="W191" s="1" t="n">
        <x:v>206</x:v>
      </x:c>
      <x:c r="X191" s="1" t="n">
        <x:v>148</x:v>
      </x:c>
      <x:c r="Y191" s="1" t="n">
        <x:v>142</x:v>
      </x:c>
      <x:c r="Z191" s="1" t="n">
        <x:v>211</x:v>
      </x:c>
      <x:c r="AA191" s="1" t="n">
        <x:v>277</x:v>
      </x:c>
      <x:c r="AB191" s="1" t="n">
        <x:v>261</x:v>
      </x:c>
      <x:c r="AC191" s="1" t="n">
        <x:v>293</x:v>
      </x:c>
      <x:c r="AD191" s="1" t="n">
        <x:v>352</x:v>
      </x:c>
      <x:c r="AE191" s="1" t="n">
        <x:v>4230</x:v>
      </x:c>
      <x:c r="AF191" s="1" t="n">
        <x:v>4390</x:v>
      </x:c>
      <x:c r="AG191" s="1" t="n">
        <x:v>18020</x:v>
      </x:c>
      <x:c r="AH191" s="1"/>
      <x:c r="AI191" s="1"/>
      <x:c r="AJ191" s="1"/>
      <x:c r="AK191" s="1" t="n">
        <x:v>1320</x:v>
      </x:c>
      <x:c r="AL191" s="1" t="n">
        <x:v>3730</x:v>
      </x:c>
      <x:c r="AM191" s="1"/>
      <x:c r="AN191" s="1"/>
      <x:c r="AO191" s="1"/>
      <x:c r="AP191" s="1"/>
      <x:c r="AQ191" s="1" t="n">
        <x:v>1.56</x:v>
      </x:c>
      <x:c r="AR191" s="1" t="n">
        <x:v>8.77</x:v>
      </x:c>
      <x:c r="AS191" s="1" t="n">
        <x:v>7.16</x:v>
      </x:c>
      <x:c r="AT191" s="1" t="n">
        <x:v>6.48</x:v>
      </x:c>
      <x:c r="AU191" s="1" t="n">
        <x:v>13.84</x:v>
      </x:c>
      <x:c r="AV191" s="1"/>
      <x:c r="AW191" s="1"/>
      <x:c r="AX191" s="1"/>
      <x:c r="AY191" s="1"/>
      <x:c r="AZ191" s="1" t="n">
        <x:v>4236</x:v>
      </x:c>
      <x:c r="BA191" s="1" t="n">
        <x:v>5507</x:v>
      </x:c>
      <x:c r="BB191" s="1"/>
      <x:c r="BC191" s="1"/>
      <x:c r="BD191" s="1" t="n">
        <x:v>1772.89</x:v>
      </x:c>
      <x:c r="BE191" s="1" t="n">
        <x:v>3454.23</x:v>
      </x:c>
      <x:c r="BF191" s="1" t="n">
        <x:v>3191</x:v>
      </x:c>
      <x:c r="BG191" s="1" t="n">
        <x:v>1737</x:v>
      </x:c>
      <x:c r="BH191" s="1"/>
      <x:c r="BI191" s="1" t="n">
        <x:v>1866.38</x:v>
      </x:c>
      <x:c r="BJ191" s="1"/>
      <x:c r="BK191" s="1" t="n">
        <x:v>10.08</x:v>
      </x:c>
      <x:c r="BL191" s="1" t="n">
        <x:v>12.31</x:v>
      </x:c>
      <x:c r="BM191" s="1" t="n">
        <x:v>18.71</x:v>
      </x:c>
      <x:c r="BN191" s="1" t="n">
        <x:v>4.96</x:v>
      </x:c>
      <x:c r="BO191" s="1" t="n">
        <x:v>19.85</x:v>
      </x:c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 t="n">
        <x:v>653.43</x:v>
      </x:c>
      <x:c r="CA191" s="1" t="n">
        <x:v>592.79</x:v>
      </x:c>
      <x:c r="CB191" s="1" t="n">
        <x:v>2860.12</x:v>
      </x:c>
      <x:c r="CC191" s="1" t="n">
        <x:v>4890.38</x:v>
      </x:c>
      <x:c r="CD191" s="1" t="n">
        <x:v>3632.83</x:v>
      </x:c>
      <x:c r="CE191" s="1" t="n">
        <x:v>2744.49</x:v>
      </x:c>
      <x:c r="CF191" s="1" t="n">
        <x:v>1479.05</x:v>
      </x:c>
      <x:c r="CG191" s="1" t="n">
        <x:v>568.42</x:v>
      </x:c>
      <x:c r="CH191" s="1" t="n">
        <x:v>951.85</x:v>
      </x:c>
      <x:c r="CI191" s="1" t="n">
        <x:v>5483.11</x:v>
      </x:c>
      <x:c r="CJ191" s="1" t="n">
        <x:v>8152.41</x:v>
      </x:c>
      <x:c r="CK191" s="1" t="n">
        <x:v>4172.59</x:v>
      </x:c>
      <x:c r="CL191" s="1" t="n">
        <x:v>2507.23</x:v>
      </x:c>
      <x:c r="CM191" s="1"/>
      <x:c r="CN191" s="1"/>
      <x:c r="CO191" s="1"/>
      <x:c r="CP191" s="1"/>
      <x:c r="CQ191" s="1"/>
      <x:c r="CR191" s="1"/>
      <x:c r="CS191" s="1"/>
      <x:c r="CT191" s="1" t="n">
        <x:v>1511.43</x:v>
      </x:c>
      <x:c r="CU191" s="1" t="n">
        <x:v>815.19</x:v>
      </x:c>
      <x:c r="CV191" s="1" t="n">
        <x:v>483.06</x:v>
      </x:c>
      <x:c r="CW191" s="1" t="n">
        <x:v>584.02</x:v>
      </x:c>
      <x:c r="CX191" s="1" t="n">
        <x:v>51.99</x:v>
      </x:c>
      <x:c r="CY191" s="1" t="n">
        <x:v>3244.87</x:v>
      </x:c>
      <x:c r="CZ191" s="1" t="n">
        <x:v>1988.9</x:v>
      </x:c>
      <x:c r="DA191" s="1" t="n">
        <x:v>77.73</x:v>
      </x:c>
      <x:c r="DB191" s="1" t="n">
        <x:v>1250.55</x:v>
      </x:c>
      <x:c r="DC191" s="1" t="n">
        <x:v>607.57</x:v>
      </x:c>
      <x:c r="DD191" s="1" t="n">
        <x:v>2668.17</x:v>
      </x:c>
      <x:c r="DE191" s="1" t="n">
        <x:v>141.56</x:v>
      </x:c>
      <x:c r="DF191" s="1" t="n">
        <x:v>2554.76</x:v>
      </x:c>
      <x:c r="DG191" s="1" t="n">
        <x:v>61.04</x:v>
      </x:c>
      <x:c r="DH191" s="1" t="n">
        <x:v>870</x:v>
      </x:c>
      <x:c r="DI191" s="1" t="n">
        <x:v>68.75</x:v>
      </x:c>
      <x:c r="DJ191" s="1" t="n">
        <x:v>2543.78</x:v>
      </x:c>
      <x:c r="DK191" s="1" t="n">
        <x:v>96.86</x:v>
      </x:c>
      <x:c r="DL191" s="1" t="n">
        <x:v>5846.81</x:v>
      </x:c>
      <x:c r="DM191" s="1" t="n">
        <x:v>45.95</x:v>
      </x:c>
    </x:row>
    <x:row r="192" ht="23" customHeight="1">
      <x:c r="A192" s="1" t="n">
        <x:v>187</x:v>
      </x:c>
      <x:c r="B192" s="1" t="str">
        <x:v>辛酸异戊酯</x:v>
      </x:c>
      <x:c r="C192" s="1" t="str">
        <x:v>2035-99-6</x:v>
      </x:c>
      <x:c r="D192" s="1"/>
      <x:c r="E192" s="1"/>
      <x:c r="F192" s="1" t="n">
        <x:v>141</x:v>
      </x:c>
      <x:c r="G192" s="1"/>
      <x:c r="H192" s="1"/>
      <x:c r="I192" s="1"/>
      <x:c r="J192" s="1"/>
      <x:c r="K192" s="1"/>
      <x:c r="L192" s="1"/>
      <x:c r="M192" s="1"/>
      <x:c r="N192" s="1" t="n">
        <x:v>5173</x:v>
      </x:c>
      <x:c r="O192" s="1" t="n">
        <x:v>4324</x:v>
      </x:c>
      <x:c r="P192" s="1" t="n">
        <x:v>5168</x:v>
      </x:c>
      <x:c r="Q192" s="1" t="n">
        <x:v>3660</x:v>
      </x:c>
      <x:c r="R192" s="1" t="n">
        <x:v>4377</x:v>
      </x:c>
      <x:c r="S192" s="1" t="n">
        <x:v>4622</x:v>
      </x:c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 t="n">
        <x:v>138.72</x:v>
      </x:c>
      <x:c r="BC192" s="1" t="n">
        <x:v>1</x:v>
      </x:c>
      <x:c r="BD192" s="1" t="n">
        <x:v>21.85</x:v>
      </x:c>
      <x:c r="BE192" s="1" t="n">
        <x:v>75.5</x:v>
      </x:c>
      <x:c r="BF192" s="1" t="n">
        <x:v>85.41</x:v>
      </x:c>
      <x:c r="BG192" s="1"/>
      <x:c r="BH192" s="1" t="n">
        <x:v>1007.12</x:v>
      </x:c>
      <x:c r="BI192" s="1"/>
      <x:c r="BJ192" s="1"/>
      <x:c r="BK192" s="1" t="n">
        <x:v>238.9</x:v>
      </x:c>
      <x:c r="BL192" s="1" t="n">
        <x:v>220.1</x:v>
      </x:c>
      <x:c r="BM192" s="1" t="n">
        <x:v>340</x:v>
      </x:c>
      <x:c r="BN192" s="1" t="n">
        <x:v>272.3</x:v>
      </x:c>
      <x:c r="BO192" s="1" t="n">
        <x:v>495.9</x:v>
      </x:c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 t="n">
        <x:v>177.345</x:v>
      </x:c>
      <x:c r="CA192" s="1" t="n">
        <x:v>189.7</x:v>
      </x:c>
      <x:c r="CB192" s="1" t="n">
        <x:v>184.64</x:v>
      </x:c>
      <x:c r="CC192" s="1" t="n">
        <x:v>162.21</x:v>
      </x:c>
      <x:c r="CD192" s="1" t="n">
        <x:v>413.81</x:v>
      </x:c>
      <x:c r="CE192" s="1" t="n">
        <x:v>164.81</x:v>
      </x:c>
      <x:c r="CF192" s="1" t="n">
        <x:v>417.54</x:v>
      </x:c>
      <x:c r="CG192" s="1" t="n">
        <x:v>75.02</x:v>
      </x:c>
      <x:c r="CH192" s="1" t="n">
        <x:v>56.22</x:v>
      </x:c>
      <x:c r="CI192" s="1" t="n">
        <x:v>721.53</x:v>
      </x:c>
      <x:c r="CJ192" s="1" t="n">
        <x:v>508.68</x:v>
      </x:c>
      <x:c r="CK192" s="1" t="n">
        <x:v>908.51</x:v>
      </x:c>
      <x:c r="CL192" s="1" t="n">
        <x:v>411.17</x:v>
      </x:c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  <x:c r="DE192" s="1"/>
      <x:c r="DF192" s="1"/>
      <x:c r="DG192" s="1"/>
      <x:c r="DH192" s="1"/>
      <x:c r="DI192" s="1"/>
      <x:c r="DJ192" s="1"/>
      <x:c r="DK192" s="1"/>
      <x:c r="DL192" s="1"/>
      <x:c r="DM192" s="1"/>
    </x:row>
    <x:row r="193" ht="23" customHeight="1">
      <x:c r="A193" s="1" t="n">
        <x:v>188</x:v>
      </x:c>
      <x:c r="B193" s="1" t="str">
        <x:v>苯甲酸正戊酯</x:v>
      </x:c>
      <x:c r="C193" s="1" t="str">
        <x:v>2049-96-9</x:v>
      </x:c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 t="n">
        <x:v>10</x:v>
      </x:c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  <x:c r="DE193" s="1"/>
      <x:c r="DF193" s="1"/>
      <x:c r="DG193" s="1"/>
      <x:c r="DH193" s="1"/>
      <x:c r="DI193" s="1"/>
      <x:c r="DJ193" s="1"/>
      <x:c r="DK193" s="1"/>
      <x:c r="DL193" s="1"/>
      <x:c r="DM193" s="1"/>
    </x:row>
    <x:row r="194" ht="23" customHeight="1">
      <x:c r="A194" s="1" t="n">
        <x:v>189</x:v>
      </x:c>
      <x:c r="B194" s="1" t="str">
        <x:v>异丁酸异戊酯</x:v>
      </x:c>
      <x:c r="C194" s="1" t="str">
        <x:v>2050-01-3</x:v>
      </x:c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 t="n">
        <x:v>72.08</x:v>
      </x:c>
      <x:c r="CV194" s="1"/>
      <x:c r="CW194" s="1"/>
      <x:c r="CX194" s="1"/>
      <x:c r="CY194" s="1"/>
      <x:c r="CZ194" s="1"/>
      <x:c r="DA194" s="1"/>
      <x:c r="DB194" s="1"/>
      <x:c r="DC194" s="1"/>
      <x:c r="DD194" s="1"/>
      <x:c r="DE194" s="1"/>
      <x:c r="DF194" s="1"/>
      <x:c r="DG194" s="1"/>
      <x:c r="DH194" s="1"/>
      <x:c r="DI194" s="1"/>
      <x:c r="DJ194" s="1"/>
      <x:c r="DK194" s="1"/>
      <x:c r="DL194" s="1"/>
      <x:c r="DM194" s="1"/>
    </x:row>
    <x:row r="195" ht="23" customHeight="1">
      <x:c r="A195" s="1" t="n">
        <x:v>190</x:v>
      </x:c>
      <x:c r="B195" s="1" t="str">
        <x:v>戊酸-3-甲基丁酯</x:v>
      </x:c>
      <x:c r="C195" s="1" t="str">
        <x:v>2050-09-1</x:v>
      </x:c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 t="n">
        <x:v>1688</x:v>
      </x:c>
      <x:c r="O195" s="1" t="n">
        <x:v>2474</x:v>
      </x:c>
      <x:c r="P195" s="1" t="n">
        <x:v>2316</x:v>
      </x:c>
      <x:c r="Q195" s="1" t="n">
        <x:v>2007</x:v>
      </x:c>
      <x:c r="R195" s="1" t="n">
        <x:v>2239</x:v>
      </x:c>
      <x:c r="S195" s="1" t="n">
        <x:v>2124</x:v>
      </x:c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 t="n">
        <x:v>104.62</x:v>
      </x:c>
      <x:c r="BC195" s="1" t="n">
        <x:v>1</x:v>
      </x:c>
      <x:c r="BD195" s="1" t="n">
        <x:v>185.89</x:v>
      </x:c>
      <x:c r="BE195" s="1" t="n">
        <x:v>256.81</x:v>
      </x:c>
      <x:c r="BF195" s="1" t="n">
        <x:v>171.615</x:v>
      </x:c>
      <x:c r="BG195" s="1" t="n">
        <x:v>61.42</x:v>
      </x:c>
      <x:c r="BH195" s="1" t="n">
        <x:v>574.21</x:v>
      </x:c>
      <x:c r="BI195" s="1" t="n">
        <x:v>59.86</x:v>
      </x:c>
      <x:c r="BJ195" s="1" t="n">
        <x:v>131.83</x:v>
      </x:c>
      <x:c r="BK195" s="1" t="n">
        <x:v>1202.23</x:v>
      </x:c>
      <x:c r="BL195" s="1" t="n">
        <x:v>1110.54</x:v>
      </x:c>
      <x:c r="BM195" s="1" t="n">
        <x:v>1969.11</x:v>
      </x:c>
      <x:c r="BN195" s="1" t="n">
        <x:v>1621.12</x:v>
      </x:c>
      <x:c r="BO195" s="1" t="n">
        <x:v>1577</x:v>
      </x:c>
      <x:c r="BP195" s="1" t="n">
        <x:v>629.52</x:v>
      </x:c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  <x:c r="DE195" s="1"/>
      <x:c r="DF195" s="1"/>
      <x:c r="DG195" s="1"/>
      <x:c r="DH195" s="1"/>
      <x:c r="DI195" s="1"/>
      <x:c r="DJ195" s="1"/>
      <x:c r="DK195" s="1"/>
      <x:c r="DL195" s="1"/>
      <x:c r="DM195" s="1"/>
    </x:row>
    <x:row r="196" ht="23" customHeight="1">
      <x:c r="A196" s="1" t="n">
        <x:v>191</x:v>
      </x:c>
      <x:c r="B196" s="1"/>
      <x:c r="C196" s="1" t="str">
        <x:v>2051-49-2</x:v>
      </x:c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 t="n">
        <x:v>5516</x:v>
      </x:c>
      <x:c r="O196" s="1" t="n">
        <x:v>8178</x:v>
      </x:c>
      <x:c r="P196" s="1" t="n">
        <x:v>7740</x:v>
      </x:c>
      <x:c r="Q196" s="1" t="n">
        <x:v>6436</x:v>
      </x:c>
      <x:c r="R196" s="1" t="n">
        <x:v>7460</x:v>
      </x:c>
      <x:c r="S196" s="1" t="n">
        <x:v>6499</x:v>
      </x:c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  <x:c r="DE196" s="1"/>
      <x:c r="DF196" s="1"/>
      <x:c r="DG196" s="1"/>
      <x:c r="DH196" s="1"/>
      <x:c r="DI196" s="1"/>
      <x:c r="DJ196" s="1"/>
      <x:c r="DK196" s="1"/>
      <x:c r="DL196" s="1"/>
      <x:c r="DM196" s="1"/>
    </x:row>
    <x:row r="197" ht="23" customHeight="1">
      <x:c r="A197" s="1" t="n">
        <x:v>192</x:v>
      </x:c>
      <x:c r="B197" s="1"/>
      <x:c r="C197" s="1" t="str">
        <x:v>2091-29-4</x:v>
      </x:c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 t="n">
        <x:v>74</x:v>
      </x:c>
      <x:c r="P197" s="1" t="n">
        <x:v>110</x:v>
      </x:c>
      <x:c r="Q197" s="1" t="n">
        <x:v>70</x:v>
      </x:c>
      <x:c r="R197" s="1" t="n">
        <x:v>232</x:v>
      </x:c>
      <x:c r="S197" s="1" t="n">
        <x:v>263</x:v>
      </x:c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  <x:c r="DE197" s="1"/>
      <x:c r="DF197" s="1"/>
      <x:c r="DG197" s="1"/>
      <x:c r="DH197" s="1"/>
      <x:c r="DI197" s="1"/>
      <x:c r="DJ197" s="1"/>
      <x:c r="DK197" s="1"/>
      <x:c r="DL197" s="1"/>
      <x:c r="DM197" s="1"/>
    </x:row>
    <x:row r="198" ht="23" customHeight="1">
      <x:c r="A198" s="1" t="n">
        <x:v>193</x:v>
      </x:c>
      <x:c r="B198" s="1" t="str">
        <x:v>己酸异戊脂（3-甲基丁基己酸酯）</x:v>
      </x:c>
      <x:c r="C198" s="1" t="str">
        <x:v>2198-61-0</x:v>
      </x:c>
      <x:c r="D198" s="1"/>
      <x:c r="E198" s="1"/>
      <x:c r="F198" s="1"/>
      <x:c r="G198" s="1" t="n">
        <x:v>16.37</x:v>
      </x:c>
      <x:c r="H198" s="1" t="n">
        <x:v>104.74</x:v>
      </x:c>
      <x:c r="I198" s="1" t="n">
        <x:v>16.43</x:v>
      </x:c>
      <x:c r="J198" s="1" t="n">
        <x:v>34.11</x:v>
      </x:c>
      <x:c r="K198" s="1" t="n">
        <x:v>14.8</x:v>
      </x:c>
      <x:c r="L198" s="1"/>
      <x:c r="M198" s="1"/>
      <x:c r="N198" s="1" t="n">
        <x:v>60389</x:v>
      </x:c>
      <x:c r="O198" s="1" t="n">
        <x:v>57230</x:v>
      </x:c>
      <x:c r="P198" s="1" t="n">
        <x:v>64045</x:v>
      </x:c>
      <x:c r="Q198" s="1" t="n">
        <x:v>51464</x:v>
      </x:c>
      <x:c r="R198" s="1" t="n">
        <x:v>52187</x:v>
      </x:c>
      <x:c r="S198" s="1" t="n">
        <x:v>49559</x:v>
      </x:c>
      <x:c r="T198" s="1" t="n">
        <x:v>36</x:v>
      </x:c>
      <x:c r="U198" s="1" t="n">
        <x:v>0</x:v>
      </x:c>
      <x:c r="V198" s="1"/>
      <x:c r="W198" s="1" t="n">
        <x:v>2480</x:v>
      </x:c>
      <x:c r="X198" s="1" t="n">
        <x:v>3220</x:v>
      </x:c>
      <x:c r="Y198" s="1" t="n">
        <x:v>5580</x:v>
      </x:c>
      <x:c r="Z198" s="1" t="n">
        <x:v>8560</x:v>
      </x:c>
      <x:c r="AA198" s="1" t="n">
        <x:v>11600</x:v>
      </x:c>
      <x:c r="AB198" s="1" t="n">
        <x:v>19800</x:v>
      </x:c>
      <x:c r="AC198" s="1" t="n">
        <x:v>16300</x:v>
      </x:c>
      <x:c r="AD198" s="1" t="n">
        <x:v>22200</x:v>
      </x:c>
      <x:c r="AE198" s="1"/>
      <x:c r="AF198" s="1"/>
      <x:c r="AG198" s="1"/>
      <x:c r="AH198" s="1" t="n">
        <x:v>1000</x:v>
      </x:c>
      <x:c r="AI198" s="1" t="n">
        <x:v>1000</x:v>
      </x:c>
      <x:c r="AJ198" s="1" t="n">
        <x:v>1100</x:v>
      </x:c>
      <x:c r="AK198" s="1"/>
      <x:c r="AL198" s="1"/>
      <x:c r="AM198" s="1"/>
      <x:c r="AN198" s="1"/>
      <x:c r="AO198" s="1"/>
      <x:c r="AP198" s="1"/>
      <x:c r="AQ198" s="1" t="n">
        <x:v>29.45</x:v>
      </x:c>
      <x:c r="AR198" s="1" t="n">
        <x:v>13.1</x:v>
      </x:c>
      <x:c r="AS198" s="1" t="n">
        <x:v>6.48</x:v>
      </x:c>
      <x:c r="AT198" s="1" t="n">
        <x:v>7.37</x:v>
      </x:c>
      <x:c r="AU198" s="1"/>
      <x:c r="AV198" s="1"/>
      <x:c r="AW198" s="1"/>
      <x:c r="AX198" s="1"/>
      <x:c r="AY198" s="1"/>
      <x:c r="AZ198" s="1"/>
      <x:c r="BA198" s="1"/>
      <x:c r="BB198" s="1" t="n">
        <x:v>6.51</x:v>
      </x:c>
      <x:c r="BC198" s="1" t="n">
        <x:v>8.5</x:v>
      </x:c>
      <x:c r="BD198" s="1" t="n">
        <x:v>6.24</x:v>
      </x:c>
      <x:c r="BE198" s="1" t="n">
        <x:v>12.99</x:v>
      </x:c>
      <x:c r="BF198" s="1" t="n">
        <x:v>8.83</x:v>
      </x:c>
      <x:c r="BG198" s="1" t="n">
        <x:v>2.5</x:v>
      </x:c>
      <x:c r="BH198" s="1" t="n">
        <x:v>26.66</x:v>
      </x:c>
      <x:c r="BI198" s="1" t="n">
        <x:v>2.15</x:v>
      </x:c>
      <x:c r="BJ198" s="1" t="n">
        <x:v>1.74</x:v>
      </x:c>
      <x:c r="BK198" s="1" t="n">
        <x:v>24.59</x:v>
      </x:c>
      <x:c r="BL198" s="1" t="n">
        <x:v>30.38</x:v>
      </x:c>
      <x:c r="BM198" s="1" t="n">
        <x:v>38.51</x:v>
      </x:c>
      <x:c r="BN198" s="1" t="n">
        <x:v>50.03</x:v>
      </x:c>
      <x:c r="BO198" s="1" t="n">
        <x:v>37.07</x:v>
      </x:c>
      <x:c r="BP198" s="1" t="n">
        <x:v>15.26</x:v>
      </x:c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 t="n">
        <x:v>565.27</x:v>
      </x:c>
      <x:c r="CA198" s="1" t="n">
        <x:v>887.895</x:v>
      </x:c>
      <x:c r="CB198" s="1" t="n">
        <x:v>1407.42</x:v>
      </x:c>
      <x:c r="CC198" s="1" t="n">
        <x:v>1223.34</x:v>
      </x:c>
      <x:c r="CD198" s="1" t="n">
        <x:v>2145.17</x:v>
      </x:c>
      <x:c r="CE198" s="1" t="n">
        <x:v>1420.99</x:v>
      </x:c>
      <x:c r="CF198" s="1" t="n">
        <x:v>1044.23</x:v>
      </x:c>
      <x:c r="CG198" s="1" t="n">
        <x:v>713.59</x:v>
      </x:c>
      <x:c r="CH198" s="1" t="n">
        <x:v>457.91</x:v>
      </x:c>
      <x:c r="CI198" s="1" t="n">
        <x:v>3707.65</x:v>
      </x:c>
      <x:c r="CJ198" s="1" t="n">
        <x:v>5383.22</x:v>
      </x:c>
      <x:c r="CK198" s="1" t="n">
        <x:v>7354.49</x:v>
      </x:c>
      <x:c r="CL198" s="1" t="n">
        <x:v>1752.15</x:v>
      </x:c>
      <x:c r="CM198" s="1"/>
      <x:c r="CN198" s="1" t="n">
        <x:v>1158</x:v>
      </x:c>
      <x:c r="CO198" s="1" t="n">
        <x:v>5089</x:v>
      </x:c>
      <x:c r="CP198" s="1" t="n">
        <x:v>1740</x:v>
      </x:c>
      <x:c r="CQ198" s="1" t="n">
        <x:v>2055</x:v>
      </x:c>
      <x:c r="CR198" s="1"/>
      <x:c r="CS198" s="1"/>
      <x:c r="CT198" s="1" t="n">
        <x:v>420.31</x:v>
      </x:c>
      <x:c r="CU198" s="1" t="n">
        <x:v>207.51</x:v>
      </x:c>
      <x:c r="CV198" s="1" t="n">
        <x:v>543.44</x:v>
      </x:c>
      <x:c r="CW198" s="1" t="n">
        <x:v>355.2</x:v>
      </x:c>
      <x:c r="CX198" s="1" t="n">
        <x:v>705.7</x:v>
      </x:c>
      <x:c r="CY198" s="1" t="n">
        <x:v>1656.79</x:v>
      </x:c>
      <x:c r="CZ198" s="1" t="n">
        <x:v>2092.55</x:v>
      </x:c>
      <x:c r="DA198" s="1" t="n">
        <x:v>547.81</x:v>
      </x:c>
      <x:c r="DB198" s="1" t="n">
        <x:v>993.84</x:v>
      </x:c>
      <x:c r="DC198" s="1" t="n">
        <x:v>3228.33</x:v>
      </x:c>
      <x:c r="DD198" s="1" t="n">
        <x:v>6578.03</x:v>
      </x:c>
      <x:c r="DE198" s="1" t="n">
        <x:v>7328.35</x:v>
      </x:c>
      <x:c r="DF198" s="1" t="n">
        <x:v>1850.65</x:v>
      </x:c>
      <x:c r="DG198" s="1" t="n">
        <x:v>2483.48</x:v>
      </x:c>
      <x:c r="DH198" s="1" t="n">
        <x:v>1397.94</x:v>
      </x:c>
      <x:c r="DI198" s="1" t="n">
        <x:v>6502.11</x:v>
      </x:c>
      <x:c r="DJ198" s="1" t="n">
        <x:v>922.81</x:v>
      </x:c>
      <x:c r="DK198" s="1" t="n">
        <x:v>3246.33</x:v>
      </x:c>
      <x:c r="DL198" s="1" t="n">
        <x:v>4880</x:v>
      </x:c>
      <x:c r="DM198" s="1" t="n">
        <x:v>5002.13</x:v>
      </x:c>
    </x:row>
    <x:row r="199" ht="23" customHeight="1">
      <x:c r="A199" s="1" t="n">
        <x:v>194</x:v>
      </x:c>
      <x:c r="B199" s="1" t="str">
        <x:v>辛酸辛酯</x:v>
      </x:c>
      <x:c r="C199" s="1" t="str">
        <x:v>2306-88-9</x:v>
      </x:c>
      <x:c r="D199" s="1"/>
      <x:c r="E199" s="1"/>
      <x:c r="F199" s="1"/>
      <x:c r="G199" s="1"/>
      <x:c r="H199" s="1" t="n">
        <x:v>120.81</x:v>
      </x:c>
      <x:c r="I199" s="1" t="n">
        <x:v>1.44</x:v>
      </x:c>
      <x:c r="J199" s="1" t="n">
        <x:v>2.34</x:v>
      </x:c>
      <x:c r="K199" s="1"/>
      <x:c r="L199" s="1"/>
      <x:c r="M199" s="1"/>
      <x:c r="N199" s="1" t="n">
        <x:v>654</x:v>
      </x:c>
      <x:c r="O199" s="1" t="n">
        <x:v>576</x:v>
      </x:c>
      <x:c r="P199" s="1" t="n">
        <x:v>667</x:v>
      </x:c>
      <x:c r="Q199" s="1" t="n">
        <x:v>497</x:v>
      </x:c>
      <x:c r="R199" s="1" t="n">
        <x:v>502</x:v>
      </x:c>
      <x:c r="S199" s="1" t="n">
        <x:v>477</x:v>
      </x:c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 t="n">
        <x:v>1720</x:v>
      </x:c>
      <x:c r="AL199" s="1" t="n">
        <x:v>2760</x:v>
      </x:c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  <x:c r="DE199" s="1"/>
      <x:c r="DF199" s="1"/>
      <x:c r="DG199" s="1"/>
      <x:c r="DH199" s="1"/>
      <x:c r="DI199" s="1"/>
      <x:c r="DJ199" s="1"/>
      <x:c r="DK199" s="1"/>
      <x:c r="DL199" s="1"/>
      <x:c r="DM199" s="1"/>
    </x:row>
    <x:row r="200" ht="23" customHeight="1">
      <x:c r="A200" s="1" t="n">
        <x:v>195</x:v>
      </x:c>
      <x:c r="B200" s="1"/>
      <x:c r="C200" s="1" t="str">
        <x:v>2311-46-8</x:v>
      </x:c>
      <x:c r="D200" s="1"/>
      <x:c r="E200" s="1"/>
      <x:c r="F200" s="1"/>
      <x:c r="G200" s="1" t="n">
        <x:v>9.48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  <x:c r="DE200" s="1"/>
      <x:c r="DF200" s="1"/>
      <x:c r="DG200" s="1"/>
      <x:c r="DH200" s="1"/>
      <x:c r="DI200" s="1"/>
      <x:c r="DJ200" s="1"/>
      <x:c r="DK200" s="1"/>
      <x:c r="DL200" s="1"/>
      <x:c r="DM200" s="1"/>
    </x:row>
    <x:row r="201" ht="23" customHeight="1">
      <x:c r="A201" s="1" t="n">
        <x:v>196</x:v>
      </x:c>
      <x:c r="B201" s="1" t="str">
        <x:v>3-甲基-2-己醇</x:v>
      </x:c>
      <x:c r="C201" s="1" t="str">
        <x:v>2313-65-7</x:v>
      </x:c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 t="n">
        <x:v>1.4</x:v>
      </x:c>
      <x:c r="AR201" s="1" t="n">
        <x:v>2.1</x:v>
      </x:c>
      <x:c r="AS201" s="1" t="n">
        <x:v>3.67</x:v>
      </x:c>
      <x:c r="AT201" s="1" t="n">
        <x:v>3.8</x:v>
      </x:c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  <x:c r="DE201" s="1"/>
      <x:c r="DF201" s="1"/>
      <x:c r="DG201" s="1"/>
      <x:c r="DH201" s="1"/>
      <x:c r="DI201" s="1"/>
      <x:c r="DJ201" s="1"/>
      <x:c r="DK201" s="1"/>
      <x:c r="DL201" s="1"/>
      <x:c r="DM201" s="1"/>
    </x:row>
    <x:row r="202" ht="23" customHeight="1">
      <x:c r="A202" s="1" t="n">
        <x:v>197</x:v>
      </x:c>
      <x:c r="B202" s="1"/>
      <x:c r="C202" s="1" t="str">
        <x:v>2345-28-0</x:v>
      </x:c>
      <x:c r="D202" s="1"/>
      <x:c r="E202" s="1"/>
      <x:c r="F202" s="1"/>
      <x:c r="G202" s="1"/>
      <x:c r="H202" s="1" t="n">
        <x:v>0.23</x:v>
      </x:c>
      <x:c r="I202" s="1"/>
      <x:c r="J202" s="1"/>
      <x:c r="K202" s="1"/>
      <x:c r="L202" s="1"/>
      <x:c r="M202" s="1"/>
      <x:c r="N202" s="1" t="n">
        <x:v>720</x:v>
      </x:c>
      <x:c r="O202" s="1" t="n">
        <x:v>574</x:v>
      </x:c>
      <x:c r="P202" s="1" t="n">
        <x:v>717</x:v>
      </x:c>
      <x:c r="Q202" s="1" t="n">
        <x:v>511</x:v>
      </x:c>
      <x:c r="R202" s="1" t="n">
        <x:v>511</x:v>
      </x:c>
      <x:c r="S202" s="1" t="n">
        <x:v>477</x:v>
      </x:c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  <x:c r="DE202" s="1"/>
      <x:c r="DF202" s="1"/>
      <x:c r="DG202" s="1"/>
      <x:c r="DH202" s="1"/>
      <x:c r="DI202" s="1"/>
      <x:c r="DJ202" s="1"/>
      <x:c r="DK202" s="1"/>
      <x:c r="DL202" s="1"/>
      <x:c r="DM202" s="1"/>
    </x:row>
    <x:row r="203" ht="23" customHeight="1">
      <x:c r="A203" s="1" t="n">
        <x:v>198</x:v>
      </x:c>
      <x:c r="B203" s="1" t="str">
        <x:v>3-己烯酸乙酯</x:v>
      </x:c>
      <x:c r="C203" s="1" t="str">
        <x:v>2396-83-0</x:v>
      </x:c>
      <x:c r="D203" s="1"/>
      <x:c r="E203" s="1" t="n">
        <x:v>112</x:v>
      </x:c>
      <x:c r="F203" s="1" t="n">
        <x:v>473</x:v>
      </x:c>
      <x:c r="G203" s="1"/>
      <x:c r="H203" s="1"/>
      <x:c r="I203" s="1"/>
      <x:c r="J203" s="1"/>
      <x:c r="K203" s="1"/>
      <x:c r="L203" s="1"/>
      <x:c r="M203" s="1"/>
      <x:c r="N203" s="1" t="n">
        <x:v>479</x:v>
      </x:c>
      <x:c r="O203" s="1" t="n">
        <x:v>1055</x:v>
      </x:c>
      <x:c r="P203" s="1" t="n">
        <x:v>987</x:v>
      </x:c>
      <x:c r="Q203" s="1" t="n">
        <x:v>1128</x:v>
      </x:c>
      <x:c r="R203" s="1" t="n">
        <x:v>991</x:v>
      </x:c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 t="n">
        <x:v>17</x:v>
      </x:c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  <x:c r="DE203" s="1"/>
      <x:c r="DF203" s="1"/>
      <x:c r="DG203" s="1"/>
      <x:c r="DH203" s="1"/>
      <x:c r="DI203" s="1"/>
      <x:c r="DJ203" s="1"/>
      <x:c r="DK203" s="1"/>
      <x:c r="DL203" s="1"/>
      <x:c r="DM203" s="1"/>
    </x:row>
    <x:row r="204" ht="23" customHeight="1">
      <x:c r="A204" s="1" t="n">
        <x:v>199</x:v>
      </x:c>
      <x:c r="B204" s="1"/>
      <x:c r="C204" s="1" t="str">
        <x:v>2412-80-8</x:v>
      </x:c>
      <x:c r="D204" s="1"/>
      <x:c r="E204" s="1"/>
      <x:c r="F204" s="1"/>
      <x:c r="G204" s="1" t="n">
        <x:v>2.44</x:v>
      </x:c>
      <x:c r="H204" s="1" t="n">
        <x:v>1.22</x:v>
      </x:c>
      <x:c r="I204" s="1" t="n">
        <x:v>1.75</x:v>
      </x:c>
      <x:c r="J204" s="1" t="n">
        <x:v>6.14</x:v>
      </x:c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  <x:c r="DE204" s="1"/>
      <x:c r="DF204" s="1"/>
      <x:c r="DG204" s="1"/>
      <x:c r="DH204" s="1"/>
      <x:c r="DI204" s="1"/>
      <x:c r="DJ204" s="1"/>
      <x:c r="DK204" s="1"/>
      <x:c r="DL204" s="1"/>
      <x:c r="DM204" s="1"/>
    </x:row>
    <x:row r="205" ht="23" customHeight="1">
      <x:c r="A205" s="1" t="n">
        <x:v>200</x:v>
      </x:c>
      <x:c r="B205" s="1"/>
      <x:c r="C205" s="1" t="str">
        <x:v>2425-77-6</x:v>
      </x:c>
      <x:c r="D205" s="1"/>
      <x:c r="E205" s="1"/>
      <x:c r="F205" s="1"/>
      <x:c r="G205" s="1"/>
      <x:c r="H205" s="1"/>
      <x:c r="I205" s="1"/>
      <x:c r="J205" s="1"/>
      <x:c r="K205" s="1" t="n">
        <x:v>0.13</x:v>
      </x:c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  <x:c r="DE205" s="1"/>
      <x:c r="DF205" s="1"/>
      <x:c r="DG205" s="1"/>
      <x:c r="DH205" s="1"/>
      <x:c r="DI205" s="1"/>
      <x:c r="DJ205" s="1"/>
      <x:c r="DK205" s="1"/>
      <x:c r="DL205" s="1"/>
      <x:c r="DM205" s="1"/>
    </x:row>
    <x:row r="206" ht="23" customHeight="1">
      <x:c r="A206" s="1" t="n">
        <x:v>201</x:v>
      </x:c>
      <x:c r="B206" s="1" t="str">
        <x:v>反-2-壬醛</x:v>
      </x:c>
      <x:c r="C206" s="1" t="str">
        <x:v>2463-53-8</x:v>
      </x:c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 t="n">
        <x:v>356</x:v>
      </x:c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  <x:c r="DE206" s="1"/>
      <x:c r="DF206" s="1"/>
      <x:c r="DG206" s="1"/>
      <x:c r="DH206" s="1"/>
      <x:c r="DI206" s="1"/>
      <x:c r="DJ206" s="1"/>
      <x:c r="DK206" s="1"/>
      <x:c r="DL206" s="1"/>
      <x:c r="DM206" s="1"/>
    </x:row>
    <x:row r="207" ht="23" customHeight="1">
      <x:c r="A207" s="1" t="n">
        <x:v>202</x:v>
      </x:c>
      <x:c r="B207" s="1" t="str">
        <x:v>2-十一烯醛</x:v>
      </x:c>
      <x:c r="C207" s="1" t="str">
        <x:v>2463-77-6</x:v>
      </x:c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 t="n">
        <x:v>17</x:v>
      </x:c>
      <x:c r="BA207" s="1" t="n">
        <x:v>24</x:v>
      </x:c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  <x:c r="DE207" s="1"/>
      <x:c r="DF207" s="1"/>
      <x:c r="DG207" s="1"/>
      <x:c r="DH207" s="1"/>
      <x:c r="DI207" s="1"/>
      <x:c r="DJ207" s="1"/>
      <x:c r="DK207" s="1"/>
      <x:c r="DL207" s="1"/>
      <x:c r="DM207" s="1"/>
    </x:row>
    <x:row r="208" ht="23" customHeight="1">
      <x:c r="A208" s="1" t="n">
        <x:v>203</x:v>
      </x:c>
      <x:c r="B208" s="1" t="str">
        <x:v>丁酸己酯</x:v>
      </x:c>
      <x:c r="C208" s="1" t="str">
        <x:v>2639-63-6</x:v>
      </x:c>
      <x:c r="D208" s="1"/>
      <x:c r="E208" s="1" t="n">
        <x:v>232</x:v>
      </x:c>
      <x:c r="F208" s="1" t="n">
        <x:v>3483</x:v>
      </x:c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 t="n">
        <x:v>0</x:v>
      </x:c>
      <x:c r="U208" s="1" t="n">
        <x:v>0</x:v>
      </x:c>
      <x:c r="V208" s="1"/>
      <x:c r="W208" s="1" t="n">
        <x:v>164000</x:v>
      </x:c>
      <x:c r="X208" s="1" t="n">
        <x:v>206000</x:v>
      </x:c>
      <x:c r="Y208" s="1" t="n">
        <x:v>230000</x:v>
      </x:c>
      <x:c r="Z208" s="1" t="n">
        <x:v>288000</x:v>
      </x:c>
      <x:c r="AA208" s="1" t="n">
        <x:v>286000</x:v>
      </x:c>
      <x:c r="AB208" s="1" t="n">
        <x:v>373000</x:v>
      </x:c>
      <x:c r="AC208" s="1" t="n">
        <x:v>274000</x:v>
      </x:c>
      <x:c r="AD208" s="1" t="n">
        <x:v>124000</x:v>
      </x:c>
      <x:c r="AE208" s="1" t="n">
        <x:v>3760</x:v>
      </x:c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 t="n">
        <x:v>3416</x:v>
      </x:c>
      <x:c r="BA208" s="1" t="n">
        <x:v>2645</x:v>
      </x:c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  <x:c r="DE208" s="1"/>
      <x:c r="DF208" s="1"/>
      <x:c r="DG208" s="1"/>
      <x:c r="DH208" s="1"/>
      <x:c r="DI208" s="1"/>
      <x:c r="DJ208" s="1"/>
      <x:c r="DK208" s="1"/>
      <x:c r="DL208" s="1"/>
      <x:c r="DM208" s="1"/>
    </x:row>
    <x:row r="209" ht="23" customHeight="1">
      <x:c r="A209" s="1" t="n">
        <x:v>204</x:v>
      </x:c>
      <x:c r="B209" s="1"/>
      <x:c r="C209" s="1" t="str">
        <x:v>2761-84-4</x:v>
      </x:c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 t="n">
        <x:v>1504</x:v>
      </x:c>
      <x:c r="P209" s="1" t="n">
        <x:v>1504</x:v>
      </x:c>
      <x:c r="Q209" s="1" t="n">
        <x:v>524</x:v>
      </x:c>
      <x:c r="R209" s="1" t="n">
        <x:v>534</x:v>
      </x:c>
      <x:c r="S209" s="1" t="n">
        <x:v>1504</x:v>
      </x:c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  <x:c r="DE209" s="1"/>
      <x:c r="DF209" s="1"/>
      <x:c r="DG209" s="1"/>
      <x:c r="DH209" s="1"/>
      <x:c r="DI209" s="1"/>
      <x:c r="DJ209" s="1"/>
      <x:c r="DK209" s="1"/>
      <x:c r="DL209" s="1"/>
      <x:c r="DM209" s="1"/>
    </x:row>
    <x:row r="210" ht="23" customHeight="1">
      <x:c r="A210" s="1" t="n">
        <x:v>205</x:v>
      </x:c>
      <x:c r="B210" s="1" t="str">
        <x:v>4-乙基-2-甲氧基苯酚</x:v>
      </x:c>
      <x:c r="C210" s="1" t="str">
        <x:v>2785-89-9</x:v>
      </x:c>
      <x:c r="D210" s="1"/>
      <x:c r="E210" s="1"/>
      <x:c r="F210" s="1" t="n">
        <x:v>130</x:v>
      </x:c>
      <x:c r="G210" s="1"/>
      <x:c r="H210" s="1"/>
      <x:c r="I210" s="1"/>
      <x:c r="J210" s="1"/>
      <x:c r="K210" s="1"/>
      <x:c r="L210" s="1" t="n">
        <x:v>524</x:v>
      </x:c>
      <x:c r="M210" s="1" t="n">
        <x:v>526</x:v>
      </x:c>
      <x:c r="N210" s="1"/>
      <x:c r="O210" s="1"/>
      <x:c r="P210" s="1"/>
      <x:c r="Q210" s="1"/>
      <x:c r="R210" s="1"/>
      <x:c r="S210" s="1"/>
      <x:c r="T210" s="1" t="n">
        <x:v>0</x:v>
      </x:c>
      <x:c r="U210" s="1" t="n">
        <x:v>0</x:v>
      </x:c>
      <x:c r="V210" s="1" t="n">
        <x:v>1.5</x:v>
      </x:c>
      <x:c r="W210" s="1"/>
      <x:c r="X210" s="1"/>
      <x:c r="Y210" s="1"/>
      <x:c r="Z210" s="1" t="n">
        <x:v>412</x:v>
      </x:c>
      <x:c r="AA210" s="1" t="n">
        <x:v>393</x:v>
      </x:c>
      <x:c r="AB210" s="1" t="n">
        <x:v>525</x:v>
      </x:c>
      <x:c r="AC210" s="1" t="n">
        <x:v>675</x:v>
      </x:c>
      <x:c r="AD210" s="1" t="n">
        <x:v>843</x:v>
      </x:c>
      <x:c r="AE210" s="1" t="n">
        <x:v>680</x:v>
      </x:c>
      <x:c r="AF210" s="1"/>
      <x:c r="AG210" s="1"/>
      <x:c r="AH210" s="1"/>
      <x:c r="AI210" s="1"/>
      <x:c r="AJ210" s="1"/>
      <x:c r="AK210" s="1" t="n">
        <x:v>1370</x:v>
      </x:c>
      <x:c r="AL210" s="1" t="n">
        <x:v>1240</x:v>
      </x:c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 t="n">
        <x:v>68</x:v>
      </x:c>
      <x:c r="BA210" s="1" t="n">
        <x:v>38</x:v>
      </x:c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 t="n">
        <x:v>1524</x:v>
      </x:c>
      <x:c r="BL210" s="1" t="n">
        <x:v>1041.43</x:v>
      </x:c>
      <x:c r="BM210" s="1" t="n">
        <x:v>296.12</x:v>
      </x:c>
      <x:c r="BN210" s="1" t="n">
        <x:v>241.62</x:v>
      </x:c>
      <x:c r="BO210" s="1" t="n">
        <x:v>89.49</x:v>
      </x:c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 t="n">
        <x:v>14.8</x:v>
      </x:c>
      <x:c r="CA210" s="1" t="n">
        <x:v>11.145</x:v>
      </x:c>
      <x:c r="CB210" s="1" t="n">
        <x:v>66.91</x:v>
      </x:c>
      <x:c r="CC210" s="1" t="n">
        <x:v>109.44</x:v>
      </x:c>
      <x:c r="CD210" s="1" t="n">
        <x:v>326.51</x:v>
      </x:c>
      <x:c r="CE210" s="1" t="n">
        <x:v>290.96</x:v>
      </x:c>
      <x:c r="CF210" s="1" t="n">
        <x:v>21.34</x:v>
      </x:c>
      <x:c r="CG210" s="1" t="n">
        <x:v>7.64</x:v>
      </x:c>
      <x:c r="CH210" s="1" t="n">
        <x:v>7.64</x:v>
      </x:c>
      <x:c r="CI210" s="1" t="n">
        <x:v>37.99</x:v>
      </x:c>
      <x:c r="CJ210" s="1" t="n">
        <x:v>36.85</x:v>
      </x:c>
      <x:c r="CK210" s="1" t="n">
        <x:v>23.44</x:v>
      </x:c>
      <x:c r="CL210" s="1" t="n">
        <x:v>28.28</x:v>
      </x:c>
      <x:c r="CM210" s="1" t="n">
        <x:v>81.52</x:v>
      </x:c>
      <x:c r="CN210" s="1"/>
      <x:c r="CO210" s="1"/>
      <x:c r="CP210" s="1"/>
      <x:c r="CQ210" s="1"/>
      <x:c r="CR210" s="1" t="n">
        <x:v>67.99</x:v>
      </x:c>
      <x:c r="CS210" s="1" t="n">
        <x:v>48.32</x:v>
      </x:c>
      <x:c r="CT210" s="1"/>
      <x:c r="CU210" s="1"/>
      <x:c r="CV210" s="1"/>
      <x:c r="CW210" s="1"/>
      <x:c r="CX210" s="1" t="n">
        <x:v>3.32</x:v>
      </x:c>
      <x:c r="CY210" s="1" t="n">
        <x:v>62.95</x:v>
      </x:c>
      <x:c r="CZ210" s="1" t="n">
        <x:v>121.84</x:v>
      </x:c>
      <x:c r="DA210" s="1" t="n">
        <x:v>4.98</x:v>
      </x:c>
      <x:c r="DB210" s="1"/>
      <x:c r="DC210" s="1" t="n">
        <x:v>2.77</x:v>
      </x:c>
      <x:c r="DD210" s="1" t="n">
        <x:v>132.65</x:v>
      </x:c>
      <x:c r="DE210" s="1" t="n">
        <x:v>20.72</x:v>
      </x:c>
      <x:c r="DF210" s="1" t="n">
        <x:v>47.51</x:v>
      </x:c>
      <x:c r="DG210" s="1" t="n">
        <x:v>11.62</x:v>
      </x:c>
      <x:c r="DH210" s="1" t="n">
        <x:v>85.23</x:v>
      </x:c>
      <x:c r="DI210" s="1" t="n">
        <x:v>8.52</x:v>
      </x:c>
      <x:c r="DJ210" s="1" t="n">
        <x:v>117.18</x:v>
      </x:c>
      <x:c r="DK210" s="1" t="n">
        <x:v>11.93</x:v>
      </x:c>
      <x:c r="DL210" s="1" t="n">
        <x:v>18.73</x:v>
      </x:c>
      <x:c r="DM210" s="1" t="n">
        <x:v>6.82</x:v>
      </x:c>
    </x:row>
    <x:row r="211" ht="23" customHeight="1">
      <x:c r="A211" s="1" t="n">
        <x:v>206</x:v>
      </x:c>
      <x:c r="B211" s="1"/>
      <x:c r="C211" s="1" t="str">
        <x:v>3268-49-3</x:v>
      </x:c>
      <x:c r="D211" s="1"/>
      <x:c r="E211" s="1"/>
      <x:c r="F211" s="1" t="n">
        <x:v>369</x:v>
      </x:c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  <x:c r="DE211" s="1"/>
      <x:c r="DF211" s="1"/>
      <x:c r="DG211" s="1"/>
      <x:c r="DH211" s="1"/>
      <x:c r="DI211" s="1"/>
      <x:c r="DJ211" s="1"/>
      <x:c r="DK211" s="1"/>
      <x:c r="DL211" s="1"/>
      <x:c r="DM211" s="1"/>
    </x:row>
    <x:row r="212" ht="23" customHeight="1">
      <x:c r="A212" s="1" t="n">
        <x:v>207</x:v>
      </x:c>
      <x:c r="B212" s="1" t="str">
        <x:v>1-辛烯-3-醇</x:v>
      </x:c>
      <x:c r="C212" s="1" t="str">
        <x:v>3391-86-4</x:v>
      </x:c>
      <x:c r="D212" s="1" t="n">
        <x:v>6.12</x:v>
      </x:c>
      <x:c r="E212" s="1"/>
      <x:c r="F212" s="1"/>
      <x:c r="G212" s="1"/>
      <x:c r="H212" s="1"/>
      <x:c r="I212" s="1"/>
      <x:c r="J212" s="1"/>
      <x:c r="K212" s="1" t="n">
        <x:v>13.43</x:v>
      </x:c>
      <x:c r="L212" s="1" t="n">
        <x:v>1</x:v>
      </x:c>
      <x:c r="M212" s="1" t="n">
        <x:v>1</x:v>
      </x:c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 t="n">
        <x:v>128.38</x:v>
      </x:c>
      <x:c r="CY212" s="1" t="n">
        <x:v>256.41</x:v>
      </x:c>
      <x:c r="CZ212" s="1" t="n">
        <x:v>15.31</x:v>
      </x:c>
      <x:c r="DA212" s="1" t="n">
        <x:v>89.57</x:v>
      </x:c>
      <x:c r="DB212" s="1" t="n">
        <x:v>124.17</x:v>
      </x:c>
      <x:c r="DC212" s="1" t="n">
        <x:v>90.64</x:v>
      </x:c>
      <x:c r="DD212" s="1" t="n">
        <x:v>194.74</x:v>
      </x:c>
      <x:c r="DE212" s="1" t="n">
        <x:v>131.7</x:v>
      </x:c>
      <x:c r="DF212" s="1" t="n">
        <x:v>271.45</x:v>
      </x:c>
      <x:c r="DG212" s="1" t="n">
        <x:v>99.18</x:v>
      </x:c>
      <x:c r="DH212" s="1" t="n">
        <x:v>120</x:v>
      </x:c>
      <x:c r="DI212" s="1" t="n">
        <x:v>99.15</x:v>
      </x:c>
      <x:c r="DJ212" s="1" t="n">
        <x:v>151.45</x:v>
      </x:c>
      <x:c r="DK212" s="1" t="n">
        <x:v>88.51</x:v>
      </x:c>
      <x:c r="DL212" s="1" t="n">
        <x:v>101.54</x:v>
      </x:c>
      <x:c r="DM212" s="1" t="n">
        <x:v>93.56</x:v>
      </x:c>
    </x:row>
    <x:row r="213" ht="23" customHeight="1">
      <x:c r="A213" s="1" t="n">
        <x:v>208</x:v>
      </x:c>
      <x:c r="B213" s="1"/>
      <x:c r="C213" s="1" t="str">
        <x:v>3658-79-5</x:v>
      </x:c>
      <x:c r="D213" s="1"/>
      <x:c r="E213" s="1"/>
      <x:c r="F213" s="1"/>
      <x:c r="G213" s="1"/>
      <x:c r="H213" s="1"/>
      <x:c r="I213" s="1" t="n">
        <x:v>1.39</x:v>
      </x:c>
      <x:c r="J213" s="1"/>
      <x:c r="K213" s="1" t="n">
        <x:v>0.33</x:v>
      </x:c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  <x:c r="DE213" s="1"/>
      <x:c r="DF213" s="1"/>
      <x:c r="DG213" s="1"/>
      <x:c r="DH213" s="1"/>
      <x:c r="DI213" s="1"/>
      <x:c r="DJ213" s="1"/>
      <x:c r="DK213" s="1"/>
      <x:c r="DL213" s="1"/>
      <x:c r="DM213" s="1"/>
    </x:row>
    <x:row r="214" ht="23" customHeight="1">
      <x:c r="A214" s="1" t="n">
        <x:v>209</x:v>
      </x:c>
      <x:c r="B214" s="1" t="str">
        <x:v>二甲基三硫醚</x:v>
      </x:c>
      <x:c r="C214" s="1" t="str">
        <x:v>3658-80-8</x:v>
      </x:c>
      <x:c r="D214" s="1" t="n">
        <x:v>0.36</x:v>
      </x:c>
      <x:c r="E214" s="1" t="n">
        <x:v>26</x:v>
      </x:c>
      <x:c r="F214" s="1" t="n">
        <x:v>187</x:v>
      </x:c>
      <x:c r="G214" s="1"/>
      <x:c r="H214" s="1"/>
      <x:c r="I214" s="1"/>
      <x:c r="J214" s="1"/>
      <x:c r="K214" s="1" t="n">
        <x:v>0.28</x:v>
      </x:c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 t="n">
        <x:v>3110.52</x:v>
      </x:c>
      <x:c r="CA214" s="1" t="n">
        <x:v>2927.9567</x:v>
      </x:c>
      <x:c r="CB214" s="1" t="n">
        <x:v>2623.03</x:v>
      </x:c>
      <x:c r="CC214" s="1" t="n">
        <x:v>1777.63</x:v>
      </x:c>
      <x:c r="CD214" s="1" t="n">
        <x:v>4201.44</x:v>
      </x:c>
      <x:c r="CE214" s="1" t="n">
        <x:v>2533.63</x:v>
      </x:c>
      <x:c r="CF214" s="1" t="n">
        <x:v>1635.57</x:v>
      </x:c>
      <x:c r="CG214" s="1" t="n">
        <x:v>1060.51</x:v>
      </x:c>
      <x:c r="CH214" s="1" t="n">
        <x:v>1035.13</x:v>
      </x:c>
      <x:c r="CI214" s="1" t="n">
        <x:v>3292.75</x:v>
      </x:c>
      <x:c r="CJ214" s="1" t="n">
        <x:v>1525.2</x:v>
      </x:c>
      <x:c r="CK214" s="1" t="n">
        <x:v>1343</x:v>
      </x:c>
      <x:c r="CL214" s="1" t="n">
        <x:v>1698.84</x:v>
      </x:c>
      <x:c r="CM214" s="1" t="n">
        <x:v>1784.33</x:v>
      </x:c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 t="n">
        <x:v>132.35</x:v>
      </x:c>
      <x:c r="CZ214" s="1" t="n">
        <x:v>124.89</x:v>
      </x:c>
      <x:c r="DA214" s="1"/>
      <x:c r="DB214" s="1" t="n">
        <x:v>15.32</x:v>
      </x:c>
      <x:c r="DC214" s="1"/>
      <x:c r="DD214" s="1" t="n">
        <x:v>67</x:v>
      </x:c>
      <x:c r="DE214" s="1" t="n">
        <x:v>59.87</x:v>
      </x:c>
      <x:c r="DF214" s="1" t="n">
        <x:v>211.62</x:v>
      </x:c>
      <x:c r="DG214" s="1" t="n">
        <x:v>35.18</x:v>
      </x:c>
      <x:c r="DH214" s="1" t="n">
        <x:v>203.57</x:v>
      </x:c>
      <x:c r="DI214" s="1"/>
      <x:c r="DJ214" s="1" t="n">
        <x:v>193.16</x:v>
      </x:c>
      <x:c r="DK214" s="1"/>
      <x:c r="DL214" s="1" t="n">
        <x:v>73.68</x:v>
      </x:c>
      <x:c r="DM214" s="1" t="n">
        <x:v>73.32</x:v>
      </x:c>
    </x:row>
    <x:row r="215" ht="23" customHeight="1">
      <x:c r="A215" s="1" t="n">
        <x:v>210</x:v>
      </x:c>
      <x:c r="B215" s="1"/>
      <x:c r="C215" s="1" t="str">
        <x:v>3658-93-3</x:v>
      </x:c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 t="n">
        <x:v>280</x:v>
      </x:c>
      <x:c r="AF215" s="1" t="n">
        <x:v>70</x:v>
      </x:c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  <x:c r="DE215" s="1"/>
      <x:c r="DF215" s="1"/>
      <x:c r="DG215" s="1"/>
      <x:c r="DH215" s="1"/>
      <x:c r="DI215" s="1"/>
      <x:c r="DJ215" s="1"/>
      <x:c r="DK215" s="1"/>
      <x:c r="DL215" s="1"/>
      <x:c r="DM215" s="1"/>
    </x:row>
    <x:row r="216" ht="23" customHeight="1">
      <x:c r="A216" s="1" t="n">
        <x:v>211</x:v>
      </x:c>
      <x:c r="B216" s="1"/>
      <x:c r="C216" s="1" t="str">
        <x:v>3760-11-0</x:v>
      </x:c>
      <x:c r="D216" s="1"/>
      <x:c r="E216" s="1"/>
      <x:c r="F216" s="1"/>
      <x:c r="G216" s="1" t="n">
        <x:v>11.32</x:v>
      </x:c>
      <x:c r="H216" s="1"/>
      <x:c r="I216" s="1" t="n">
        <x:v>1.16</x:v>
      </x:c>
      <x:c r="J216" s="1" t="n">
        <x:v>1.57</x:v>
      </x:c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  <x:c r="DE216" s="1"/>
      <x:c r="DF216" s="1"/>
      <x:c r="DG216" s="1"/>
      <x:c r="DH216" s="1"/>
      <x:c r="DI216" s="1"/>
      <x:c r="DJ216" s="1"/>
      <x:c r="DK216" s="1"/>
      <x:c r="DL216" s="1"/>
      <x:c r="DM216" s="1"/>
    </x:row>
    <x:row r="217" ht="23" customHeight="1">
      <x:c r="A217" s="1" t="n">
        <x:v>212</x:v>
      </x:c>
      <x:c r="B217" s="1" t="str">
        <x:v>香叶基丙酮</x:v>
      </x:c>
      <x:c r="C217" s="1" t="str">
        <x:v>3796-70-1</x:v>
      </x:c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 t="n">
        <x:v>5.18</x:v>
      </x:c>
      <x:c r="CA217" s="1" t="n">
        <x:v>7.15</x:v>
      </x:c>
      <x:c r="CB217" s="1" t="n">
        <x:v>26.89</x:v>
      </x:c>
      <x:c r="CC217" s="1"/>
      <x:c r="CD217" s="1" t="n">
        <x:v>28.54</x:v>
      </x:c>
      <x:c r="CE217" s="1" t="n">
        <x:v>28.28</x:v>
      </x:c>
      <x:c r="CF217" s="1" t="n">
        <x:v>12.6</x:v>
      </x:c>
      <x:c r="CG217" s="1" t="n">
        <x:v>12.19</x:v>
      </x:c>
      <x:c r="CH217" s="1" t="n">
        <x:v>8.88</x:v>
      </x:c>
      <x:c r="CI217" s="1" t="n">
        <x:v>32.85</x:v>
      </x:c>
      <x:c r="CJ217" s="1" t="n">
        <x:v>4.5</x:v>
      </x:c>
      <x:c r="CK217" s="1" t="n">
        <x:v>11.93</x:v>
      </x:c>
      <x:c r="CL217" s="1" t="n">
        <x:v>15.06</x:v>
      </x:c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  <x:c r="DE217" s="1"/>
      <x:c r="DF217" s="1"/>
      <x:c r="DG217" s="1"/>
      <x:c r="DH217" s="1"/>
      <x:c r="DI217" s="1"/>
      <x:c r="DJ217" s="1"/>
      <x:c r="DK217" s="1"/>
      <x:c r="DL217" s="1"/>
      <x:c r="DM217" s="1"/>
    </x:row>
    <x:row r="218" ht="23" customHeight="1">
      <x:c r="A218" s="1" t="n">
        <x:v>213</x:v>
      </x:c>
      <x:c r="B218" s="1" t="str">
        <x:v>异丁醛二乙缩醛</x:v>
      </x:c>
      <x:c r="C218" s="1" t="str">
        <x:v>3842-03-3</x:v>
      </x:c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 t="n">
        <x:v>32.54</x:v>
      </x:c>
      <x:c r="AR218" s="1" t="n">
        <x:v>15.34</x:v>
      </x:c>
      <x:c r="AS218" s="1" t="n">
        <x:v>61</x:v>
      </x:c>
      <x:c r="AT218" s="1" t="n">
        <x:v>41.62</x:v>
      </x:c>
      <x:c r="AU218" s="1"/>
      <x:c r="AV218" s="1"/>
      <x:c r="AW218" s="1"/>
      <x:c r="AX218" s="1"/>
      <x:c r="AY218" s="1"/>
      <x:c r="AZ218" s="1"/>
      <x:c r="BA218" s="1" t="n">
        <x:v>931</x:v>
      </x:c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  <x:c r="DE218" s="1"/>
      <x:c r="DF218" s="1"/>
      <x:c r="DG218" s="1"/>
      <x:c r="DH218" s="1"/>
      <x:c r="DI218" s="1"/>
      <x:c r="DJ218" s="1"/>
      <x:c r="DK218" s="1"/>
      <x:c r="DL218" s="1"/>
      <x:c r="DM218" s="1"/>
    </x:row>
    <x:row r="219" ht="23" customHeight="1">
      <x:c r="A219" s="1" t="n">
        <x:v>214</x:v>
      </x:c>
      <x:c r="B219" s="1"/>
      <x:c r="C219" s="1" t="str">
        <x:v>4412-16-2</x:v>
      </x:c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 t="n">
        <x:v>474</x:v>
      </x:c>
      <x:c r="O219" s="1" t="n">
        <x:v>1323</x:v>
      </x:c>
      <x:c r="P219" s="1" t="n">
        <x:v>1497</x:v>
      </x:c>
      <x:c r="Q219" s="1" t="n">
        <x:v>1148</x:v>
      </x:c>
      <x:c r="R219" s="1" t="n">
        <x:v>1262</x:v>
      </x:c>
      <x:c r="S219" s="1" t="n">
        <x:v>1555</x:v>
      </x:c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  <x:c r="DE219" s="1"/>
      <x:c r="DF219" s="1"/>
      <x:c r="DG219" s="1"/>
      <x:c r="DH219" s="1"/>
      <x:c r="DI219" s="1"/>
      <x:c r="DJ219" s="1"/>
      <x:c r="DK219" s="1"/>
      <x:c r="DL219" s="1"/>
      <x:c r="DM219" s="1"/>
    </x:row>
    <x:row r="220" ht="23" customHeight="1">
      <x:c r="A220" s="1" t="n">
        <x:v>215</x:v>
      </x:c>
      <x:c r="B220" s="1"/>
      <x:c r="C220" s="1" t="str">
        <x:v>4437-22-3</x:v>
      </x:c>
      <x:c r="D220" s="1"/>
      <x:c r="E220" s="1"/>
      <x:c r="F220" s="1"/>
      <x:c r="G220" s="1" t="n">
        <x:v>0.36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  <x:c r="DE220" s="1"/>
      <x:c r="DF220" s="1"/>
      <x:c r="DG220" s="1"/>
      <x:c r="DH220" s="1"/>
      <x:c r="DI220" s="1"/>
      <x:c r="DJ220" s="1"/>
      <x:c r="DK220" s="1"/>
      <x:c r="DL220" s="1"/>
      <x:c r="DM220" s="1"/>
    </x:row>
    <x:row r="221" ht="23" customHeight="1">
      <x:c r="A221" s="1" t="n">
        <x:v>216</x:v>
      </x:c>
      <x:c r="B221" s="1" t="str">
        <x:v>2-正丁基呋喃</x:v>
      </x:c>
      <x:c r="C221" s="1" t="str">
        <x:v>4466-24-4</x:v>
      </x:c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 t="n">
        <x:v>0</x:v>
      </x:c>
      <x:c r="U221" s="1" t="n">
        <x:v>0</x:v>
      </x:c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 t="n">
        <x:v>2080</x:v>
      </x:c>
      <x:c r="AF221" s="1" t="n">
        <x:v>2190</x:v>
      </x:c>
      <x:c r="AG221" s="1" t="n">
        <x:v>3150</x:v>
      </x:c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 t="n">
        <x:v>26.3</x:v>
      </x:c>
      <x:c r="AR221" s="1" t="n">
        <x:v>39.78</x:v>
      </x:c>
      <x:c r="AS221" s="1" t="n">
        <x:v>40.32</x:v>
      </x:c>
      <x:c r="AT221" s="1" t="n">
        <x:v>46.76</x:v>
      </x:c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  <x:c r="DE221" s="1"/>
      <x:c r="DF221" s="1"/>
      <x:c r="DG221" s="1"/>
      <x:c r="DH221" s="1"/>
      <x:c r="DI221" s="1"/>
      <x:c r="DJ221" s="1"/>
      <x:c r="DK221" s="1"/>
      <x:c r="DL221" s="1"/>
      <x:c r="DM221" s="1"/>
    </x:row>
    <x:row r="222" ht="23" customHeight="1">
      <x:c r="A222" s="1" t="n">
        <x:v>217</x:v>
      </x:c>
      <x:c r="B222" s="1"/>
      <x:c r="C222" s="1" t="str">
        <x:v>5405-41-4</x:v>
      </x:c>
      <x:c r="D222" s="1"/>
      <x:c r="E222" s="1"/>
      <x:c r="F222" s="1"/>
      <x:c r="G222" s="1"/>
      <x:c r="H222" s="1" t="n">
        <x:v>7.35</x:v>
      </x:c>
      <x:c r="I222" s="1"/>
      <x:c r="J222" s="1" t="n">
        <x:v>21.1</x:v>
      </x:c>
      <x:c r="K222" s="1" t="n">
        <x:v>1.44</x:v>
      </x:c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  <x:c r="DE222" s="1"/>
      <x:c r="DF222" s="1"/>
      <x:c r="DG222" s="1"/>
      <x:c r="DH222" s="1"/>
      <x:c r="DI222" s="1"/>
      <x:c r="DJ222" s="1"/>
      <x:c r="DK222" s="1"/>
      <x:c r="DL222" s="1"/>
      <x:c r="DM222" s="1"/>
    </x:row>
    <x:row r="223" ht="23" customHeight="1">
      <x:c r="A223" s="1" t="n">
        <x:v>218</x:v>
      </x:c>
      <x:c r="B223" s="1" t="str">
        <x:v>庚酸丁酯</x:v>
      </x:c>
      <x:c r="C223" s="1" t="str">
        <x:v>5454-28-4</x:v>
      </x:c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 t="n">
        <x:v>15740</x:v>
      </x:c>
      <x:c r="O223" s="1" t="n">
        <x:v>5481</x:v>
      </x:c>
      <x:c r="P223" s="1" t="n">
        <x:v>5481</x:v>
      </x:c>
      <x:c r="Q223" s="1" t="n">
        <x:v>4652</x:v>
      </x:c>
      <x:c r="R223" s="1" t="n">
        <x:v>5758</x:v>
      </x:c>
      <x:c r="S223" s="1" t="n">
        <x:v>5205</x:v>
      </x:c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 t="n">
        <x:v>2.4</x:v>
      </x:c>
      <x:c r="AR223" s="1" t="n">
        <x:v>1.84</x:v>
      </x:c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  <x:c r="DE223" s="1"/>
      <x:c r="DF223" s="1"/>
      <x:c r="DG223" s="1"/>
      <x:c r="DH223" s="1"/>
      <x:c r="DI223" s="1"/>
      <x:c r="DJ223" s="1"/>
      <x:c r="DK223" s="1"/>
      <x:c r="DL223" s="1"/>
      <x:c r="DM223" s="1"/>
    </x:row>
    <x:row r="224" ht="23" customHeight="1">
      <x:c r="A224" s="1" t="n">
        <x:v>219</x:v>
      </x:c>
      <x:c r="B224" s="1" t="str">
        <x:v>辛酸异丁酯</x:v>
      </x:c>
      <x:c r="C224" s="1" t="str">
        <x:v>5461-06-3</x:v>
      </x:c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 t="n">
        <x:v>1066</x:v>
      </x:c>
      <x:c r="O224" s="1" t="n">
        <x:v>1164</x:v>
      </x:c>
      <x:c r="P224" s="1" t="n">
        <x:v>1225</x:v>
      </x:c>
      <x:c r="Q224" s="1" t="n">
        <x:v>947</x:v>
      </x:c>
      <x:c r="R224" s="1" t="n">
        <x:v>953</x:v>
      </x:c>
      <x:c r="S224" s="1" t="n">
        <x:v>1117</x:v>
      </x:c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  <x:c r="DE224" s="1"/>
      <x:c r="DF224" s="1"/>
      <x:c r="DG224" s="1"/>
      <x:c r="DH224" s="1"/>
      <x:c r="DI224" s="1"/>
      <x:c r="DJ224" s="1"/>
      <x:c r="DK224" s="1"/>
      <x:c r="DL224" s="1"/>
      <x:c r="DM224" s="1"/>
    </x:row>
    <x:row r="225" ht="23" customHeight="1">
      <x:c r="A225" s="1" t="n">
        <x:v>220</x:v>
      </x:c>
      <x:c r="B225" s="1" t="str">
        <x:v>3-甲基戊酸乙酯</x:v>
      </x:c>
      <x:c r="C225" s="1" t="str">
        <x:v>5870-68-8</x:v>
      </x:c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 t="n">
        <x:v>8.11</x:v>
      </x:c>
      <x:c r="AR225" s="1" t="n">
        <x:v>4.35</x:v>
      </x:c>
      <x:c r="AS225" s="1" t="n">
        <x:v>4.56</x:v>
      </x:c>
      <x:c r="AT225" s="1" t="n">
        <x:v>5.26</x:v>
      </x:c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  <x:c r="DE225" s="1"/>
      <x:c r="DF225" s="1"/>
      <x:c r="DG225" s="1"/>
      <x:c r="DH225" s="1"/>
      <x:c r="DI225" s="1"/>
      <x:c r="DJ225" s="1"/>
      <x:c r="DK225" s="1"/>
      <x:c r="DL225" s="1"/>
      <x:c r="DM225" s="1"/>
    </x:row>
    <x:row r="226" ht="23" customHeight="1">
      <x:c r="A226" s="1" t="n">
        <x:v>221</x:v>
      </x:c>
      <x:c r="B226" s="1"/>
      <x:c r="C226" s="1" t="str">
        <x:v>5941-48-0</x:v>
      </x:c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 t="n">
        <x:v>1498</x:v>
      </x:c>
      <x:c r="O226" s="1" t="n">
        <x:v>1663</x:v>
      </x:c>
      <x:c r="P226" s="1" t="n">
        <x:v>1070</x:v>
      </x:c>
      <x:c r="Q226" s="1" t="n">
        <x:v>666</x:v>
      </x:c>
      <x:c r="R226" s="1" t="n">
        <x:v>554</x:v>
      </x:c>
      <x:c r="S226" s="1" t="n">
        <x:v>1117</x:v>
      </x:c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  <x:c r="DE226" s="1"/>
      <x:c r="DF226" s="1"/>
      <x:c r="DG226" s="1"/>
      <x:c r="DH226" s="1"/>
      <x:c r="DI226" s="1"/>
      <x:c r="DJ226" s="1"/>
      <x:c r="DK226" s="1"/>
      <x:c r="DL226" s="1"/>
      <x:c r="DM226" s="1"/>
    </x:row>
    <x:row r="227" ht="23" customHeight="1">
      <x:c r="A227" s="1" t="n">
        <x:v>222</x:v>
      </x:c>
      <x:c r="B227" s="1"/>
      <x:c r="C227" s="1" t="str">
        <x:v>6008-27-1</x:v>
      </x:c>
      <x:c r="D227" s="1" t="n">
        <x:v>90.7</x:v>
      </x:c>
      <x:c r="E227" s="1" t="n">
        <x:v>59</x:v>
      </x:c>
      <x:c r="F227" s="1" t="n">
        <x:v>129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  <x:c r="DE227" s="1"/>
      <x:c r="DF227" s="1"/>
      <x:c r="DG227" s="1"/>
      <x:c r="DH227" s="1"/>
      <x:c r="DI227" s="1"/>
      <x:c r="DJ227" s="1"/>
      <x:c r="DK227" s="1"/>
      <x:c r="DL227" s="1"/>
      <x:c r="DM227" s="1"/>
    </x:row>
    <x:row r="228" ht="23" customHeight="1">
      <x:c r="A228" s="1" t="n">
        <x:v>223</x:v>
      </x:c>
      <x:c r="B228" s="1" t="str">
        <x:v>2-戊醇</x:v>
      </x:c>
      <x:c r="C228" s="1" t="str">
        <x:v>6032-29-7</x:v>
      </x:c>
      <x:c r="D228" s="1" t="n">
        <x:v>194313</x:v>
      </x:c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 t="n">
        <x:v>0</x:v>
      </x:c>
      <x:c r="U228" s="1" t="n">
        <x:v>0</x:v>
      </x:c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 t="n">
        <x:v>35640</x:v>
      </x:c>
      <x:c r="AF228" s="1"/>
      <x:c r="AG228" s="1"/>
      <x:c r="AH228" s="1"/>
      <x:c r="AI228" s="1"/>
      <x:c r="AJ228" s="1"/>
      <x:c r="AK228" s="1" t="n">
        <x:v>126820</x:v>
      </x:c>
      <x:c r="AL228" s="1" t="n">
        <x:v>209250</x:v>
      </x:c>
      <x:c r="AM228" s="1"/>
      <x:c r="AN228" s="1"/>
      <x:c r="AO228" s="1"/>
      <x:c r="AP228" s="1"/>
      <x:c r="AQ228" s="1"/>
      <x:c r="AR228" s="1" t="n">
        <x:v>12.16</x:v>
      </x:c>
      <x:c r="AS228" s="1" t="n">
        <x:v>22.45</x:v>
      </x:c>
      <x:c r="AT228" s="1" t="n">
        <x:v>18.03</x:v>
      </x:c>
      <x:c r="AU228" s="1"/>
      <x:c r="AV228" s="1"/>
      <x:c r="AW228" s="1"/>
      <x:c r="AX228" s="1"/>
      <x:c r="AY228" s="1"/>
      <x:c r="AZ228" s="1"/>
      <x:c r="BA228" s="1"/>
      <x:c r="BB228" s="1" t="n">
        <x:v>8.07</x:v>
      </x:c>
      <x:c r="BC228" s="1"/>
      <x:c r="BD228" s="1" t="n">
        <x:v>10.57</x:v>
      </x:c>
      <x:c r="BE228" s="1" t="n">
        <x:v>27.85</x:v>
      </x:c>
      <x:c r="BF228" s="1" t="n">
        <x:v>21.82</x:v>
      </x:c>
      <x:c r="BG228" s="1" t="n">
        <x:v>7.76</x:v>
      </x:c>
      <x:c r="BH228" s="1" t="n">
        <x:v>25.95</x:v>
      </x:c>
      <x:c r="BI228" s="1" t="n">
        <x:v>8.03</x:v>
      </x:c>
      <x:c r="BJ228" s="1" t="n">
        <x:v>23.53</x:v>
      </x:c>
      <x:c r="BK228" s="1" t="n">
        <x:v>44.21</x:v>
      </x:c>
      <x:c r="BL228" s="1" t="n">
        <x:v>51.15</x:v>
      </x:c>
      <x:c r="BM228" s="1" t="n">
        <x:v>55.87</x:v>
      </x:c>
      <x:c r="BN228" s="1" t="n">
        <x:v>45.27</x:v>
      </x:c>
      <x:c r="BO228" s="1" t="n">
        <x:v>53.22</x:v>
      </x:c>
      <x:c r="BP228" s="1" t="n">
        <x:v>115.82</x:v>
      </x:c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 t="n">
        <x:v>7458.98</x:v>
      </x:c>
      <x:c r="CA228" s="1" t="n">
        <x:v>3661.9</x:v>
      </x:c>
      <x:c r="CB228" s="1" t="n">
        <x:v>2108.3</x:v>
      </x:c>
      <x:c r="CC228" s="1" t="n">
        <x:v>1151.04</x:v>
      </x:c>
      <x:c r="CD228" s="1" t="n">
        <x:v>7028.02</x:v>
      </x:c>
      <x:c r="CE228" s="1" t="n">
        <x:v>11439.68</x:v>
      </x:c>
      <x:c r="CF228" s="1" t="n">
        <x:v>6757.32</x:v>
      </x:c>
      <x:c r="CG228" s="1" t="n">
        <x:v>2445.25</x:v>
      </x:c>
      <x:c r="CH228" s="1" t="n">
        <x:v>393.18</x:v>
      </x:c>
      <x:c r="CI228" s="1" t="n">
        <x:v>5236.81</x:v>
      </x:c>
      <x:c r="CJ228" s="1" t="n">
        <x:v>7801.27</x:v>
      </x:c>
      <x:c r="CK228" s="1" t="n">
        <x:v>8040.38</x:v>
      </x:c>
      <x:c r="CL228" s="1" t="n">
        <x:v>2392.48</x:v>
      </x:c>
      <x:c r="CM228" s="1" t="n">
        <x:v>5691.34</x:v>
      </x:c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 t="n">
        <x:v>12429.71</x:v>
      </x:c>
      <x:c r="CY228" s="1" t="n">
        <x:v>19238.05</x:v>
      </x:c>
      <x:c r="CZ228" s="1" t="n">
        <x:v>14944.56</x:v>
      </x:c>
      <x:c r="DA228" s="1" t="n">
        <x:v>9684.41</x:v>
      </x:c>
      <x:c r="DB228" s="1" t="n">
        <x:v>14892.51</x:v>
      </x:c>
      <x:c r="DC228" s="1" t="n">
        <x:v>5208.4</x:v>
      </x:c>
      <x:c r="DD228" s="1" t="n">
        <x:v>15171.63</x:v>
      </x:c>
      <x:c r="DE228" s="1" t="n">
        <x:v>12194.49</x:v>
      </x:c>
      <x:c r="DF228" s="1" t="n">
        <x:v>13582.66</x:v>
      </x:c>
      <x:c r="DG228" s="1" t="n">
        <x:v>15260.89</x:v>
      </x:c>
      <x:c r="DH228" s="1" t="n">
        <x:v>12574.64</x:v>
      </x:c>
      <x:c r="DI228" s="1" t="n">
        <x:v>9998.72</x:v>
      </x:c>
      <x:c r="DJ228" s="1" t="n">
        <x:v>25381.23</x:v>
      </x:c>
      <x:c r="DK228" s="1" t="n">
        <x:v>13139.77</x:v>
      </x:c>
      <x:c r="DL228" s="1" t="n">
        <x:v>23440.22</x:v>
      </x:c>
      <x:c r="DM228" s="1" t="n">
        <x:v>13648.13</x:v>
      </x:c>
    </x:row>
    <x:row r="229" ht="23" customHeight="1">
      <x:c r="A229" s="1" t="n">
        <x:v>224</x:v>
      </x:c>
      <x:c r="B229" s="1"/>
      <x:c r="C229" s="1" t="str">
        <x:v>6114-18-7</x:v>
      </x:c>
      <x:c r="D229" s="1"/>
      <x:c r="E229" s="1"/>
      <x:c r="F229" s="1"/>
      <x:c r="G229" s="1"/>
      <x:c r="H229" s="1"/>
      <x:c r="I229" s="1"/>
      <x:c r="J229" s="1" t="n">
        <x:v>1.76</x:v>
      </x:c>
      <x:c r="K229" s="1" t="n">
        <x:v>0.23</x:v>
      </x:c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  <x:c r="DE229" s="1"/>
      <x:c r="DF229" s="1"/>
      <x:c r="DG229" s="1"/>
      <x:c r="DH229" s="1"/>
      <x:c r="DI229" s="1"/>
      <x:c r="DJ229" s="1"/>
      <x:c r="DK229" s="1"/>
      <x:c r="DL229" s="1"/>
      <x:c r="DM229" s="1"/>
    </x:row>
    <x:row r="230" ht="23" customHeight="1">
      <x:c r="A230" s="1" t="n">
        <x:v>225</x:v>
      </x:c>
      <x:c r="B230" s="1" t="str">
        <x:v>己酸-2-苯乙酯</x:v>
      </x:c>
      <x:c r="C230" s="1" t="str">
        <x:v>6290-37-5</x:v>
      </x:c>
      <x:c r="D230" s="1" t="n">
        <x:v>94.34</x:v>
      </x:c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 t="n">
        <x:v>33</x:v>
      </x:c>
      <x:c r="BA230" s="1"/>
      <x:c r="BB230" s="1"/>
      <x:c r="BC230" s="1"/>
      <x:c r="BD230" s="1" t="n">
        <x:v>27.64</x:v>
      </x:c>
      <x:c r="BE230" s="1" t="n">
        <x:v>57.55</x:v>
      </x:c>
      <x:c r="BF230" s="1" t="n">
        <x:v>60.47</x:v>
      </x:c>
      <x:c r="BG230" s="1" t="n">
        <x:v>29.84</x:v>
      </x:c>
      <x:c r="BH230" s="1"/>
      <x:c r="BI230" s="1" t="n">
        <x:v>28.75</x:v>
      </x:c>
      <x:c r="BJ230" s="1"/>
      <x:c r="BK230" s="1" t="n">
        <x:v>50.34</x:v>
      </x:c>
      <x:c r="BL230" s="1" t="n">
        <x:v>66.36</x:v>
      </x:c>
      <x:c r="BM230" s="1" t="n">
        <x:v>87.74</x:v>
      </x:c>
      <x:c r="BN230" s="1" t="n">
        <x:v>63.43</x:v>
      </x:c>
      <x:c r="BO230" s="1" t="n">
        <x:v>77.43</x:v>
      </x:c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 t="n">
        <x:v>296.895</x:v>
      </x:c>
      <x:c r="CA230" s="1" t="n">
        <x:v>257.65</x:v>
      </x:c>
      <x:c r="CB230" s="1" t="n">
        <x:v>253.52</x:v>
      </x:c>
      <x:c r="CC230" s="1" t="n">
        <x:v>233.91</x:v>
      </x:c>
      <x:c r="CD230" s="1" t="n">
        <x:v>415.56</x:v>
      </x:c>
      <x:c r="CE230" s="1" t="n">
        <x:v>349.12</x:v>
      </x:c>
      <x:c r="CF230" s="1" t="n">
        <x:v>849.34</x:v>
      </x:c>
      <x:c r="CG230" s="1" t="n">
        <x:v>6.22</x:v>
      </x:c>
      <x:c r="CH230" s="1" t="n">
        <x:v>2.95</x:v>
      </x:c>
      <x:c r="CI230" s="1" t="n">
        <x:v>1159.39</x:v>
      </x:c>
      <x:c r="CJ230" s="1" t="n">
        <x:v>1118.08</x:v>
      </x:c>
      <x:c r="CK230" s="1" t="n">
        <x:v>1644.7</x:v>
      </x:c>
      <x:c r="CL230" s="1" t="n">
        <x:v>826.28</x:v>
      </x:c>
      <x:c r="CM230" s="1" t="n">
        <x:v>653.9</x:v>
      </x:c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  <x:c r="DE230" s="1"/>
      <x:c r="DF230" s="1"/>
      <x:c r="DG230" s="1"/>
      <x:c r="DH230" s="1"/>
      <x:c r="DI230" s="1"/>
      <x:c r="DJ230" s="1"/>
      <x:c r="DK230" s="1"/>
      <x:c r="DL230" s="1"/>
      <x:c r="DM230" s="1"/>
    </x:row>
    <x:row r="231" ht="23" customHeight="1">
      <x:c r="A231" s="1" t="n">
        <x:v>226</x:v>
      </x:c>
      <x:c r="B231" s="1"/>
      <x:c r="C231" s="1" t="str">
        <x:v>6314-97-2</x:v>
      </x:c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 t="n">
        <x:v>634</x:v>
      </x:c>
      <x:c r="O231" s="1" t="n">
        <x:v>1446</x:v>
      </x:c>
      <x:c r="P231" s="1" t="n">
        <x:v>1925</x:v>
      </x:c>
      <x:c r="Q231" s="1" t="n">
        <x:v>1556</x:v>
      </x:c>
      <x:c r="R231" s="1" t="n">
        <x:v>1597</x:v>
      </x:c>
      <x:c r="S231" s="1" t="n">
        <x:v>1342</x:v>
      </x:c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  <x:c r="DE231" s="1"/>
      <x:c r="DF231" s="1"/>
      <x:c r="DG231" s="1"/>
      <x:c r="DH231" s="1"/>
      <x:c r="DI231" s="1"/>
      <x:c r="DJ231" s="1"/>
      <x:c r="DK231" s="1"/>
      <x:c r="DL231" s="1"/>
      <x:c r="DM231" s="1"/>
    </x:row>
    <x:row r="232" ht="23" customHeight="1">
      <x:c r="A232" s="1" t="n">
        <x:v>227</x:v>
      </x:c>
      <x:c r="B232" s="1" t="str">
        <x:v>己酸己酯</x:v>
      </x:c>
      <x:c r="C232" s="1" t="str">
        <x:v>6378-65-0</x:v>
      </x:c>
      <x:c r="D232" s="1" t="n">
        <x:v>1891</x:v>
      </x:c>
      <x:c r="E232" s="1" t="n">
        <x:v>146</x:v>
      </x:c>
      <x:c r="F232" s="1" t="n">
        <x:v>28416</x:v>
      </x:c>
      <x:c r="G232" s="1" t="n">
        <x:v>40.12</x:v>
      </x:c>
      <x:c r="H232" s="1" t="n">
        <x:v>54.57</x:v>
      </x:c>
      <x:c r="I232" s="1" t="n">
        <x:v>39.16</x:v>
      </x:c>
      <x:c r="J232" s="1" t="n">
        <x:v>58.38</x:v>
      </x:c>
      <x:c r="K232" s="1" t="n">
        <x:v>15.05</x:v>
      </x:c>
      <x:c r="L232" s="1"/>
      <x:c r="M232" s="1"/>
      <x:c r="N232" s="1" t="n">
        <x:v>193759</x:v>
      </x:c>
      <x:c r="O232" s="1" t="n">
        <x:v>170265</x:v>
      </x:c>
      <x:c r="P232" s="1" t="n">
        <x:v>155251</x:v>
      </x:c>
      <x:c r="Q232" s="1" t="n">
        <x:v>118620</x:v>
      </x:c>
      <x:c r="R232" s="1" t="n">
        <x:v>133816</x:v>
      </x:c>
      <x:c r="S232" s="1" t="n">
        <x:v>130156</x:v>
      </x:c>
      <x:c r="T232" s="1" t="n">
        <x:v>27</x:v>
      </x:c>
      <x:c r="U232" s="1" t="n">
        <x:v>20</x:v>
      </x:c>
      <x:c r="V232" s="1"/>
      <x:c r="W232" s="1" t="n">
        <x:v>16800</x:v>
      </x:c>
      <x:c r="X232" s="1" t="n">
        <x:v>11600</x:v>
      </x:c>
      <x:c r="Y232" s="1" t="n">
        <x:v>24400</x:v>
      </x:c>
      <x:c r="Z232" s="1" t="n">
        <x:v>42700</x:v>
      </x:c>
      <x:c r="AA232" s="1" t="n">
        <x:v>60400</x:v>
      </x:c>
      <x:c r="AB232" s="1" t="n">
        <x:v>110000</x:v>
      </x:c>
      <x:c r="AC232" s="1" t="n">
        <x:v>123000</x:v>
      </x:c>
      <x:c r="AD232" s="1" t="n">
        <x:v>129000</x:v>
      </x:c>
      <x:c r="AE232" s="1"/>
      <x:c r="AF232" s="1"/>
      <x:c r="AG232" s="1"/>
      <x:c r="AH232" s="1"/>
      <x:c r="AI232" s="1"/>
      <x:c r="AJ232" s="1"/>
      <x:c r="AK232" s="1" t="n">
        <x:v>2890</x:v>
      </x:c>
      <x:c r="AL232" s="1" t="n">
        <x:v>2710</x:v>
      </x:c>
      <x:c r="AM232" s="1" t="n">
        <x:v>37950</x:v>
      </x:c>
      <x:c r="AN232" s="1" t="n">
        <x:v>2740</x:v>
      </x:c>
      <x:c r="AO232" s="1" t="n">
        <x:v>3520</x:v>
      </x:c>
      <x:c r="AP232" s="1" t="n">
        <x:v>23070</x:v>
      </x:c>
      <x:c r="AQ232" s="1" t="n">
        <x:v>87.72</x:v>
      </x:c>
      <x:c r="AR232" s="1" t="n">
        <x:v>52.3</x:v>
      </x:c>
      <x:c r="AS232" s="1" t="n">
        <x:v>13.12</x:v>
      </x:c>
      <x:c r="AT232" s="1" t="n">
        <x:v>15.44</x:v>
      </x:c>
      <x:c r="AU232" s="1"/>
      <x:c r="AV232" s="1"/>
      <x:c r="AW232" s="1"/>
      <x:c r="AX232" s="1"/>
      <x:c r="AY232" s="1"/>
      <x:c r="AZ232" s="1"/>
      <x:c r="BA232" s="1"/>
      <x:c r="BB232" s="1" t="n">
        <x:v>3.83</x:v>
      </x:c>
      <x:c r="BC232" s="1" t="n">
        <x:v>2.5</x:v>
      </x:c>
      <x:c r="BD232" s="1" t="n">
        <x:v>1596.9</x:v>
      </x:c>
      <x:c r="BE232" s="1" t="n">
        <x:v>2319.5</x:v>
      </x:c>
      <x:c r="BF232" s="1" t="n">
        <x:v>3030.17</x:v>
      </x:c>
      <x:c r="BG232" s="1" t="n">
        <x:v>1053</x:v>
      </x:c>
      <x:c r="BH232" s="1" t="n">
        <x:v>26.98</x:v>
      </x:c>
      <x:c r="BI232" s="1" t="n">
        <x:v>997.01</x:v>
      </x:c>
      <x:c r="BJ232" s="1" t="n">
        <x:v>3.49</x:v>
      </x:c>
      <x:c r="BK232" s="1" t="n">
        <x:v>17.21</x:v>
      </x:c>
      <x:c r="BL232" s="1" t="n">
        <x:v>23.28</x:v>
      </x:c>
      <x:c r="BM232" s="1" t="n">
        <x:v>21.33</x:v>
      </x:c>
      <x:c r="BN232" s="1" t="n">
        <x:v>20.26</x:v>
      </x:c>
      <x:c r="BO232" s="1" t="n">
        <x:v>28.15</x:v>
      </x:c>
      <x:c r="BP232" s="1" t="n">
        <x:v>4.47</x:v>
      </x:c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 t="n">
        <x:v>5078.7267</x:v>
      </x:c>
      <x:c r="CA232" s="1" t="n">
        <x:v>4687.6333</x:v>
      </x:c>
      <x:c r="CB232" s="1" t="n">
        <x:v>6437.79</x:v>
      </x:c>
      <x:c r="CC232" s="1" t="n">
        <x:v>3964.57</x:v>
      </x:c>
      <x:c r="CD232" s="1" t="n">
        <x:v>13587.34</x:v>
      </x:c>
      <x:c r="CE232" s="1" t="n">
        <x:v>5944.8</x:v>
      </x:c>
      <x:c r="CF232" s="1" t="n">
        <x:v>14913.66</x:v>
      </x:c>
      <x:c r="CG232" s="1" t="n">
        <x:v>2111.38</x:v>
      </x:c>
      <x:c r="CH232" s="1" t="n">
        <x:v>1467.24</x:v>
      </x:c>
      <x:c r="CI232" s="1" t="n">
        <x:v>22385.5</x:v>
      </x:c>
      <x:c r="CJ232" s="1" t="n">
        <x:v>49589.17</x:v>
      </x:c>
      <x:c r="CK232" s="1" t="n">
        <x:v>47099.9</x:v>
      </x:c>
      <x:c r="CL232" s="1" t="n">
        <x:v>18766.17</x:v>
      </x:c>
      <x:c r="CM232" s="1" t="n">
        <x:v>16632.01</x:v>
      </x:c>
      <x:c r="CN232" s="1" t="n">
        <x:v>4369</x:v>
      </x:c>
      <x:c r="CO232" s="1" t="n">
        <x:v>8356</x:v>
      </x:c>
      <x:c r="CP232" s="1" t="n">
        <x:v>6522</x:v>
      </x:c>
      <x:c r="CQ232" s="1" t="n">
        <x:v>9375</x:v>
      </x:c>
      <x:c r="CR232" s="1"/>
      <x:c r="CS232" s="1"/>
      <x:c r="CT232" s="1" t="n">
        <x:v>1723.85</x:v>
      </x:c>
      <x:c r="CU232" s="1" t="n">
        <x:v>466.19</x:v>
      </x:c>
      <x:c r="CV232" s="1" t="n">
        <x:v>1295.2</x:v>
      </x:c>
      <x:c r="CW232" s="1" t="n">
        <x:v>798.25</x:v>
      </x:c>
      <x:c r="CX232" s="1" t="n">
        <x:v>49144.44</x:v>
      </x:c>
      <x:c r="CY232" s="1" t="n">
        <x:v>7646.02</x:v>
      </x:c>
      <x:c r="CZ232" s="1" t="n">
        <x:v>12965.8</x:v>
      </x:c>
      <x:c r="DA232" s="1" t="n">
        <x:v>31239.62</x:v>
      </x:c>
      <x:c r="DB232" s="1" t="n">
        <x:v>6445.45</x:v>
      </x:c>
      <x:c r="DC232" s="1" t="n">
        <x:v>25845.63</x:v>
      </x:c>
      <x:c r="DD232" s="1" t="n">
        <x:v>32284.99</x:v>
      </x:c>
      <x:c r="DE232" s="1" t="n">
        <x:v>31295.98</x:v>
      </x:c>
      <x:c r="DF232" s="1" t="n">
        <x:v>20134.13</x:v>
      </x:c>
      <x:c r="DG232" s="1" t="n">
        <x:v>24861.8</x:v>
      </x:c>
      <x:c r="DH232" s="1" t="n">
        <x:v>24509.07</x:v>
      </x:c>
      <x:c r="DI232" s="1" t="n">
        <x:v>28724.84</x:v>
      </x:c>
      <x:c r="DJ232" s="1" t="n">
        <x:v>22125.93</x:v>
      </x:c>
      <x:c r="DK232" s="1" t="n">
        <x:v>21406.87</x:v>
      </x:c>
      <x:c r="DL232" s="1" t="n">
        <x:v>29482.28</x:v>
      </x:c>
      <x:c r="DM232" s="1" t="n">
        <x:v>11763.95</x:v>
      </x:c>
    </x:row>
    <x:row r="233" ht="23" customHeight="1">
      <x:c r="A233" s="1" t="n">
        <x:v>228</x:v>
      </x:c>
      <x:c r="B233" s="1"/>
      <x:c r="C233" s="1" t="str">
        <x:v>6920-72-5</x:v>
      </x:c>
      <x:c r="D233" s="1"/>
      <x:c r="E233" s="1"/>
      <x:c r="F233" s="1"/>
      <x:c r="G233" s="1"/>
      <x:c r="H233" s="1"/>
      <x:c r="I233" s="1"/>
      <x:c r="J233" s="1" t="n">
        <x:v>2.56</x:v>
      </x:c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  <x:c r="DE233" s="1"/>
      <x:c r="DF233" s="1"/>
      <x:c r="DG233" s="1"/>
      <x:c r="DH233" s="1"/>
      <x:c r="DI233" s="1"/>
      <x:c r="DJ233" s="1"/>
      <x:c r="DK233" s="1"/>
      <x:c r="DL233" s="1"/>
      <x:c r="DM233" s="1"/>
    </x:row>
    <x:row r="234" ht="23" customHeight="1">
      <x:c r="A234" s="1" t="n">
        <x:v>229</x:v>
      </x:c>
      <x:c r="B234" s="1"/>
      <x:c r="C234" s="1" t="str">
        <x:v>6976-72-3</x:v>
      </x:c>
      <x:c r="D234" s="1"/>
      <x:c r="E234" s="1"/>
      <x:c r="F234" s="1"/>
      <x:c r="G234" s="1"/>
      <x:c r="H234" s="1"/>
      <x:c r="I234" s="1" t="n">
        <x:v>1.93</x:v>
      </x:c>
      <x:c r="J234" s="1" t="n">
        <x:v>4.64</x:v>
      </x:c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  <x:c r="DE234" s="1"/>
      <x:c r="DF234" s="1"/>
      <x:c r="DG234" s="1"/>
      <x:c r="DH234" s="1"/>
      <x:c r="DI234" s="1"/>
      <x:c r="DJ234" s="1"/>
      <x:c r="DK234" s="1"/>
      <x:c r="DL234" s="1"/>
      <x:c r="DM234" s="1"/>
    </x:row>
    <x:row r="235" ht="23" customHeight="1">
      <x:c r="A235" s="1" t="n">
        <x:v>230</x:v>
      </x:c>
      <x:c r="B235" s="1"/>
      <x:c r="C235" s="1" t="str">
        <x:v>7367-88-6</x:v>
      </x:c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 t="n">
        <x:v>496</x:v>
      </x:c>
      <x:c r="O235" s="1" t="n">
        <x:v>385</x:v>
      </x:c>
      <x:c r="P235" s="1" t="n">
        <x:v>458</x:v>
      </x:c>
      <x:c r="Q235" s="1" t="n">
        <x:v>353</x:v>
      </x:c>
      <x:c r="R235" s="1" t="n">
        <x:v>370</x:v>
      </x:c>
      <x:c r="S235" s="1" t="n">
        <x:v>413</x:v>
      </x:c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  <x:c r="DE235" s="1"/>
      <x:c r="DF235" s="1"/>
      <x:c r="DG235" s="1"/>
      <x:c r="DH235" s="1"/>
      <x:c r="DI235" s="1"/>
      <x:c r="DJ235" s="1"/>
      <x:c r="DK235" s="1"/>
      <x:c r="DL235" s="1"/>
      <x:c r="DM235" s="1"/>
    </x:row>
    <x:row r="236" ht="23" customHeight="1">
      <x:c r="A236" s="1" t="n">
        <x:v>231</x:v>
      </x:c>
      <x:c r="B236" s="1"/>
      <x:c r="C236" s="1" t="str">
        <x:v>7378-89-4</x:v>
      </x:c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 t="n">
        <x:v>238</x:v>
      </x:c>
      <x:c r="P236" s="1" t="n">
        <x:v>363</x:v>
      </x:c>
      <x:c r="Q236" s="1" t="n">
        <x:v>90</x:v>
      </x:c>
      <x:c r="R236" s="1" t="n">
        <x:v>174</x:v>
      </x:c>
      <x:c r="S236" s="1" t="n">
        <x:v>158</x:v>
      </x:c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  <x:c r="DE236" s="1"/>
      <x:c r="DF236" s="1"/>
      <x:c r="DG236" s="1"/>
      <x:c r="DH236" s="1"/>
      <x:c r="DI236" s="1"/>
      <x:c r="DJ236" s="1"/>
      <x:c r="DK236" s="1"/>
      <x:c r="DL236" s="1"/>
      <x:c r="DM236" s="1"/>
    </x:row>
    <x:row r="237" ht="23" customHeight="1">
      <x:c r="A237" s="1" t="n">
        <x:v>232</x:v>
      </x:c>
      <x:c r="B237" s="1" t="str">
        <x:v>2-甲基丁酸乙酯</x:v>
      </x:c>
      <x:c r="C237" s="1" t="str">
        <x:v>7452-79-1</x:v>
      </x:c>
      <x:c r="D237" s="1" t="n">
        <x:v>18</x:v>
      </x:c>
      <x:c r="E237" s="1" t="n">
        <x:v>819</x:v>
      </x:c>
      <x:c r="F237" s="1" t="n">
        <x:v>863</x:v>
      </x:c>
      <x:c r="G237" s="1"/>
      <x:c r="H237" s="1"/>
      <x:c r="I237" s="1"/>
      <x:c r="J237" s="1"/>
      <x:c r="K237" s="1"/>
      <x:c r="L237" s="1"/>
      <x:c r="M237" s="1"/>
      <x:c r="N237" s="1" t="n">
        <x:v>809</x:v>
      </x:c>
      <x:c r="O237" s="1" t="n">
        <x:v>1369</x:v>
      </x:c>
      <x:c r="P237" s="1" t="n">
        <x:v>621</x:v>
      </x:c>
      <x:c r="Q237" s="1" t="n">
        <x:v>997</x:v>
      </x:c>
      <x:c r="R237" s="1" t="n">
        <x:v>201</x:v>
      </x:c>
      <x:c r="S237" s="1" t="n">
        <x:v>1611</x:v>
      </x:c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 t="n">
        <x:v>12.62</x:v>
      </x:c>
      <x:c r="AR237" s="1" t="n">
        <x:v>2.99</x:v>
      </x:c>
      <x:c r="AS237" s="1" t="n">
        <x:v>3.94</x:v>
      </x:c>
      <x:c r="AT237" s="1" t="n">
        <x:v>7.98</x:v>
      </x:c>
      <x:c r="AU237" s="1" t="n">
        <x:v>0.97</x:v>
      </x:c>
      <x:c r="AV237" s="1"/>
      <x:c r="AW237" s="1"/>
      <x:c r="AX237" s="1"/>
      <x:c r="AY237" s="1"/>
      <x:c r="AZ237" s="1" t="n">
        <x:v>464</x:v>
      </x:c>
      <x:c r="BA237" s="1" t="n">
        <x:v>530</x:v>
      </x:c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 t="n">
        <x:v>258</x:v>
      </x:c>
      <x:c r="CO237" s="1" t="n">
        <x:v>931</x:v>
      </x:c>
      <x:c r="CP237" s="1" t="n">
        <x:v>336</x:v>
      </x:c>
      <x:c r="CQ237" s="1" t="n">
        <x:v>340</x:v>
      </x:c>
      <x:c r="CR237" s="1"/>
      <x:c r="CS237" s="1"/>
      <x:c r="CT237" s="1"/>
      <x:c r="CU237" s="1"/>
      <x:c r="CV237" s="1"/>
      <x:c r="CW237" s="1"/>
      <x:c r="CX237" s="1" t="n">
        <x:v>224.66</x:v>
      </x:c>
      <x:c r="CY237" s="1" t="n">
        <x:v>914.27</x:v>
      </x:c>
      <x:c r="CZ237" s="1" t="n">
        <x:v>518.24</x:v>
      </x:c>
      <x:c r="DA237" s="1" t="n">
        <x:v>282.06</x:v>
      </x:c>
      <x:c r="DB237" s="1" t="n">
        <x:v>711.61</x:v>
      </x:c>
      <x:c r="DC237" s="1" t="n">
        <x:v>110.44</x:v>
      </x:c>
      <x:c r="DD237" s="1" t="n">
        <x:v>1064.95</x:v>
      </x:c>
      <x:c r="DE237" s="1" t="n">
        <x:v>181.5</x:v>
      </x:c>
      <x:c r="DF237" s="1" t="n">
        <x:v>1254.92</x:v>
      </x:c>
      <x:c r="DG237" s="1" t="n">
        <x:v>236.86</x:v>
      </x:c>
      <x:c r="DH237" s="1" t="n">
        <x:v>935.47</x:v>
      </x:c>
      <x:c r="DI237" s="1" t="n">
        <x:v>178.25</x:v>
      </x:c>
      <x:c r="DJ237" s="1" t="n">
        <x:v>999.7</x:v>
      </x:c>
      <x:c r="DK237" s="1" t="n">
        <x:v>128.96</x:v>
      </x:c>
      <x:c r="DL237" s="1" t="n">
        <x:v>1161.27</x:v>
      </x:c>
      <x:c r="DM237" s="1" t="n">
        <x:v>299.93</x:v>
      </x:c>
    </x:row>
    <x:row r="238" ht="23" customHeight="1">
      <x:c r="A238" s="1" t="n">
        <x:v>233</x:v>
      </x:c>
      <x:c r="B238" s="1"/>
      <x:c r="C238" s="1" t="str">
        <x:v>7493-69-8</x:v>
      </x:c>
      <x:c r="D238" s="1"/>
      <x:c r="E238" s="1"/>
      <x:c r="F238" s="1"/>
      <x:c r="G238" s="1"/>
      <x:c r="H238" s="1" t="n">
        <x:v>2.78</x:v>
      </x:c>
      <x:c r="I238" s="1" t="n">
        <x:v>0.88</x:v>
      </x:c>
      <x:c r="J238" s="1" t="n">
        <x:v>1.99</x:v>
      </x:c>
      <x:c r="K238" s="1" t="n">
        <x:v>0.77</x:v>
      </x:c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  <x:c r="DE238" s="1"/>
      <x:c r="DF238" s="1"/>
      <x:c r="DG238" s="1"/>
      <x:c r="DH238" s="1"/>
      <x:c r="DI238" s="1"/>
      <x:c r="DJ238" s="1"/>
      <x:c r="DK238" s="1"/>
      <x:c r="DL238" s="1"/>
      <x:c r="DM238" s="1"/>
    </x:row>
    <x:row r="239" ht="23" customHeight="1">
      <x:c r="A239" s="1" t="n">
        <x:v>234</x:v>
      </x:c>
      <x:c r="B239" s="1"/>
      <x:c r="C239" s="1" t="str">
        <x:v>7779-75-1</x:v>
      </x:c>
      <x:c r="D239" s="1"/>
      <x:c r="E239" s="1"/>
      <x:c r="F239" s="1"/>
      <x:c r="G239" s="1"/>
      <x:c r="H239" s="1"/>
      <x:c r="I239" s="1"/>
      <x:c r="J239" s="1"/>
      <x:c r="K239" s="1" t="n">
        <x:v>0.04</x:v>
      </x:c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  <x:c r="DE239" s="1"/>
      <x:c r="DF239" s="1"/>
      <x:c r="DG239" s="1"/>
      <x:c r="DH239" s="1"/>
      <x:c r="DI239" s="1"/>
      <x:c r="DJ239" s="1"/>
      <x:c r="DK239" s="1"/>
      <x:c r="DL239" s="1"/>
      <x:c r="DM239" s="1"/>
    </x:row>
    <x:row r="240" ht="23" customHeight="1">
      <x:c r="A240" s="1" t="n">
        <x:v>235</x:v>
      </x:c>
      <x:c r="B240" s="1" t="str">
        <x:v>庚酸异丁酯</x:v>
      </x:c>
      <x:c r="C240" s="1" t="str">
        <x:v>7779-80-8</x:v>
      </x:c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 t="n">
        <x:v>465</x:v>
      </x:c>
      <x:c r="O240" s="1" t="n">
        <x:v>912</x:v>
      </x:c>
      <x:c r="P240" s="1" t="n">
        <x:v>365</x:v>
      </x:c>
      <x:c r="Q240" s="1" t="n">
        <x:v>770</x:v>
      </x:c>
      <x:c r="R240" s="1" t="n">
        <x:v>473</x:v>
      </x:c>
      <x:c r="S240" s="1" t="n">
        <x:v>279</x:v>
      </x:c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 t="n">
        <x:v>22.76</x:v>
      </x:c>
      <x:c r="CY240" s="1"/>
      <x:c r="CZ240" s="1"/>
      <x:c r="DA240" s="1" t="n">
        <x:v>43.12</x:v>
      </x:c>
      <x:c r="DB240" s="1" t="n">
        <x:v>0.23</x:v>
      </x:c>
      <x:c r="DC240" s="1" t="n">
        <x:v>45.94</x:v>
      </x:c>
      <x:c r="DD240" s="1" t="n">
        <x:v>3.09</x:v>
      </x:c>
      <x:c r="DE240" s="1" t="n">
        <x:v>27.41</x:v>
      </x:c>
      <x:c r="DF240" s="1" t="n">
        <x:v>1.08</x:v>
      </x:c>
      <x:c r="DG240" s="1" t="n">
        <x:v>0.33</x:v>
      </x:c>
      <x:c r="DH240" s="1" t="n">
        <x:v>3.36</x:v>
      </x:c>
      <x:c r="DI240" s="1" t="n">
        <x:v>0.23</x:v>
      </x:c>
      <x:c r="DJ240" s="1" t="n">
        <x:v>1.27</x:v>
      </x:c>
      <x:c r="DK240" s="1" t="n">
        <x:v>0.28</x:v>
      </x:c>
      <x:c r="DL240" s="1" t="n">
        <x:v>3.67</x:v>
      </x:c>
      <x:c r="DM240" s="1"/>
    </x:row>
    <x:row r="241" ht="23" customHeight="1">
      <x:c r="A241" s="1" t="n">
        <x:v>236</x:v>
      </x:c>
      <x:c r="B241" s="1" t="str">
        <x:v>4-乙烯基愈创木酚</x:v>
      </x:c>
      <x:c r="C241" s="1" t="str">
        <x:v>7786-61-0</x:v>
      </x:c>
      <x:c r="D241" s="1" t="n">
        <x:v>209</x:v>
      </x:c>
      <x:c r="E241" s="1"/>
      <x:c r="F241" s="1" t="n">
        <x:v>12</x:v>
      </x:c>
      <x:c r="G241" s="1"/>
      <x:c r="H241" s="1"/>
      <x:c r="I241" s="1"/>
      <x:c r="J241" s="1"/>
      <x:c r="K241" s="1" t="n">
        <x:v>6.48</x:v>
      </x:c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 t="n">
        <x:v>1.0833</x:v>
      </x:c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 t="n">
        <x:v>635.14</x:v>
      </x:c>
      <x:c r="CA241" s="1" t="n">
        <x:v>270.07</x:v>
      </x:c>
      <x:c r="CB241" s="1" t="n">
        <x:v>953.69</x:v>
      </x:c>
      <x:c r="CC241" s="1" t="n">
        <x:v>913.34</x:v>
      </x:c>
      <x:c r="CD241" s="1" t="n">
        <x:v>625.42</x:v>
      </x:c>
      <x:c r="CE241" s="1" t="n">
        <x:v>1244.92</x:v>
      </x:c>
      <x:c r="CF241" s="1" t="n">
        <x:v>1590.85</x:v>
      </x:c>
      <x:c r="CG241" s="1" t="n">
        <x:v>723.95</x:v>
      </x:c>
      <x:c r="CH241" s="1" t="n">
        <x:v>546.01</x:v>
      </x:c>
      <x:c r="CI241" s="1" t="n">
        <x:v>1224.43</x:v>
      </x:c>
      <x:c r="CJ241" s="1" t="n">
        <x:v>1107.29</x:v>
      </x:c>
      <x:c r="CK241" s="1" t="n">
        <x:v>1014</x:v>
      </x:c>
      <x:c r="CL241" s="1" t="n">
        <x:v>1024.08</x:v>
      </x:c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 t="n">
        <x:v>3.16</x:v>
      </x:c>
      <x:c r="CY241" s="1" t="n">
        <x:v>9.68</x:v>
      </x:c>
      <x:c r="CZ241" s="1" t="n">
        <x:v>5.74</x:v>
      </x:c>
      <x:c r="DA241" s="1" t="n">
        <x:v>3.01</x:v>
      </x:c>
      <x:c r="DB241" s="1"/>
      <x:c r="DC241" s="1" t="n">
        <x:v>3.54</x:v>
      </x:c>
      <x:c r="DD241" s="1" t="n">
        <x:v>20.76</x:v>
      </x:c>
      <x:c r="DE241" s="1" t="n">
        <x:v>5.49</x:v>
      </x:c>
      <x:c r="DF241" s="1" t="n">
        <x:v>13.98</x:v>
      </x:c>
      <x:c r="DG241" s="1" t="n">
        <x:v>3.59</x:v>
      </x:c>
      <x:c r="DH241" s="1" t="n">
        <x:v>8.37</x:v>
      </x:c>
      <x:c r="DI241" s="1" t="n">
        <x:v>2.81</x:v>
      </x:c>
      <x:c r="DJ241" s="1" t="n">
        <x:v>10.88</x:v>
      </x:c>
      <x:c r="DK241" s="1" t="n">
        <x:v>3.75</x:v>
      </x:c>
      <x:c r="DL241" s="1" t="n">
        <x:v>9.91</x:v>
      </x:c>
      <x:c r="DM241" s="1" t="n">
        <x:v>2.97</x:v>
      </x:c>
    </x:row>
    <x:row r="242" ht="23" customHeight="1">
      <x:c r="A242" s="1" t="n">
        <x:v>237</x:v>
      </x:c>
      <x:c r="B242" s="1"/>
      <x:c r="C242" s="1" t="str">
        <x:v>7789-99-3</x:v>
      </x:c>
      <x:c r="D242" s="1"/>
      <x:c r="E242" s="1"/>
      <x:c r="F242" s="1"/>
      <x:c r="G242" s="1"/>
      <x:c r="H242" s="1"/>
      <x:c r="I242" s="1"/>
      <x:c r="J242" s="1"/>
      <x:c r="K242" s="1" t="n">
        <x:v>0.25</x:v>
      </x:c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  <x:c r="DE242" s="1"/>
      <x:c r="DF242" s="1"/>
      <x:c r="DG242" s="1"/>
      <x:c r="DH242" s="1"/>
      <x:c r="DI242" s="1"/>
      <x:c r="DJ242" s="1"/>
      <x:c r="DK242" s="1"/>
      <x:c r="DL242" s="1"/>
      <x:c r="DM242" s="1"/>
    </x:row>
    <x:row r="243" ht="23" customHeight="1">
      <x:c r="A243" s="1" t="n">
        <x:v>238</x:v>
      </x:c>
      <x:c r="B243" s="1"/>
      <x:c r="C243" s="1" t="str">
        <x:v>10031-93-3</x:v>
      </x:c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 t="n">
        <x:v>845</x:v>
      </x:c>
      <x:c r="P243" s="1" t="n">
        <x:v>829</x:v>
      </x:c>
      <x:c r="Q243" s="1" t="n">
        <x:v>727</x:v>
      </x:c>
      <x:c r="R243" s="1" t="n">
        <x:v>739</x:v>
      </x:c>
      <x:c r="S243" s="1" t="n">
        <x:v>757</x:v>
      </x:c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  <x:c r="DE243" s="1"/>
      <x:c r="DF243" s="1"/>
      <x:c r="DG243" s="1"/>
      <x:c r="DH243" s="1"/>
      <x:c r="DI243" s="1"/>
      <x:c r="DJ243" s="1"/>
      <x:c r="DK243" s="1"/>
      <x:c r="DL243" s="1"/>
      <x:c r="DM243" s="1"/>
    </x:row>
    <x:row r="244" ht="23" customHeight="1">
      <x:c r="A244" s="1" t="n">
        <x:v>239</x:v>
      </x:c>
      <x:c r="B244" s="1" t="str">
        <x:v>5-甲基己酸乙酯</x:v>
      </x:c>
      <x:c r="C244" s="1" t="str">
        <x:v>10236-10-9</x:v>
      </x:c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 t="n">
        <x:v>4005</x:v>
      </x:c>
      <x:c r="O244" s="1" t="n">
        <x:v>4654</x:v>
      </x:c>
      <x:c r="P244" s="1" t="n">
        <x:v>5446</x:v>
      </x:c>
      <x:c r="Q244" s="1" t="n">
        <x:v>1536</x:v>
      </x:c>
      <x:c r="R244" s="1" t="n">
        <x:v>5301</x:v>
      </x:c>
      <x:c r="S244" s="1" t="n">
        <x:v>5090</x:v>
      </x:c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 t="n">
        <x:v>34</x:v>
      </x:c>
      <x:c r="BA244" s="1" t="n">
        <x:v>49</x:v>
      </x:c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  <x:c r="DE244" s="1"/>
      <x:c r="DF244" s="1"/>
      <x:c r="DG244" s="1"/>
      <x:c r="DH244" s="1"/>
      <x:c r="DI244" s="1"/>
      <x:c r="DJ244" s="1"/>
      <x:c r="DK244" s="1"/>
      <x:c r="DL244" s="1"/>
      <x:c r="DM244" s="1"/>
    </x:row>
    <x:row r="245" ht="23" customHeight="1">
      <x:c r="A245" s="1" t="n">
        <x:v>240</x:v>
      </x:c>
      <x:c r="B245" s="1" t="str">
        <x:v>DL-2-羟基-4-甲基戊酸乙酯</x:v>
      </x:c>
      <x:c r="C245" s="1" t="str">
        <x:v>10348-47-7</x:v>
      </x:c>
      <x:c r="D245" s="1"/>
      <x:c r="E245" s="1" t="n">
        <x:v>6739</x:v>
      </x:c>
      <x:c r="F245" s="1" t="n">
        <x:v>4268</x:v>
      </x:c>
      <x:c r="G245" s="1" t="n">
        <x:v>5.7</x:v>
      </x:c>
      <x:c r="H245" s="1" t="n">
        <x:v>125.39</x:v>
      </x:c>
      <x:c r="I245" s="1" t="n">
        <x:v>4.25</x:v>
      </x:c>
      <x:c r="J245" s="1" t="n">
        <x:v>13.66</x:v>
      </x:c>
      <x:c r="K245" s="1" t="n">
        <x:v>3.55</x:v>
      </x:c>
      <x:c r="L245" s="1" t="n">
        <x:v>3374</x:v>
      </x:c>
      <x:c r="M245" s="1" t="n">
        <x:v>4326</x:v>
      </x:c>
      <x:c r="N245" s="1" t="n">
        <x:v>2439</x:v>
      </x:c>
      <x:c r="O245" s="1" t="n">
        <x:v>3288</x:v>
      </x:c>
      <x:c r="P245" s="1" t="n">
        <x:v>3646</x:v>
      </x:c>
      <x:c r="Q245" s="1" t="n">
        <x:v>3925</x:v>
      </x:c>
      <x:c r="R245" s="1" t="n">
        <x:v>3430</x:v>
      </x:c>
      <x:c r="S245" s="1" t="n">
        <x:v>3353</x:v>
      </x:c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 t="n">
        <x:v>504.99</x:v>
      </x:c>
      <x:c r="CW245" s="1"/>
      <x:c r="CX245" s="1"/>
      <x:c r="CY245" s="1"/>
      <x:c r="CZ245" s="1"/>
      <x:c r="DA245" s="1"/>
      <x:c r="DB245" s="1"/>
      <x:c r="DC245" s="1"/>
      <x:c r="DD245" s="1"/>
      <x:c r="DE245" s="1"/>
      <x:c r="DF245" s="1"/>
      <x:c r="DG245" s="1"/>
      <x:c r="DH245" s="1"/>
      <x:c r="DI245" s="1"/>
      <x:c r="DJ245" s="1"/>
      <x:c r="DK245" s="1"/>
      <x:c r="DL245" s="1"/>
      <x:c r="DM245" s="1"/>
    </x:row>
    <x:row r="246" ht="23" customHeight="1">
      <x:c r="A246" s="1" t="n">
        <x:v>241</x:v>
      </x:c>
      <x:c r="B246" s="1"/>
      <x:c r="C246" s="1" t="str">
        <x:v>10482-56-1</x:v>
      </x:c>
      <x:c r="D246" s="1"/>
      <x:c r="E246" s="1"/>
      <x:c r="F246" s="1"/>
      <x:c r="G246" s="1"/>
      <x:c r="H246" s="1"/>
      <x:c r="I246" s="1"/>
      <x:c r="J246" s="1"/>
      <x:c r="K246" s="1" t="n">
        <x:v>0.94</x:v>
      </x:c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  <x:c r="DE246" s="1"/>
      <x:c r="DF246" s="1"/>
      <x:c r="DG246" s="1"/>
      <x:c r="DH246" s="1"/>
      <x:c r="DI246" s="1"/>
      <x:c r="DJ246" s="1"/>
      <x:c r="DK246" s="1"/>
      <x:c r="DL246" s="1"/>
      <x:c r="DM246" s="1"/>
    </x:row>
    <x:row r="247" ht="23" customHeight="1">
      <x:c r="A247" s="1" t="n">
        <x:v>242</x:v>
      </x:c>
      <x:c r="B247" s="1" t="str">
        <x:v>2,6-二乙基吡嗪</x:v>
      </x:c>
      <x:c r="C247" s="1" t="str">
        <x:v>13067-27-1</x:v>
      </x:c>
      <x:c r="D247" s="1" t="n">
        <x:v>6</x:v>
      </x:c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 t="n">
        <x:v>12.01</x:v>
      </x:c>
      <x:c r="CZ247" s="1" t="n">
        <x:v>14.84</x:v>
      </x:c>
      <x:c r="DA247" s="1"/>
      <x:c r="DB247" s="1" t="n">
        <x:v>13.61</x:v>
      </x:c>
      <x:c r="DC247" s="1"/>
      <x:c r="DD247" s="1" t="n">
        <x:v>15.82</x:v>
      </x:c>
      <x:c r="DE247" s="1"/>
      <x:c r="DF247" s="1" t="n">
        <x:v>11.49</x:v>
      </x:c>
      <x:c r="DG247" s="1"/>
      <x:c r="DH247" s="1" t="n">
        <x:v>14.85</x:v>
      </x:c>
      <x:c r="DI247" s="1" t="n">
        <x:v>7.51</x:v>
      </x:c>
      <x:c r="DJ247" s="1" t="n">
        <x:v>14.27</x:v>
      </x:c>
      <x:c r="DK247" s="1"/>
      <x:c r="DL247" s="1" t="n">
        <x:v>20.35</x:v>
      </x:c>
      <x:c r="DM247" s="1" t="n">
        <x:v>0.63</x:v>
      </x:c>
    </x:row>
    <x:row r="248" ht="23" customHeight="1">
      <x:c r="A248" s="1" t="n">
        <x:v>243</x:v>
      </x:c>
      <x:c r="B248" s="1" t="str">
        <x:v>3-甲硫基丙酸乙酯</x:v>
      </x:c>
      <x:c r="C248" s="1" t="str">
        <x:v>13327-56-5</x:v>
      </x:c>
      <x:c r="D248" s="1"/>
      <x:c r="E248" s="1"/>
      <x:c r="F248" s="1" t="n">
        <x:v>308</x:v>
      </x:c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 t="n">
        <x:v>73</x:v>
      </x:c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  <x:c r="DE248" s="1"/>
      <x:c r="DF248" s="1"/>
      <x:c r="DG248" s="1"/>
      <x:c r="DH248" s="1"/>
      <x:c r="DI248" s="1"/>
      <x:c r="DJ248" s="1"/>
      <x:c r="DK248" s="1"/>
      <x:c r="DL248" s="1"/>
      <x:c r="DM248" s="1"/>
    </x:row>
    <x:row r="249" ht="23" customHeight="1">
      <x:c r="A249" s="1" t="n">
        <x:v>244</x:v>
      </x:c>
      <x:c r="B249" s="1" t="str">
        <x:v>2-糠醛缩二乙醇</x:v>
      </x:c>
      <x:c r="C249" s="1" t="str">
        <x:v>13529-27-6</x:v>
      </x:c>
      <x:c r="D249" s="1" t="n">
        <x:v>6172</x:v>
      </x:c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 t="n">
        <x:v>275.39</x:v>
      </x:c>
      <x:c r="CY249" s="1" t="n">
        <x:v>14952.69</x:v>
      </x:c>
      <x:c r="CZ249" s="1" t="n">
        <x:v>15894.13</x:v>
      </x:c>
      <x:c r="DA249" s="1" t="n">
        <x:v>320.53</x:v>
      </x:c>
      <x:c r="DB249" s="1" t="n">
        <x:v>2196.85</x:v>
      </x:c>
      <x:c r="DC249" s="1" t="n">
        <x:v>459.98</x:v>
      </x:c>
      <x:c r="DD249" s="1" t="n">
        <x:v>9983.4</x:v>
      </x:c>
      <x:c r="DE249" s="1" t="n">
        <x:v>457.29</x:v>
      </x:c>
      <x:c r="DF249" s="1" t="n">
        <x:v>9878.96</x:v>
      </x:c>
      <x:c r="DG249" s="1" t="n">
        <x:v>976.3</x:v>
      </x:c>
      <x:c r="DH249" s="1" t="n">
        <x:v>7836.64</x:v>
      </x:c>
      <x:c r="DI249" s="1" t="n">
        <x:v>1112.62</x:v>
      </x:c>
      <x:c r="DJ249" s="1" t="n">
        <x:v>11358.62</x:v>
      </x:c>
      <x:c r="DK249" s="1" t="n">
        <x:v>959.03</x:v>
      </x:c>
      <x:c r="DL249" s="1" t="n">
        <x:v>14688.17</x:v>
      </x:c>
      <x:c r="DM249" s="1" t="n">
        <x:v>857.27</x:v>
      </x:c>
    </x:row>
    <x:row r="250" ht="23" customHeight="1">
      <x:c r="A250" s="1" t="n">
        <x:v>245</x:v>
      </x:c>
      <x:c r="B250" s="1" t="str">
        <x:v>2-乙基-6-甲基吡嗪</x:v>
      </x:c>
      <x:c r="C250" s="1" t="str">
        <x:v>13925-03-6</x:v>
      </x:c>
      <x:c r="D250" s="1" t="n">
        <x:v>40</x:v>
      </x:c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 t="n">
        <x:v>55.61</x:v>
      </x:c>
      <x:c r="CY250" s="1" t="n">
        <x:v>55.61</x:v>
      </x:c>
      <x:c r="CZ250" s="1" t="n">
        <x:v>58.5</x:v>
      </x:c>
      <x:c r="DA250" s="1" t="n">
        <x:v>58.5</x:v>
      </x:c>
      <x:c r="DB250" s="1" t="n">
        <x:v>54.97</x:v>
      </x:c>
      <x:c r="DC250" s="1" t="n">
        <x:v>54.97</x:v>
      </x:c>
      <x:c r="DD250" s="1" t="n">
        <x:v>72.89</x:v>
      </x:c>
      <x:c r="DE250" s="1" t="n">
        <x:v>72.89</x:v>
      </x:c>
      <x:c r="DF250" s="1" t="n">
        <x:v>85.29</x:v>
      </x:c>
      <x:c r="DG250" s="1" t="n">
        <x:v>85.29</x:v>
      </x:c>
      <x:c r="DH250" s="1" t="n">
        <x:v>140.41</x:v>
      </x:c>
      <x:c r="DI250" s="1" t="n">
        <x:v>140.41</x:v>
      </x:c>
      <x:c r="DJ250" s="1" t="n">
        <x:v>94.21</x:v>
      </x:c>
      <x:c r="DK250" s="1" t="n">
        <x:v>94.21</x:v>
      </x:c>
      <x:c r="DL250" s="1" t="n">
        <x:v>39.57</x:v>
      </x:c>
      <x:c r="DM250" s="1" t="n">
        <x:v>39.57</x:v>
      </x:c>
    </x:row>
    <x:row r="251" ht="23" customHeight="1">
      <x:c r="A251" s="1" t="n">
        <x:v>246</x:v>
      </x:c>
      <x:c r="B251" s="1" t="str">
        <x:v>十七烷酸乙酯</x:v>
      </x:c>
      <x:c r="C251" s="1" t="str">
        <x:v>14010-23-2</x:v>
      </x:c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 t="n">
        <x:v>3610</x:v>
      </x:c>
      <x:c r="AL251" s="1" t="n">
        <x:v>4350</x:v>
      </x:c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  <x:c r="DE251" s="1"/>
      <x:c r="DF251" s="1"/>
      <x:c r="DG251" s="1"/>
      <x:c r="DH251" s="1"/>
      <x:c r="DI251" s="1"/>
      <x:c r="DJ251" s="1"/>
      <x:c r="DK251" s="1"/>
      <x:c r="DL251" s="1"/>
      <x:c r="DM251" s="1"/>
    </x:row>
    <x:row r="252" ht="23" customHeight="1">
      <x:c r="A252" s="1" t="n">
        <x:v>247</x:v>
      </x:c>
      <x:c r="B252" s="1" t="str">
        <x:v>三甲基吡嗪</x:v>
      </x:c>
      <x:c r="C252" s="1" t="str">
        <x:v>14667-55-1</x:v>
      </x:c>
      <x:c r="D252" s="1" t="n">
        <x:v>730</x:v>
      </x:c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 t="n">
        <x:v>1</x:v>
      </x:c>
      <x:c r="CA252" s="1" t="n">
        <x:v>1</x:v>
      </x:c>
      <x:c r="CB252" s="1"/>
      <x:c r="CC252" s="1"/>
      <x:c r="CD252" s="1"/>
      <x:c r="CE252" s="1"/>
      <x:c r="CF252" s="1"/>
      <x:c r="CG252" s="1" t="n">
        <x:v>69.7</x:v>
      </x:c>
      <x:c r="CH252" s="1" t="n">
        <x:v>22.23</x:v>
      </x:c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 t="n">
        <x:v>58.15</x:v>
      </x:c>
      <x:c r="CY252" s="1" t="n">
        <x:v>85.9</x:v>
      </x:c>
      <x:c r="CZ252" s="1" t="n">
        <x:v>99.01</x:v>
      </x:c>
      <x:c r="DA252" s="1" t="n">
        <x:v>88.91</x:v>
      </x:c>
      <x:c r="DB252" s="1" t="n">
        <x:v>112.21</x:v>
      </x:c>
      <x:c r="DC252" s="1" t="n">
        <x:v>47.51</x:v>
      </x:c>
      <x:c r="DD252" s="1" t="n">
        <x:v>102.06</x:v>
      </x:c>
      <x:c r="DE252" s="1" t="n">
        <x:v>44.77</x:v>
      </x:c>
      <x:c r="DF252" s="1" t="n">
        <x:v>91.8</x:v>
      </x:c>
      <x:c r="DG252" s="1" t="n">
        <x:v>51.3</x:v>
      </x:c>
      <x:c r="DH252" s="1" t="n">
        <x:v>97.77</x:v>
      </x:c>
      <x:c r="DI252" s="1" t="n">
        <x:v>40.76</x:v>
      </x:c>
      <x:c r="DJ252" s="1" t="n">
        <x:v>86.53</x:v>
      </x:c>
      <x:c r="DK252" s="1" t="n">
        <x:v>65.94</x:v>
      </x:c>
      <x:c r="DL252" s="1" t="n">
        <x:v>129</x:v>
      </x:c>
      <x:c r="DM252" s="1" t="n">
        <x:v>52.48</x:v>
      </x:c>
    </x:row>
    <x:row r="253" ht="23" customHeight="1">
      <x:c r="A253" s="1" t="n">
        <x:v>248</x:v>
      </x:c>
      <x:c r="B253" s="1" t="str">
        <x:v>2-甲基丁酸丁酯</x:v>
      </x:c>
      <x:c r="C253" s="1" t="str">
        <x:v>15706-73-7</x:v>
      </x:c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 t="n">
        <x:v>4197.6067</x:v>
      </x:c>
      <x:c r="CA253" s="1" t="n">
        <x:v>4045.7733</x:v>
      </x:c>
      <x:c r="CB253" s="1" t="n">
        <x:v>13889.37</x:v>
      </x:c>
      <x:c r="CC253" s="1" t="n">
        <x:v>10598.19</x:v>
      </x:c>
      <x:c r="CD253" s="1" t="n">
        <x:v>14715.89</x:v>
      </x:c>
      <x:c r="CE253" s="1" t="n">
        <x:v>5113.07</x:v>
      </x:c>
      <x:c r="CF253" s="1" t="n">
        <x:v>1458.56</x:v>
      </x:c>
      <x:c r="CG253" s="1" t="n">
        <x:v>2243.08</x:v>
      </x:c>
      <x:c r="CH253" s="1" t="n">
        <x:v>1301.47</x:v>
      </x:c>
      <x:c r="CI253" s="1" t="n">
        <x:v>4903.82</x:v>
      </x:c>
      <x:c r="CJ253" s="1" t="n">
        <x:v>4073.31</x:v>
      </x:c>
      <x:c r="CK253" s="1" t="n">
        <x:v>3424</x:v>
      </x:c>
      <x:c r="CL253" s="1" t="n">
        <x:v>2072.83</x:v>
      </x:c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  <x:c r="DE253" s="1"/>
      <x:c r="DF253" s="1"/>
      <x:c r="DG253" s="1"/>
      <x:c r="DH253" s="1"/>
      <x:c r="DI253" s="1"/>
      <x:c r="DJ253" s="1"/>
      <x:c r="DK253" s="1"/>
      <x:c r="DL253" s="1"/>
      <x:c r="DM253" s="1"/>
    </x:row>
    <x:row r="254" ht="23" customHeight="1">
      <x:c r="A254" s="1" t="n">
        <x:v>249</x:v>
      </x:c>
      <x:c r="B254" s="1" t="str">
        <x:v>2,3-二乙基吡嗪</x:v>
      </x:c>
      <x:c r="C254" s="1" t="str">
        <x:v>15707-24-1</x:v>
      </x:c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 t="n">
        <x:v>42.485</x:v>
      </x:c>
      <x:c r="CA254" s="1" t="n">
        <x:v>42.225</x:v>
      </x:c>
      <x:c r="CB254" s="1" t="n">
        <x:v>128.64</x:v>
      </x:c>
      <x:c r="CC254" s="1" t="n">
        <x:v>106.8</x:v>
      </x:c>
      <x:c r="CD254" s="1" t="n">
        <x:v>109.22</x:v>
      </x:c>
      <x:c r="CE254" s="1" t="n">
        <x:v>116.53</x:v>
      </x:c>
      <x:c r="CF254" s="1" t="n">
        <x:v>103.92</x:v>
      </x:c>
      <x:c r="CG254" s="1" t="n">
        <x:v>140.14</x:v>
      </x:c>
      <x:c r="CH254" s="1" t="n">
        <x:v>90.26</x:v>
      </x:c>
      <x:c r="CI254" s="1" t="n">
        <x:v>107</x:v>
      </x:c>
      <x:c r="CJ254" s="1" t="n">
        <x:v>103.3</x:v>
      </x:c>
      <x:c r="CK254" s="1" t="n">
        <x:v>101.96</x:v>
      </x:c>
      <x:c r="CL254" s="1" t="n">
        <x:v>105.5</x:v>
      </x:c>
      <x:c r="CM254" s="1" t="n">
        <x:v>89.89</x:v>
      </x:c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  <x:c r="DE254" s="1"/>
      <x:c r="DF254" s="1"/>
      <x:c r="DG254" s="1"/>
      <x:c r="DH254" s="1"/>
      <x:c r="DI254" s="1"/>
      <x:c r="DJ254" s="1"/>
      <x:c r="DK254" s="1"/>
      <x:c r="DL254" s="1"/>
      <x:c r="DM254" s="1"/>
    </x:row>
    <x:row r="255" ht="23" customHeight="1">
      <x:c r="A255" s="1" t="n">
        <x:v>250</x:v>
      </x:c>
      <x:c r="B255" s="1" t="str">
        <x:v>3,3-二乙氧基-1-丙醇</x:v>
      </x:c>
      <x:c r="C255" s="1" t="str">
        <x:v>16777-87-0</x:v>
      </x:c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 t="n">
        <x:v>2.63</x:v>
      </x:c>
      <x:c r="AR255" s="1" t="n">
        <x:v>3.98</x:v>
      </x:c>
      <x:c r="AS255" s="1" t="n">
        <x:v>4.03</x:v>
      </x:c>
      <x:c r="AT255" s="1" t="n">
        <x:v>3.52</x:v>
      </x:c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  <x:c r="DE255" s="1"/>
      <x:c r="DF255" s="1"/>
      <x:c r="DG255" s="1"/>
      <x:c r="DH255" s="1"/>
      <x:c r="DI255" s="1"/>
      <x:c r="DJ255" s="1"/>
      <x:c r="DK255" s="1"/>
      <x:c r="DL255" s="1"/>
      <x:c r="DM255" s="1"/>
    </x:row>
    <x:row r="256" ht="23" customHeight="1">
      <x:c r="A256" s="1" t="n">
        <x:v>251</x:v>
      </x:c>
      <x:c r="B256" s="1" t="str">
        <x:v>2,3-丁二醇</x:v>
      </x:c>
      <x:c r="C256" s="1" t="str">
        <x:v>19132-06-0</x:v>
      </x:c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 t="n">
        <x:v>68070</x:v>
      </x:c>
      <x:c r="AF256" s="1" t="n">
        <x:v>88240</x:v>
      </x:c>
      <x:c r="AG256" s="1" t="n">
        <x:v>87770</x:v>
      </x:c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 t="n">
        <x:v>1.56</x:v>
      </x:c>
      <x:c r="AR256" s="1" t="n">
        <x:v>2.25</x:v>
      </x:c>
      <x:c r="AS256" s="1" t="n">
        <x:v>4.71</x:v>
      </x:c>
      <x:c r="AT256" s="1" t="n">
        <x:v>4.09</x:v>
      </x:c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  <x:c r="DE256" s="1"/>
      <x:c r="DF256" s="1"/>
      <x:c r="DG256" s="1"/>
      <x:c r="DH256" s="1"/>
      <x:c r="DI256" s="1"/>
      <x:c r="DJ256" s="1"/>
      <x:c r="DK256" s="1"/>
      <x:c r="DL256" s="1"/>
      <x:c r="DM256" s="1"/>
    </x:row>
    <x:row r="257" ht="23" customHeight="1">
      <x:c r="A257" s="1" t="n">
        <x:v>252</x:v>
      </x:c>
      <x:c r="B257" s="1" t="str">
        <x:v>乳酸异戊酯</x:v>
      </x:c>
      <x:c r="C257" s="1" t="str">
        <x:v>19329-89-6</x:v>
      </x:c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 t="n">
        <x:v>9150</x:v>
      </x:c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 t="n">
        <x:v>1.14</x:v>
      </x:c>
      <x:c r="AR257" s="1" t="n">
        <x:v>3.55</x:v>
      </x:c>
      <x:c r="AS257" s="1"/>
      <x:c r="AT257" s="1" t="n">
        <x:v>1.43</x:v>
      </x:c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  <x:c r="DE257" s="1"/>
      <x:c r="DF257" s="1"/>
      <x:c r="DG257" s="1"/>
      <x:c r="DH257" s="1"/>
      <x:c r="DI257" s="1"/>
      <x:c r="DJ257" s="1"/>
      <x:c r="DK257" s="1"/>
      <x:c r="DL257" s="1"/>
      <x:c r="DM257" s="1"/>
    </x:row>
    <x:row r="258" ht="23" customHeight="1">
      <x:c r="A258" s="1" t="n">
        <x:v>253</x:v>
      </x:c>
      <x:c r="B258" s="1" t="str">
        <x:v>异丙基3-苯基丙酸酯</x:v>
      </x:c>
      <x:c r="C258" s="1" t="str">
        <x:v>22767-95-9</x:v>
      </x:c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 t="n">
        <x:v>32</x:v>
      </x:c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  <x:c r="DE258" s="1"/>
      <x:c r="DF258" s="1"/>
      <x:c r="DG258" s="1"/>
      <x:c r="DH258" s="1"/>
      <x:c r="DI258" s="1"/>
      <x:c r="DJ258" s="1"/>
      <x:c r="DK258" s="1"/>
      <x:c r="DL258" s="1"/>
      <x:c r="DM258" s="1"/>
    </x:row>
    <x:row r="259" ht="23" customHeight="1">
      <x:c r="A259" s="1" t="n">
        <x:v>254</x:v>
      </x:c>
      <x:c r="B259" s="1" t="str">
        <x:v>大马士酮</x:v>
      </x:c>
      <x:c r="C259" s="1" t="str">
        <x:v>23726-91-2</x:v>
      </x:c>
      <x:c r="D259" s="1" t="n">
        <x:v>0.12</x:v>
      </x:c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 t="n">
        <x:v>148</x:v>
      </x:c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  <x:c r="DE259" s="1"/>
      <x:c r="DF259" s="1"/>
      <x:c r="DG259" s="1"/>
      <x:c r="DH259" s="1"/>
      <x:c r="DI259" s="1"/>
      <x:c r="DJ259" s="1"/>
      <x:c r="DK259" s="1"/>
      <x:c r="DL259" s="1"/>
      <x:c r="DM259" s="1"/>
    </x:row>
    <x:row r="260" ht="23" customHeight="1">
      <x:c r="A260" s="1" t="n">
        <x:v>255</x:v>
      </x:c>
      <x:c r="B260" s="1" t="str">
        <x:v>β-大马酮</x:v>
      </x:c>
      <x:c r="C260" s="1" t="str">
        <x:v>23726-93-4</x:v>
      </x:c>
      <x:c r="D260" s="1" t="n">
        <x:v>0.12</x:v>
      </x:c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 t="n">
        <x:v>1.5</x:v>
      </x:c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 t="n">
        <x:v>55.8067</x:v>
      </x:c>
      <x:c r="CA260" s="1" t="n">
        <x:v>60.76</x:v>
      </x:c>
      <x:c r="CB260" s="1" t="n">
        <x:v>10.88</x:v>
      </x:c>
      <x:c r="CC260" s="1" t="n">
        <x:v>6.59</x:v>
      </x:c>
      <x:c r="CD260" s="1" t="n">
        <x:v>14.04</x:v>
      </x:c>
      <x:c r="CE260" s="1" t="n">
        <x:v>9.12</x:v>
      </x:c>
      <x:c r="CF260" s="1" t="n">
        <x:v>13.19</x:v>
      </x:c>
      <x:c r="CG260" s="1" t="n">
        <x:v>2.35</x:v>
      </x:c>
      <x:c r="CH260" s="1" t="n">
        <x:v>2.03</x:v>
      </x:c>
      <x:c r="CI260" s="1" t="n">
        <x:v>9.41</x:v>
      </x:c>
      <x:c r="CJ260" s="1" t="n">
        <x:v>19.7</x:v>
      </x:c>
      <x:c r="CK260" s="1" t="n">
        <x:v>12.05</x:v>
      </x:c>
      <x:c r="CL260" s="1" t="n">
        <x:v>14.67</x:v>
      </x:c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 t="n">
        <x:v>4.38</x:v>
      </x:c>
      <x:c r="CZ260" s="1"/>
      <x:c r="DA260" s="1" t="n">
        <x:v>3.47</x:v>
      </x:c>
      <x:c r="DB260" s="1"/>
      <x:c r="DC260" s="1" t="n">
        <x:v>2.26</x:v>
      </x:c>
      <x:c r="DD260" s="1"/>
      <x:c r="DE260" s="1" t="n">
        <x:v>3.67</x:v>
      </x:c>
      <x:c r="DF260" s="1" t="n">
        <x:v>4.61</x:v>
      </x:c>
      <x:c r="DG260" s="1" t="n">
        <x:v>4.01</x:v>
      </x:c>
      <x:c r="DH260" s="1" t="n">
        <x:v>6.38</x:v>
      </x:c>
      <x:c r="DI260" s="1" t="n">
        <x:v>1.67</x:v>
      </x:c>
      <x:c r="DJ260" s="1" t="n">
        <x:v>5.8</x:v>
      </x:c>
      <x:c r="DK260" s="1" t="n">
        <x:v>1.55</x:v>
      </x:c>
      <x:c r="DL260" s="1" t="n">
        <x:v>5.04</x:v>
      </x:c>
      <x:c r="DM260" s="1" t="n">
        <x:v>4.08</x:v>
      </x:c>
    </x:row>
    <x:row r="261" ht="23" customHeight="1">
      <x:c r="A261" s="1" t="n">
        <x:v>256</x:v>
      </x:c>
      <x:c r="B261" s="1" t="str">
        <x:v>2-甲基丁酸-2-苯乙酯</x:v>
      </x:c>
      <x:c r="C261" s="1" t="str">
        <x:v>24817-51-4</x:v>
      </x:c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 t="n">
        <x:v>27</x:v>
      </x:c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  <x:c r="CA261" s="1"/>
      <x:c r="CB261" s="1"/>
      <x:c r="CC261" s="1"/>
      <x:c r="CD261" s="1"/>
      <x:c r="CE261" s="1"/>
      <x:c r="CF261" s="1"/>
      <x:c r="CG261" s="1"/>
      <x:c r="CH261" s="1"/>
      <x:c r="CI261" s="1"/>
      <x:c r="CJ261" s="1"/>
      <x:c r="CK261" s="1"/>
      <x:c r="CL261" s="1"/>
      <x:c r="CM261" s="1"/>
      <x:c r="CN261" s="1"/>
      <x:c r="CO261" s="1"/>
      <x:c r="CP261" s="1"/>
      <x:c r="CQ261" s="1"/>
      <x:c r="CR261" s="1"/>
      <x:c r="CS261" s="1"/>
      <x:c r="CT261" s="1"/>
      <x:c r="CU261" s="1"/>
      <x:c r="CV261" s="1"/>
      <x:c r="CW261" s="1"/>
      <x:c r="CX261" s="1"/>
      <x:c r="CY261" s="1"/>
      <x:c r="CZ261" s="1"/>
      <x:c r="DA261" s="1"/>
      <x:c r="DB261" s="1"/>
      <x:c r="DC261" s="1"/>
      <x:c r="DD261" s="1"/>
      <x:c r="DE261" s="1"/>
      <x:c r="DF261" s="1"/>
      <x:c r="DG261" s="1"/>
      <x:c r="DH261" s="1"/>
      <x:c r="DI261" s="1"/>
      <x:c r="DJ261" s="1"/>
      <x:c r="DK261" s="1"/>
      <x:c r="DL261" s="1"/>
      <x:c r="DM261" s="1"/>
    </x:row>
    <x:row r="262" ht="23" customHeight="1">
      <x:c r="A262" s="1" t="n">
        <x:v>257</x:v>
      </x:c>
      <x:c r="B262" s="1" t="str">
        <x:v>4-甲基-戊酸乙酯</x:v>
      </x:c>
      <x:c r="C262" s="1" t="str">
        <x:v>25415-67-2</x:v>
      </x:c>
      <x:c r="D262" s="1"/>
      <x:c r="E262" s="1" t="n">
        <x:v>605</x:v>
      </x:c>
      <x:c r="F262" s="1" t="n">
        <x:v>932</x:v>
      </x:c>
      <x:c r="G262" s="1" t="n">
        <x:v>8.56</x:v>
      </x:c>
      <x:c r="H262" s="1" t="n">
        <x:v>124.14</x:v>
      </x:c>
      <x:c r="I262" s="1" t="n">
        <x:v>7.47</x:v>
      </x:c>
      <x:c r="J262" s="1" t="n">
        <x:v>11.92</x:v>
      </x:c>
      <x:c r="K262" s="1" t="n">
        <x:v>3.11</x:v>
      </x:c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 t="n">
        <x:v>4360</x:v>
      </x:c>
      <x:c r="X262" s="1" t="n">
        <x:v>1570</x:v>
      </x:c>
      <x:c r="Y262" s="1" t="n">
        <x:v>1520</x:v>
      </x:c>
      <x:c r="Z262" s="1" t="n">
        <x:v>1200</x:v>
      </x:c>
      <x:c r="AA262" s="1" t="n">
        <x:v>570</x:v>
      </x:c>
      <x:c r="AB262" s="1" t="n">
        <x:v>643</x:v>
      </x:c>
      <x:c r="AC262" s="1" t="n">
        <x:v>550</x:v>
      </x:c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  <x:c r="CA262" s="1"/>
      <x:c r="CB262" s="1"/>
      <x:c r="CC262" s="1"/>
      <x:c r="CD262" s="1"/>
      <x:c r="CE262" s="1"/>
      <x:c r="CF262" s="1"/>
      <x:c r="CG262" s="1"/>
      <x:c r="CH262" s="1"/>
      <x:c r="CI262" s="1"/>
      <x:c r="CJ262" s="1"/>
      <x:c r="CK262" s="1"/>
      <x:c r="CL262" s="1"/>
      <x:c r="CM262" s="1"/>
      <x:c r="CN262" s="1"/>
      <x:c r="CO262" s="1"/>
      <x:c r="CP262" s="1"/>
      <x:c r="CQ262" s="1"/>
      <x:c r="CR262" s="1"/>
      <x:c r="CS262" s="1"/>
      <x:c r="CT262" s="1"/>
      <x:c r="CU262" s="1"/>
      <x:c r="CV262" s="1"/>
      <x:c r="CW262" s="1"/>
      <x:c r="CX262" s="1"/>
      <x:c r="CY262" s="1"/>
      <x:c r="CZ262" s="1"/>
      <x:c r="DA262" s="1"/>
      <x:c r="DB262" s="1"/>
      <x:c r="DC262" s="1"/>
      <x:c r="DD262" s="1"/>
      <x:c r="DE262" s="1"/>
      <x:c r="DF262" s="1"/>
      <x:c r="DG262" s="1"/>
      <x:c r="DH262" s="1"/>
      <x:c r="DI262" s="1"/>
      <x:c r="DJ262" s="1"/>
      <x:c r="DK262" s="1"/>
      <x:c r="DL262" s="1"/>
      <x:c r="DM262" s="1"/>
    </x:row>
    <x:row r="263" ht="23" customHeight="1">
      <x:c r="A263" s="1" t="n">
        <x:v>258</x:v>
      </x:c>
      <x:c r="B263" s="1"/>
      <x:c r="C263" s="1" t="str">
        <x:v>26764-41-0</x:v>
      </x:c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 t="n">
        <x:v>605</x:v>
      </x:c>
      <x:c r="O263" s="1" t="n">
        <x:v>263</x:v>
      </x:c>
      <x:c r="P263" s="1" t="n">
        <x:v>1144</x:v>
      </x:c>
      <x:c r="Q263" s="1" t="n">
        <x:v>432</x:v>
      </x:c>
      <x:c r="R263" s="1" t="n">
        <x:v>333</x:v>
      </x:c>
      <x:c r="S263" s="1" t="n">
        <x:v>364</x:v>
      </x:c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  <x:c r="CA263" s="1"/>
      <x:c r="CB263" s="1"/>
      <x:c r="CC263" s="1"/>
      <x:c r="CD263" s="1"/>
      <x:c r="CE263" s="1"/>
      <x:c r="CF263" s="1"/>
      <x:c r="CG263" s="1"/>
      <x:c r="CH263" s="1"/>
      <x:c r="CI263" s="1"/>
      <x:c r="CJ263" s="1"/>
      <x:c r="CK263" s="1"/>
      <x:c r="CL263" s="1"/>
      <x:c r="CM263" s="1"/>
      <x:c r="CN263" s="1"/>
      <x:c r="CO263" s="1"/>
      <x:c r="CP263" s="1"/>
      <x:c r="CQ263" s="1"/>
      <x:c r="CR263" s="1"/>
      <x:c r="CS263" s="1"/>
      <x:c r="CT263" s="1"/>
      <x:c r="CU263" s="1"/>
      <x:c r="CV263" s="1"/>
      <x:c r="CW263" s="1"/>
      <x:c r="CX263" s="1"/>
      <x:c r="CY263" s="1"/>
      <x:c r="CZ263" s="1"/>
      <x:c r="DA263" s="1"/>
      <x:c r="DB263" s="1"/>
      <x:c r="DC263" s="1"/>
      <x:c r="DD263" s="1"/>
      <x:c r="DE263" s="1"/>
      <x:c r="DF263" s="1"/>
      <x:c r="DG263" s="1"/>
      <x:c r="DH263" s="1"/>
      <x:c r="DI263" s="1"/>
      <x:c r="DJ263" s="1"/>
      <x:c r="DK263" s="1"/>
      <x:c r="DL263" s="1"/>
      <x:c r="DM263" s="1"/>
    </x:row>
    <x:row r="264" ht="23" customHeight="1">
      <x:c r="A264" s="1" t="n">
        <x:v>259</x:v>
      </x:c>
      <x:c r="B264" s="1" t="str">
        <x:v>2-壬烯-4-酮</x:v>
      </x:c>
      <x:c r="C264" s="1" t="str">
        <x:v>27743-70-0</x:v>
      </x:c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 t="n">
        <x:v>185</x:v>
      </x:c>
      <x:c r="O264" s="1"/>
      <x:c r="P264" s="1"/>
      <x:c r="Q264" s="1"/>
      <x:c r="R264" s="1" t="n">
        <x:v>158</x:v>
      </x:c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 t="n">
        <x:v>77</x:v>
      </x:c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  <x:c r="CA264" s="1"/>
      <x:c r="CB264" s="1"/>
      <x:c r="CC264" s="1"/>
      <x:c r="CD264" s="1"/>
      <x:c r="CE264" s="1"/>
      <x:c r="CF264" s="1"/>
      <x:c r="CG264" s="1"/>
      <x:c r="CH264" s="1"/>
      <x:c r="CI264" s="1"/>
      <x:c r="CJ264" s="1"/>
      <x:c r="CK264" s="1"/>
      <x:c r="CL264" s="1"/>
      <x:c r="CM264" s="1"/>
      <x:c r="CN264" s="1"/>
      <x:c r="CO264" s="1"/>
      <x:c r="CP264" s="1"/>
      <x:c r="CQ264" s="1"/>
      <x:c r="CR264" s="1"/>
      <x:c r="CS264" s="1"/>
      <x:c r="CT264" s="1"/>
      <x:c r="CU264" s="1"/>
      <x:c r="CV264" s="1"/>
      <x:c r="CW264" s="1"/>
      <x:c r="CX264" s="1"/>
      <x:c r="CY264" s="1"/>
      <x:c r="CZ264" s="1"/>
      <x:c r="DA264" s="1"/>
      <x:c r="DB264" s="1"/>
      <x:c r="DC264" s="1"/>
      <x:c r="DD264" s="1"/>
      <x:c r="DE264" s="1"/>
      <x:c r="DF264" s="1"/>
      <x:c r="DG264" s="1"/>
      <x:c r="DH264" s="1"/>
      <x:c r="DI264" s="1"/>
      <x:c r="DJ264" s="1"/>
      <x:c r="DK264" s="1"/>
      <x:c r="DL264" s="1"/>
      <x:c r="DM264" s="1"/>
    </x:row>
    <x:row r="265" ht="23" customHeight="1">
      <x:c r="A265" s="1" t="n">
        <x:v>260</x:v>
      </x:c>
      <x:c r="B265" s="1"/>
      <x:c r="C265" s="1" t="str">
        <x:v>28267-29-0</x:v>
      </x:c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 t="n">
        <x:v>1067</x:v>
      </x:c>
      <x:c r="O265" s="1" t="n">
        <x:v>869</x:v>
      </x:c>
      <x:c r="P265" s="1" t="n">
        <x:v>915</x:v>
      </x:c>
      <x:c r="Q265" s="1" t="n">
        <x:v>737</x:v>
      </x:c>
      <x:c r="R265" s="1" t="n">
        <x:v>739</x:v>
      </x:c>
      <x:c r="S265" s="1" t="n">
        <x:v>723</x:v>
      </x:c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  <x:c r="CA265" s="1"/>
      <x:c r="CB265" s="1"/>
      <x:c r="CC265" s="1"/>
      <x:c r="CD265" s="1"/>
      <x:c r="CE265" s="1"/>
      <x:c r="CF265" s="1"/>
      <x:c r="CG265" s="1"/>
      <x:c r="CH265" s="1"/>
      <x:c r="CI265" s="1"/>
      <x:c r="CJ265" s="1"/>
      <x:c r="CK265" s="1"/>
      <x:c r="CL265" s="1"/>
      <x:c r="CM265" s="1"/>
      <x:c r="CN265" s="1"/>
      <x:c r="CO265" s="1"/>
      <x:c r="CP265" s="1"/>
      <x:c r="CQ265" s="1"/>
      <x:c r="CR265" s="1"/>
      <x:c r="CS265" s="1"/>
      <x:c r="CT265" s="1"/>
      <x:c r="CU265" s="1"/>
      <x:c r="CV265" s="1"/>
      <x:c r="CW265" s="1"/>
      <x:c r="CX265" s="1"/>
      <x:c r="CY265" s="1"/>
      <x:c r="CZ265" s="1"/>
      <x:c r="DA265" s="1"/>
      <x:c r="DB265" s="1"/>
      <x:c r="DC265" s="1"/>
      <x:c r="DD265" s="1"/>
      <x:c r="DE265" s="1"/>
      <x:c r="DF265" s="1"/>
      <x:c r="DG265" s="1"/>
      <x:c r="DH265" s="1"/>
      <x:c r="DI265" s="1"/>
      <x:c r="DJ265" s="1"/>
      <x:c r="DK265" s="1"/>
      <x:c r="DL265" s="1"/>
      <x:c r="DM265" s="1"/>
    </x:row>
    <x:row r="266" ht="23" customHeight="1">
      <x:c r="A266" s="1" t="n">
        <x:v>261</x:v>
      </x:c>
      <x:c r="B266" s="1"/>
      <x:c r="C266" s="1" t="str">
        <x:v>34764-02-8</x:v>
      </x:c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 t="n">
        <x:v>5</x:v>
      </x:c>
      <x:c r="O266" s="1" t="n">
        <x:v>777</x:v>
      </x:c>
      <x:c r="P266" s="1" t="n">
        <x:v>837</x:v>
      </x:c>
      <x:c r="Q266" s="1" t="n">
        <x:v>639</x:v>
      </x:c>
      <x:c r="R266" s="1" t="n">
        <x:v>728</x:v>
      </x:c>
      <x:c r="S266" s="1" t="n">
        <x:v>648</x:v>
      </x:c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  <x:c r="CA266" s="1"/>
      <x:c r="CB266" s="1"/>
      <x:c r="CC266" s="1"/>
      <x:c r="CD266" s="1"/>
      <x:c r="CE266" s="1"/>
      <x:c r="CF266" s="1"/>
      <x:c r="CG266" s="1"/>
      <x:c r="CH266" s="1"/>
      <x:c r="CI266" s="1"/>
      <x:c r="CJ266" s="1"/>
      <x:c r="CK266" s="1"/>
      <x:c r="CL266" s="1"/>
      <x:c r="CM266" s="1"/>
      <x:c r="CN266" s="1"/>
      <x:c r="CO266" s="1"/>
      <x:c r="CP266" s="1"/>
      <x:c r="CQ266" s="1"/>
      <x:c r="CR266" s="1"/>
      <x:c r="CS266" s="1"/>
      <x:c r="CT266" s="1"/>
      <x:c r="CU266" s="1"/>
      <x:c r="CV266" s="1"/>
      <x:c r="CW266" s="1"/>
      <x:c r="CX266" s="1"/>
      <x:c r="CY266" s="1"/>
      <x:c r="CZ266" s="1"/>
      <x:c r="DA266" s="1"/>
      <x:c r="DB266" s="1"/>
      <x:c r="DC266" s="1"/>
      <x:c r="DD266" s="1"/>
      <x:c r="DE266" s="1"/>
      <x:c r="DF266" s="1"/>
      <x:c r="DG266" s="1"/>
      <x:c r="DH266" s="1"/>
      <x:c r="DI266" s="1"/>
      <x:c r="DJ266" s="1"/>
      <x:c r="DK266" s="1"/>
      <x:c r="DL266" s="1"/>
      <x:c r="DM266" s="1"/>
    </x:row>
    <x:row r="267" ht="23" customHeight="1">
      <x:c r="A267" s="1" t="n">
        <x:v>262</x:v>
      </x:c>
      <x:c r="B267" s="1" t="str">
        <x:v>己酸糠酯</x:v>
      </x:c>
      <x:c r="C267" s="1" t="str">
        <x:v>39252-02-3</x:v>
      </x:c>
      <x:c r="D267" s="1"/>
      <x:c r="E267" s="1"/>
      <x:c r="F267" s="1"/>
      <x:c r="G267" s="1"/>
      <x:c r="H267" s="1" t="n">
        <x:v>0.1</x:v>
      </x:c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 t="n">
        <x:v>356</x:v>
      </x:c>
      <x:c r="BA267" s="1" t="n">
        <x:v>650</x:v>
      </x:c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  <x:c r="CA267" s="1"/>
      <x:c r="CB267" s="1"/>
      <x:c r="CC267" s="1"/>
      <x:c r="CD267" s="1"/>
      <x:c r="CE267" s="1"/>
      <x:c r="CF267" s="1"/>
      <x:c r="CG267" s="1"/>
      <x:c r="CH267" s="1"/>
      <x:c r="CI267" s="1"/>
      <x:c r="CJ267" s="1"/>
      <x:c r="CK267" s="1"/>
      <x:c r="CL267" s="1"/>
      <x:c r="CM267" s="1"/>
      <x:c r="CN267" s="1"/>
      <x:c r="CO267" s="1"/>
      <x:c r="CP267" s="1"/>
      <x:c r="CQ267" s="1"/>
      <x:c r="CR267" s="1"/>
      <x:c r="CS267" s="1"/>
      <x:c r="CT267" s="1"/>
      <x:c r="CU267" s="1"/>
      <x:c r="CV267" s="1"/>
      <x:c r="CW267" s="1"/>
      <x:c r="CX267" s="1"/>
      <x:c r="CY267" s="1"/>
      <x:c r="CZ267" s="1"/>
      <x:c r="DA267" s="1"/>
      <x:c r="DB267" s="1"/>
      <x:c r="DC267" s="1"/>
      <x:c r="DD267" s="1"/>
      <x:c r="DE267" s="1"/>
      <x:c r="DF267" s="1"/>
      <x:c r="DG267" s="1"/>
      <x:c r="DH267" s="1"/>
      <x:c r="DI267" s="1"/>
      <x:c r="DJ267" s="1"/>
      <x:c r="DK267" s="1"/>
      <x:c r="DL267" s="1"/>
      <x:c r="DM267" s="1"/>
    </x:row>
    <x:row r="268" ht="23" customHeight="1">
      <x:c r="A268" s="1" t="n">
        <x:v>263</x:v>
      </x:c>
      <x:c r="B268" s="1"/>
      <x:c r="C268" s="1" t="str">
        <x:v>41114-00-5</x:v>
      </x:c>
      <x:c r="D268" s="1"/>
      <x:c r="E268" s="1"/>
      <x:c r="F268" s="1"/>
      <x:c r="G268" s="1" t="n">
        <x:v>0.81</x:v>
      </x:c>
      <x:c r="H268" s="1" t="n">
        <x:v>120.73</x:v>
      </x:c>
      <x:c r="I268" s="1"/>
      <x:c r="J268" s="1" t="n">
        <x:v>0.52</x:v>
      </x:c>
      <x:c r="K268" s="1" t="n">
        <x:v>0.29</x:v>
      </x:c>
      <x:c r="L268" s="1"/>
      <x:c r="M268" s="1"/>
      <x:c r="N268" s="1" t="n">
        <x:v>3340</x:v>
      </x:c>
      <x:c r="O268" s="1" t="n">
        <x:v>1987</x:v>
      </x:c>
      <x:c r="P268" s="1" t="n">
        <x:v>2599</x:v>
      </x:c>
      <x:c r="Q268" s="1" t="n">
        <x:v>2067</x:v>
      </x:c>
      <x:c r="R268" s="1" t="n">
        <x:v>2177</x:v>
      </x:c>
      <x:c r="S268" s="1" t="n">
        <x:v>2298</x:v>
      </x:c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  <x:c r="CA268" s="1"/>
      <x:c r="CB268" s="1"/>
      <x:c r="CC268" s="1"/>
      <x:c r="CD268" s="1"/>
      <x:c r="CE268" s="1"/>
      <x:c r="CF268" s="1"/>
      <x:c r="CG268" s="1"/>
      <x:c r="CH268" s="1"/>
      <x:c r="CI268" s="1"/>
      <x:c r="CJ268" s="1"/>
      <x:c r="CK268" s="1"/>
      <x:c r="CL268" s="1"/>
      <x:c r="CM268" s="1"/>
      <x:c r="CN268" s="1"/>
      <x:c r="CO268" s="1"/>
      <x:c r="CP268" s="1"/>
      <x:c r="CQ268" s="1"/>
      <x:c r="CR268" s="1"/>
      <x:c r="CS268" s="1"/>
      <x:c r="CT268" s="1"/>
      <x:c r="CU268" s="1"/>
      <x:c r="CV268" s="1"/>
      <x:c r="CW268" s="1"/>
      <x:c r="CX268" s="1"/>
      <x:c r="CY268" s="1"/>
      <x:c r="CZ268" s="1"/>
      <x:c r="DA268" s="1"/>
      <x:c r="DB268" s="1"/>
      <x:c r="DC268" s="1"/>
      <x:c r="DD268" s="1"/>
      <x:c r="DE268" s="1"/>
      <x:c r="DF268" s="1"/>
      <x:c r="DG268" s="1"/>
      <x:c r="DH268" s="1"/>
      <x:c r="DI268" s="1"/>
      <x:c r="DJ268" s="1"/>
      <x:c r="DK268" s="1"/>
      <x:c r="DL268" s="1"/>
      <x:c r="DM268" s="1"/>
    </x:row>
    <x:row r="269" ht="23" customHeight="1">
      <x:c r="A269" s="1" t="n">
        <x:v>264</x:v>
      </x:c>
      <x:c r="B269" s="1" t="str">
        <x:v>2-羟基己酸乙酯a</x:v>
      </x:c>
      <x:c r="C269" s="1" t="str">
        <x:v>52089-55-1</x:v>
      </x:c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 t="n">
        <x:v>19.55</x:v>
      </x:c>
      <x:c r="BC269" s="1" t="n">
        <x:v>2.5</x:v>
      </x:c>
      <x:c r="BD269" s="1" t="n">
        <x:v>45.21</x:v>
      </x:c>
      <x:c r="BE269" s="1" t="n">
        <x:v>67.21</x:v>
      </x:c>
      <x:c r="BF269" s="1" t="n">
        <x:v>48.57</x:v>
      </x:c>
      <x:c r="BG269" s="1" t="n">
        <x:v>23</x:v>
      </x:c>
      <x:c r="BH269" s="1" t="n">
        <x:v>91.28</x:v>
      </x:c>
      <x:c r="BI269" s="1" t="n">
        <x:v>21.3</x:v>
      </x:c>
      <x:c r="BJ269" s="1" t="n">
        <x:v>15.23</x:v>
      </x:c>
      <x:c r="BK269" s="1" t="n">
        <x:v>205.52</x:v>
      </x:c>
      <x:c r="BL269" s="1" t="n">
        <x:v>130.31</x:v>
      </x:c>
      <x:c r="BM269" s="1" t="n">
        <x:v>199.92</x:v>
      </x:c>
      <x:c r="BN269" s="1" t="n">
        <x:v>114.7</x:v>
      </x:c>
      <x:c r="BO269" s="1" t="n">
        <x:v>163.9</x:v>
      </x:c>
      <x:c r="BP269" s="1" t="n">
        <x:v>87.41</x:v>
      </x:c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 t="n">
        <x:v>20.16</x:v>
      </x:c>
      <x:c r="CA269" s="1" t="n">
        <x:v>26.485</x:v>
      </x:c>
      <x:c r="CB269" s="1" t="n">
        <x:v>52.93</x:v>
      </x:c>
      <x:c r="CC269" s="1" t="n">
        <x:v>41.88</x:v>
      </x:c>
      <x:c r="CD269" s="1" t="n">
        <x:v>14.07</x:v>
      </x:c>
      <x:c r="CE269" s="1" t="n">
        <x:v>23.77</x:v>
      </x:c>
      <x:c r="CF269" s="1" t="n">
        <x:v>23.54</x:v>
      </x:c>
      <x:c r="CG269" s="1" t="n">
        <x:v>13.18</x:v>
      </x:c>
      <x:c r="CH269" s="1" t="n">
        <x:v>12.01</x:v>
      </x:c>
      <x:c r="CI269" s="1" t="n">
        <x:v>74.59</x:v>
      </x:c>
      <x:c r="CJ269" s="1" t="n">
        <x:v>43.82</x:v>
      </x:c>
      <x:c r="CK269" s="1" t="n">
        <x:v>44.94</x:v>
      </x:c>
      <x:c r="CL269" s="1" t="n">
        <x:v>54.13</x:v>
      </x:c>
      <x:c r="CM269" s="1" t="n">
        <x:v>35.75</x:v>
      </x:c>
      <x:c r="CN269" s="1"/>
      <x:c r="CO269" s="1"/>
      <x:c r="CP269" s="1"/>
      <x:c r="CQ269" s="1"/>
      <x:c r="CR269" s="1" t="n">
        <x:v>3818.1</x:v>
      </x:c>
      <x:c r="CS269" s="1" t="n">
        <x:v>4110.58</x:v>
      </x:c>
      <x:c r="CT269" s="1"/>
      <x:c r="CU269" s="1"/>
      <x:c r="CV269" s="1"/>
      <x:c r="CW269" s="1"/>
      <x:c r="CX269" s="1"/>
      <x:c r="CY269" s="1"/>
      <x:c r="CZ269" s="1"/>
      <x:c r="DA269" s="1"/>
      <x:c r="DB269" s="1"/>
      <x:c r="DC269" s="1"/>
      <x:c r="DD269" s="1"/>
      <x:c r="DE269" s="1"/>
      <x:c r="DF269" s="1"/>
      <x:c r="DG269" s="1"/>
      <x:c r="DH269" s="1"/>
      <x:c r="DI269" s="1"/>
      <x:c r="DJ269" s="1"/>
      <x:c r="DK269" s="1"/>
      <x:c r="DL269" s="1"/>
      <x:c r="DM269" s="1"/>
    </x:row>
    <x:row r="270" ht="23" customHeight="1">
      <x:c r="A270" s="1" t="n">
        <x:v>265</x:v>
      </x:c>
      <x:c r="B270" s="1"/>
      <x:c r="C270" s="1" t="str">
        <x:v>54546-22-4</x:v>
      </x:c>
      <x:c r="D270" s="1"/>
      <x:c r="E270" s="1"/>
      <x:c r="F270" s="1"/>
      <x:c r="G270" s="1" t="n">
        <x:v>3.85</x:v>
      </x:c>
      <x:c r="H270" s="1"/>
      <x:c r="I270" s="1"/>
      <x:c r="J270" s="1"/>
      <x:c r="K270" s="1" t="n">
        <x:v>0.34</x:v>
      </x:c>
      <x:c r="L270" s="1"/>
      <x:c r="M270" s="1"/>
      <x:c r="N270" s="1" t="n">
        <x:v>9645</x:v>
      </x:c>
      <x:c r="O270" s="1" t="n">
        <x:v>5866</x:v>
      </x:c>
      <x:c r="P270" s="1" t="n">
        <x:v>6968</x:v>
      </x:c>
      <x:c r="Q270" s="1" t="n">
        <x:v>5471</x:v>
      </x:c>
      <x:c r="R270" s="1" t="n">
        <x:v>6320</x:v>
      </x:c>
      <x:c r="S270" s="1" t="n">
        <x:v>6188</x:v>
      </x:c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  <x:c r="CA270" s="1"/>
      <x:c r="CB270" s="1"/>
      <x:c r="CC270" s="1"/>
      <x:c r="CD270" s="1"/>
      <x:c r="CE270" s="1"/>
      <x:c r="CF270" s="1"/>
      <x:c r="CG270" s="1"/>
      <x:c r="CH270" s="1"/>
      <x:c r="CI270" s="1"/>
      <x:c r="CJ270" s="1"/>
      <x:c r="CK270" s="1"/>
      <x:c r="CL270" s="1"/>
      <x:c r="CM270" s="1"/>
      <x:c r="CN270" s="1"/>
      <x:c r="CO270" s="1"/>
      <x:c r="CP270" s="1"/>
      <x:c r="CQ270" s="1"/>
      <x:c r="CR270" s="1"/>
      <x:c r="CS270" s="1"/>
      <x:c r="CT270" s="1"/>
      <x:c r="CU270" s="1"/>
      <x:c r="CV270" s="1"/>
      <x:c r="CW270" s="1"/>
      <x:c r="CX270" s="1"/>
      <x:c r="CY270" s="1"/>
      <x:c r="CZ270" s="1"/>
      <x:c r="DA270" s="1"/>
      <x:c r="DB270" s="1"/>
      <x:c r="DC270" s="1"/>
      <x:c r="DD270" s="1"/>
      <x:c r="DE270" s="1"/>
      <x:c r="DF270" s="1"/>
      <x:c r="DG270" s="1"/>
      <x:c r="DH270" s="1"/>
      <x:c r="DI270" s="1"/>
      <x:c r="DJ270" s="1"/>
      <x:c r="DK270" s="1"/>
      <x:c r="DL270" s="1"/>
      <x:c r="DM270" s="1"/>
    </x:row>
    <x:row r="271" ht="23" customHeight="1">
      <x:c r="A271" s="1" t="n">
        <x:v>266</x:v>
      </x:c>
      <x:c r="B271" s="1"/>
      <x:c r="C271" s="1" t="str">
        <x:v>54815-13-3</x:v>
      </x:c>
      <x:c r="D271" s="1"/>
      <x:c r="E271" s="1"/>
      <x:c r="F271" s="1"/>
      <x:c r="G271" s="1"/>
      <x:c r="H271" s="1"/>
      <x:c r="I271" s="1" t="n">
        <x:v>0.81</x:v>
      </x:c>
      <x:c r="J271" s="1" t="n">
        <x:v>0.38</x:v>
      </x:c>
      <x:c r="K271" s="1" t="n">
        <x:v>1.26</x:v>
      </x:c>
      <x:c r="L271" s="1"/>
      <x:c r="M271" s="1"/>
      <x:c r="N271" s="1" t="n">
        <x:v>1933</x:v>
      </x:c>
      <x:c r="O271" s="1" t="n">
        <x:v>2782</x:v>
      </x:c>
      <x:c r="P271" s="1" t="n">
        <x:v>3626</x:v>
      </x:c>
      <x:c r="Q271" s="1" t="n">
        <x:v>2781</x:v>
      </x:c>
      <x:c r="R271" s="1" t="n">
        <x:v>3118</x:v>
      </x:c>
      <x:c r="S271" s="1" t="n">
        <x:v>2759</x:v>
      </x:c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  <x:c r="CA271" s="1"/>
      <x:c r="CB271" s="1"/>
      <x:c r="CC271" s="1"/>
      <x:c r="CD271" s="1"/>
      <x:c r="CE271" s="1"/>
      <x:c r="CF271" s="1"/>
      <x:c r="CG271" s="1"/>
      <x:c r="CH271" s="1"/>
      <x:c r="CI271" s="1"/>
      <x:c r="CJ271" s="1"/>
      <x:c r="CK271" s="1"/>
      <x:c r="CL271" s="1"/>
      <x:c r="CM271" s="1"/>
      <x:c r="CN271" s="1"/>
      <x:c r="CO271" s="1"/>
      <x:c r="CP271" s="1"/>
      <x:c r="CQ271" s="1"/>
      <x:c r="CR271" s="1"/>
      <x:c r="CS271" s="1"/>
      <x:c r="CT271" s="1"/>
      <x:c r="CU271" s="1"/>
      <x:c r="CV271" s="1"/>
      <x:c r="CW271" s="1"/>
      <x:c r="CX271" s="1"/>
      <x:c r="CY271" s="1"/>
      <x:c r="CZ271" s="1"/>
      <x:c r="DA271" s="1"/>
      <x:c r="DB271" s="1"/>
      <x:c r="DC271" s="1"/>
      <x:c r="DD271" s="1"/>
      <x:c r="DE271" s="1"/>
      <x:c r="DF271" s="1"/>
      <x:c r="DG271" s="1"/>
      <x:c r="DH271" s="1"/>
      <x:c r="DI271" s="1"/>
      <x:c r="DJ271" s="1"/>
      <x:c r="DK271" s="1"/>
      <x:c r="DL271" s="1"/>
      <x:c r="DM271" s="1"/>
    </x:row>
    <x:row r="272" ht="23" customHeight="1">
      <x:c r="A272" s="1" t="n">
        <x:v>267</x:v>
      </x:c>
      <x:c r="B272" s="1"/>
      <x:c r="C272" s="1" t="str">
        <x:v>57274-46-1</x:v>
      </x:c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 t="n">
        <x:v>629</x:v>
      </x:c>
      <x:c r="O272" s="1" t="n">
        <x:v>244</x:v>
      </x:c>
      <x:c r="P272" s="1" t="n">
        <x:v>96</x:v>
      </x:c>
      <x:c r="Q272" s="1" t="n">
        <x:v>286</x:v>
      </x:c>
      <x:c r="R272" s="1" t="n">
        <x:v>296</x:v>
      </x:c>
      <x:c r="S272" s="1" t="n">
        <x:v>223</x:v>
      </x:c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  <x:c r="CA272" s="1"/>
      <x:c r="CB272" s="1"/>
      <x:c r="CC272" s="1"/>
      <x:c r="CD272" s="1"/>
      <x:c r="CE272" s="1"/>
      <x:c r="CF272" s="1"/>
      <x:c r="CG272" s="1"/>
      <x:c r="CH272" s="1"/>
      <x:c r="CI272" s="1"/>
      <x:c r="CJ272" s="1"/>
      <x:c r="CK272" s="1"/>
      <x:c r="CL272" s="1"/>
      <x:c r="CM272" s="1"/>
      <x:c r="CN272" s="1"/>
      <x:c r="CO272" s="1"/>
      <x:c r="CP272" s="1"/>
      <x:c r="CQ272" s="1"/>
      <x:c r="CR272" s="1"/>
      <x:c r="CS272" s="1"/>
      <x:c r="CT272" s="1"/>
      <x:c r="CU272" s="1"/>
      <x:c r="CV272" s="1"/>
      <x:c r="CW272" s="1"/>
      <x:c r="CX272" s="1"/>
      <x:c r="CY272" s="1"/>
      <x:c r="CZ272" s="1"/>
      <x:c r="DA272" s="1"/>
      <x:c r="DB272" s="1"/>
      <x:c r="DC272" s="1"/>
      <x:c r="DD272" s="1"/>
      <x:c r="DE272" s="1"/>
      <x:c r="DF272" s="1"/>
      <x:c r="DG272" s="1"/>
      <x:c r="DH272" s="1"/>
      <x:c r="DI272" s="1"/>
      <x:c r="DJ272" s="1"/>
      <x:c r="DK272" s="1"/>
      <x:c r="DL272" s="1"/>
      <x:c r="DM272" s="1"/>
    </x:row>
    <x:row r="273" ht="23" customHeight="1">
      <x:c r="A273" s="1" t="n">
        <x:v>268</x:v>
      </x:c>
      <x:c r="B273" s="1"/>
      <x:c r="C273" s="1" t="str">
        <x:v>60415-61-4</x:v>
      </x:c>
      <x:c r="D273" s="1"/>
      <x:c r="E273" s="1"/>
      <x:c r="F273" s="1"/>
      <x:c r="G273" s="1"/>
      <x:c r="H273" s="1"/>
      <x:c r="I273" s="1"/>
      <x:c r="J273" s="1"/>
      <x:c r="K273" s="1" t="n">
        <x:v>0.25</x:v>
      </x:c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  <x:c r="CA273" s="1"/>
      <x:c r="CB273" s="1"/>
      <x:c r="CC273" s="1"/>
      <x:c r="CD273" s="1"/>
      <x:c r="CE273" s="1"/>
      <x:c r="CF273" s="1"/>
      <x:c r="CG273" s="1"/>
      <x:c r="CH273" s="1"/>
      <x:c r="CI273" s="1"/>
      <x:c r="CJ273" s="1"/>
      <x:c r="CK273" s="1"/>
      <x:c r="CL273" s="1"/>
      <x:c r="CM273" s="1"/>
      <x:c r="CN273" s="1"/>
      <x:c r="CO273" s="1"/>
      <x:c r="CP273" s="1"/>
      <x:c r="CQ273" s="1"/>
      <x:c r="CR273" s="1"/>
      <x:c r="CS273" s="1"/>
      <x:c r="CT273" s="1"/>
      <x:c r="CU273" s="1"/>
      <x:c r="CV273" s="1"/>
      <x:c r="CW273" s="1"/>
      <x:c r="CX273" s="1"/>
      <x:c r="CY273" s="1"/>
      <x:c r="CZ273" s="1"/>
      <x:c r="DA273" s="1"/>
      <x:c r="DB273" s="1"/>
      <x:c r="DC273" s="1"/>
      <x:c r="DD273" s="1"/>
      <x:c r="DE273" s="1"/>
      <x:c r="DF273" s="1"/>
      <x:c r="DG273" s="1"/>
      <x:c r="DH273" s="1"/>
      <x:c r="DI273" s="1"/>
      <x:c r="DJ273" s="1"/>
      <x:c r="DK273" s="1"/>
      <x:c r="DL273" s="1"/>
      <x:c r="DM273" s="1"/>
    </x:row>
    <x:row r="274" ht="23" customHeight="1">
      <x:c r="A274" s="1" t="n">
        <x:v>269</x:v>
      </x:c>
      <x:c r="B274" s="1"/>
      <x:c r="C274" s="1" t="str">
        <x:v>75039-84-8</x:v>
      </x:c>
      <x:c r="D274" s="1"/>
      <x:c r="E274" s="1"/>
      <x:c r="F274" s="1"/>
      <x:c r="G274" s="1"/>
      <x:c r="H274" s="1"/>
      <x:c r="I274" s="1"/>
      <x:c r="J274" s="1"/>
      <x:c r="K274" s="1" t="n">
        <x:v>0.42</x:v>
      </x:c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  <x:c r="CA274" s="1"/>
      <x:c r="CB274" s="1"/>
      <x:c r="CC274" s="1"/>
      <x:c r="CD274" s="1"/>
      <x:c r="CE274" s="1"/>
      <x:c r="CF274" s="1"/>
      <x:c r="CG274" s="1"/>
      <x:c r="CH274" s="1"/>
      <x:c r="CI274" s="1"/>
      <x:c r="CJ274" s="1"/>
      <x:c r="CK274" s="1"/>
      <x:c r="CL274" s="1"/>
      <x:c r="CM274" s="1"/>
      <x:c r="CN274" s="1"/>
      <x:c r="CO274" s="1"/>
      <x:c r="CP274" s="1"/>
      <x:c r="CQ274" s="1"/>
      <x:c r="CR274" s="1"/>
      <x:c r="CS274" s="1"/>
      <x:c r="CT274" s="1"/>
      <x:c r="CU274" s="1"/>
      <x:c r="CV274" s="1"/>
      <x:c r="CW274" s="1"/>
      <x:c r="CX274" s="1"/>
      <x:c r="CY274" s="1"/>
      <x:c r="CZ274" s="1"/>
      <x:c r="DA274" s="1"/>
      <x:c r="DB274" s="1"/>
      <x:c r="DC274" s="1"/>
      <x:c r="DD274" s="1"/>
      <x:c r="DE274" s="1"/>
      <x:c r="DF274" s="1"/>
      <x:c r="DG274" s="1"/>
      <x:c r="DH274" s="1"/>
      <x:c r="DI274" s="1"/>
      <x:c r="DJ274" s="1"/>
      <x:c r="DK274" s="1"/>
      <x:c r="DL274" s="1"/>
      <x:c r="DM274" s="1"/>
    </x:row>
    <x:row r="275" ht="23" customHeight="1">
      <x:c r="A275" s="1" t="n">
        <x:v>270</x:v>
      </x:c>
      <x:c r="B275" s="1" t="str">
        <x:v>反-4-癸烯酸乙酯</x:v>
      </x:c>
      <x:c r="C275" s="1" t="str">
        <x:v>76649-16-6</x:v>
      </x:c>
      <x:c r="D275" s="1" t="n">
        <x:v>8844.66</x:v>
      </x:c>
      <x:c r="E275" s="1"/>
      <x:c r="F275" s="1"/>
      <x:c r="G275" s="1"/>
      <x:c r="H275" s="1"/>
      <x:c r="I275" s="1"/>
      <x:c r="J275" s="1"/>
      <x:c r="K275" s="1"/>
      <x:c r="L275" s="1"/>
      <x:c r="M275" s="1"/>
      <x:c r="N275" s="1" t="n">
        <x:v>287</x:v>
      </x:c>
      <x:c r="O275" s="1"/>
      <x:c r="P275" s="1"/>
      <x:c r="Q275" s="1" t="n">
        <x:v>97</x:v>
      </x:c>
      <x:c r="R275" s="1" t="n">
        <x:v>98</x:v>
      </x:c>
      <x:c r="S275" s="1" t="n">
        <x:v>119</x:v>
      </x:c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 t="n">
        <x:v>249.33</x:v>
      </x:c>
      <x:c r="CA275" s="1" t="n">
        <x:v>249.4</x:v>
      </x:c>
      <x:c r="CB275" s="1" t="n">
        <x:v>326.84</x:v>
      </x:c>
      <x:c r="CC275" s="1" t="n">
        <x:v>269.25</x:v>
      </x:c>
      <x:c r="CD275" s="1" t="n">
        <x:v>307.43</x:v>
      </x:c>
      <x:c r="CE275" s="1" t="n">
        <x:v>353.11</x:v>
      </x:c>
      <x:c r="CF275" s="1" t="n">
        <x:v>281.08</x:v>
      </x:c>
      <x:c r="CG275" s="1" t="n">
        <x:v>203.23</x:v>
      </x:c>
      <x:c r="CH275" s="1" t="n">
        <x:v>196.3</x:v>
      </x:c>
      <x:c r="CI275" s="1" t="n">
        <x:v>311</x:v>
      </x:c>
      <x:c r="CJ275" s="1" t="n">
        <x:v>319.75</x:v>
      </x:c>
      <x:c r="CK275" s="1" t="n">
        <x:v>516.04</x:v>
      </x:c>
      <x:c r="CL275" s="1" t="n">
        <x:v>304.65</x:v>
      </x:c>
      <x:c r="CM275" s="1"/>
      <x:c r="CN275" s="1"/>
      <x:c r="CO275" s="1"/>
      <x:c r="CP275" s="1"/>
      <x:c r="CQ275" s="1"/>
      <x:c r="CR275" s="1"/>
      <x:c r="CS275" s="1"/>
      <x:c r="CT275" s="1"/>
      <x:c r="CU275" s="1"/>
      <x:c r="CV275" s="1"/>
      <x:c r="CW275" s="1"/>
      <x:c r="CX275" s="1"/>
      <x:c r="CY275" s="1"/>
      <x:c r="CZ275" s="1"/>
      <x:c r="DA275" s="1"/>
      <x:c r="DB275" s="1"/>
      <x:c r="DC275" s="1"/>
      <x:c r="DD275" s="1"/>
      <x:c r="DE275" s="1"/>
      <x:c r="DF275" s="1"/>
      <x:c r="DG275" s="1"/>
      <x:c r="DH275" s="1"/>
      <x:c r="DI275" s="1"/>
      <x:c r="DJ275" s="1"/>
      <x:c r="DK275" s="1"/>
      <x:c r="DL275" s="1"/>
      <x:c r="DM275" s="1"/>
    </x:row>
    <x:row r="276" ht="23" customHeight="1">
      <x:c r="A276" s="1" t="n">
        <x:v>271</x:v>
      </x:c>
      <x:c r="B276" s="1" t="str">
        <x:v>3-壬烯酸乙酯</x:v>
      </x:c>
      <x:c r="C276" s="1" t="str">
        <x:v>91213-30-8</x:v>
      </x:c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 t="n">
        <x:v>677</x:v>
      </x:c>
      <x:c r="O276" s="1" t="n">
        <x:v>1466</x:v>
      </x:c>
      <x:c r="P276" s="1" t="n">
        <x:v>1691</x:v>
      </x:c>
      <x:c r="Q276" s="1" t="n">
        <x:v>1223</x:v>
      </x:c>
      <x:c r="R276" s="1" t="n">
        <x:v>1396</x:v>
      </x:c>
      <x:c r="S276" s="1" t="n">
        <x:v>1647</x:v>
      </x:c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  <x:c r="CA276" s="1"/>
      <x:c r="CB276" s="1"/>
      <x:c r="CC276" s="1"/>
      <x:c r="CD276" s="1"/>
      <x:c r="CE276" s="1"/>
      <x:c r="CF276" s="1"/>
      <x:c r="CG276" s="1"/>
      <x:c r="CH276" s="1"/>
      <x:c r="CI276" s="1"/>
      <x:c r="CJ276" s="1"/>
      <x:c r="CK276" s="1"/>
      <x:c r="CL276" s="1"/>
      <x:c r="CM276" s="1"/>
      <x:c r="CN276" s="1"/>
      <x:c r="CO276" s="1"/>
      <x:c r="CP276" s="1"/>
      <x:c r="CQ276" s="1"/>
      <x:c r="CR276" s="1"/>
      <x:c r="CS276" s="1"/>
      <x:c r="CT276" s="1"/>
      <x:c r="CU276" s="1"/>
      <x:c r="CV276" s="1"/>
      <x:c r="CW276" s="1"/>
      <x:c r="CX276" s="1"/>
      <x:c r="CY276" s="1"/>
      <x:c r="CZ276" s="1"/>
      <x:c r="DA276" s="1"/>
      <x:c r="DB276" s="1"/>
      <x:c r="DC276" s="1"/>
      <x:c r="DD276" s="1"/>
      <x:c r="DE276" s="1"/>
      <x:c r="DF276" s="1"/>
      <x:c r="DG276" s="1"/>
      <x:c r="DH276" s="1"/>
      <x:c r="DI276" s="1"/>
      <x:c r="DJ276" s="1"/>
      <x:c r="DK276" s="1"/>
      <x:c r="DL276" s="1"/>
      <x:c r="DM276" s="1"/>
    </x:row>
    <x:row r="277" ht="23" customHeight="1">
      <x:c r="A277" s="1" t="n">
        <x:v>272</x:v>
      </x:c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 t="n">
        <x:v>2</x:v>
      </x:c>
      <x:c r="M277" s="1" t="n">
        <x:v>2</x:v>
      </x:c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  <x:c r="CA277" s="1"/>
      <x:c r="CB277" s="1"/>
      <x:c r="CC277" s="1"/>
      <x:c r="CD277" s="1"/>
      <x:c r="CE277" s="1"/>
      <x:c r="CF277" s="1"/>
      <x:c r="CG277" s="1"/>
      <x:c r="CH277" s="1"/>
      <x:c r="CI277" s="1"/>
      <x:c r="CJ277" s="1"/>
      <x:c r="CK277" s="1"/>
      <x:c r="CL277" s="1"/>
      <x:c r="CM277" s="1"/>
      <x:c r="CN277" s="1"/>
      <x:c r="CO277" s="1"/>
      <x:c r="CP277" s="1"/>
      <x:c r="CQ277" s="1"/>
      <x:c r="CR277" s="1"/>
      <x:c r="CS277" s="1"/>
      <x:c r="CT277" s="1"/>
      <x:c r="CU277" s="1"/>
      <x:c r="CV277" s="1"/>
      <x:c r="CW277" s="1"/>
      <x:c r="CX277" s="1"/>
      <x:c r="CY277" s="1"/>
      <x:c r="CZ277" s="1"/>
      <x:c r="DA277" s="1"/>
      <x:c r="DB277" s="1"/>
      <x:c r="DC277" s="1"/>
      <x:c r="DD277" s="1"/>
      <x:c r="DE277" s="1"/>
      <x:c r="DF277" s="1"/>
      <x:c r="DG277" s="1"/>
      <x:c r="DH277" s="1"/>
      <x:c r="DI277" s="1"/>
      <x:c r="DJ277" s="1"/>
      <x:c r="DK277" s="1"/>
      <x:c r="DL277" s="1"/>
      <x:c r="DM277" s="1"/>
    </x:row>
    <x:row r="278" ht="23" customHeight="1">
      <x:c r="A278" s="1" t="n">
        <x:v>273</x:v>
      </x:c>
      <x:c r="B278" s="1" t="str">
        <x:v>1,1-二乙氧基-2-苯乙烷</x:v>
      </x:c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 t="n">
        <x:v>51.06</x:v>
      </x:c>
      <x:c r="BE278" s="1" t="n">
        <x:v>75.54</x:v>
      </x:c>
      <x:c r="BF278" s="1" t="n">
        <x:v>172.42</x:v>
      </x:c>
      <x:c r="BG278" s="1" t="n">
        <x:v>50.8</x:v>
      </x:c>
      <x:c r="BH278" s="1"/>
      <x:c r="BI278" s="1" t="n">
        <x:v>40.31</x:v>
      </x:c>
      <x:c r="BJ278" s="1"/>
      <x:c r="BK278" s="1" t="n">
        <x:v>2883</x:v>
      </x:c>
      <x:c r="BL278" s="1" t="n">
        <x:v>1746.93</x:v>
      </x:c>
      <x:c r="BM278" s="1" t="n">
        <x:v>2140</x:v>
      </x:c>
      <x:c r="BN278" s="1" t="n">
        <x:v>1630</x:v>
      </x:c>
      <x:c r="BO278" s="1" t="n">
        <x:v>1908.97</x:v>
      </x:c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  <x:c r="CA278" s="1"/>
      <x:c r="CB278" s="1"/>
      <x:c r="CC278" s="1"/>
      <x:c r="CD278" s="1"/>
      <x:c r="CE278" s="1"/>
      <x:c r="CF278" s="1"/>
      <x:c r="CG278" s="1"/>
      <x:c r="CH278" s="1"/>
      <x:c r="CI278" s="1"/>
      <x:c r="CJ278" s="1"/>
      <x:c r="CK278" s="1"/>
      <x:c r="CL278" s="1"/>
      <x:c r="CM278" s="1"/>
      <x:c r="CN278" s="1"/>
      <x:c r="CO278" s="1"/>
      <x:c r="CP278" s="1"/>
      <x:c r="CQ278" s="1"/>
      <x:c r="CR278" s="1"/>
      <x:c r="CS278" s="1"/>
      <x:c r="CT278" s="1"/>
      <x:c r="CU278" s="1"/>
      <x:c r="CV278" s="1"/>
      <x:c r="CW278" s="1"/>
      <x:c r="CX278" s="1"/>
      <x:c r="CY278" s="1"/>
      <x:c r="CZ278" s="1"/>
      <x:c r="DA278" s="1"/>
      <x:c r="DB278" s="1"/>
      <x:c r="DC278" s="1"/>
      <x:c r="DD278" s="1"/>
      <x:c r="DE278" s="1"/>
      <x:c r="DF278" s="1"/>
      <x:c r="DG278" s="1"/>
      <x:c r="DH278" s="1"/>
      <x:c r="DI278" s="1"/>
      <x:c r="DJ278" s="1"/>
      <x:c r="DK278" s="1"/>
      <x:c r="DL278" s="1"/>
      <x:c r="DM278" s="1"/>
    </x:row>
    <x:row r="279" ht="23" customHeight="1">
      <x:c r="A279" s="1" t="n">
        <x:v>274</x:v>
      </x:c>
      <x:c r="B279" s="1"/>
      <x:c r="C279" s="1"/>
      <x:c r="D279" s="1" t="n">
        <x:v>2520</x:v>
      </x:c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  <x:c r="CA279" s="1"/>
      <x:c r="CB279" s="1"/>
      <x:c r="CC279" s="1"/>
      <x:c r="CD279" s="1"/>
      <x:c r="CE279" s="1"/>
      <x:c r="CF279" s="1"/>
      <x:c r="CG279" s="1"/>
      <x:c r="CH279" s="1"/>
      <x:c r="CI279" s="1"/>
      <x:c r="CJ279" s="1"/>
      <x:c r="CK279" s="1"/>
      <x:c r="CL279" s="1"/>
      <x:c r="CM279" s="1"/>
      <x:c r="CN279" s="1"/>
      <x:c r="CO279" s="1"/>
      <x:c r="CP279" s="1"/>
      <x:c r="CQ279" s="1"/>
      <x:c r="CR279" s="1"/>
      <x:c r="CS279" s="1"/>
      <x:c r="CT279" s="1"/>
      <x:c r="CU279" s="1"/>
      <x:c r="CV279" s="1"/>
      <x:c r="CW279" s="1"/>
      <x:c r="CX279" s="1"/>
      <x:c r="CY279" s="1"/>
      <x:c r="CZ279" s="1"/>
      <x:c r="DA279" s="1"/>
      <x:c r="DB279" s="1"/>
      <x:c r="DC279" s="1"/>
      <x:c r="DD279" s="1"/>
      <x:c r="DE279" s="1"/>
      <x:c r="DF279" s="1"/>
      <x:c r="DG279" s="1"/>
      <x:c r="DH279" s="1"/>
      <x:c r="DI279" s="1"/>
      <x:c r="DJ279" s="1"/>
      <x:c r="DK279" s="1"/>
      <x:c r="DL279" s="1"/>
      <x:c r="DM279" s="1"/>
    </x:row>
    <x:row r="280" ht="23" customHeight="1">
      <x:c r="A280" s="1" t="n">
        <x:v>275</x:v>
      </x:c>
      <x:c r="B280" s="1" t="str">
        <x:v>1-丁醇（mg·L-1）</x:v>
      </x:c>
      <x:c r="C280" s="1"/>
      <x:c r="D280" s="1" t="n">
        <x:v>2733</x:v>
      </x:c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 t="n">
        <x:v>380.71</x:v>
      </x:c>
      <x:c r="BO280" s="1" t="n">
        <x:v>730.79</x:v>
      </x:c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  <x:c r="CA280" s="1"/>
      <x:c r="CB280" s="1"/>
      <x:c r="CC280" s="1"/>
      <x:c r="CD280" s="1"/>
      <x:c r="CE280" s="1"/>
      <x:c r="CF280" s="1"/>
      <x:c r="CG280" s="1"/>
      <x:c r="CH280" s="1"/>
      <x:c r="CI280" s="1"/>
      <x:c r="CJ280" s="1"/>
      <x:c r="CK280" s="1"/>
      <x:c r="CL280" s="1"/>
      <x:c r="CM280" s="1"/>
      <x:c r="CN280" s="1"/>
      <x:c r="CO280" s="1"/>
      <x:c r="CP280" s="1"/>
      <x:c r="CQ280" s="1"/>
      <x:c r="CR280" s="1"/>
      <x:c r="CS280" s="1"/>
      <x:c r="CT280" s="1"/>
      <x:c r="CU280" s="1"/>
      <x:c r="CV280" s="1"/>
      <x:c r="CW280" s="1"/>
      <x:c r="CX280" s="1"/>
      <x:c r="CY280" s="1"/>
      <x:c r="CZ280" s="1"/>
      <x:c r="DA280" s="1"/>
      <x:c r="DB280" s="1"/>
      <x:c r="DC280" s="1"/>
      <x:c r="DD280" s="1"/>
      <x:c r="DE280" s="1"/>
      <x:c r="DF280" s="1"/>
      <x:c r="DG280" s="1"/>
      <x:c r="DH280" s="1"/>
      <x:c r="DI280" s="1"/>
      <x:c r="DJ280" s="1"/>
      <x:c r="DK280" s="1"/>
      <x:c r="DL280" s="1"/>
      <x:c r="DM280" s="1"/>
    </x:row>
    <x:row r="281" ht="23" customHeight="1">
      <x:c r="A281" s="1" t="n">
        <x:v>276</x:v>
      </x:c>
      <x:c r="B281" s="1" t="str">
        <x:v>1-己醇（mg·L-1）</x:v>
      </x:c>
      <x:c r="C281" s="1"/>
      <x:c r="D281" s="1" t="n">
        <x:v>5370</x:v>
      </x:c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 t="n">
        <x:v>62.07</x:v>
      </x:c>
      <x:c r="BO281" s="1" t="n">
        <x:v>102.81</x:v>
      </x:c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  <x:c r="CA281" s="1"/>
      <x:c r="CB281" s="1"/>
      <x:c r="CC281" s="1"/>
      <x:c r="CD281" s="1"/>
      <x:c r="CE281" s="1"/>
      <x:c r="CF281" s="1"/>
      <x:c r="CG281" s="1"/>
      <x:c r="CH281" s="1"/>
      <x:c r="CI281" s="1"/>
      <x:c r="CJ281" s="1"/>
      <x:c r="CK281" s="1"/>
      <x:c r="CL281" s="1"/>
      <x:c r="CM281" s="1"/>
      <x:c r="CN281" s="1"/>
      <x:c r="CO281" s="1"/>
      <x:c r="CP281" s="1"/>
      <x:c r="CQ281" s="1"/>
      <x:c r="CR281" s="1"/>
      <x:c r="CS281" s="1"/>
      <x:c r="CT281" s="1"/>
      <x:c r="CU281" s="1"/>
      <x:c r="CV281" s="1"/>
      <x:c r="CW281" s="1"/>
      <x:c r="CX281" s="1"/>
      <x:c r="CY281" s="1"/>
      <x:c r="CZ281" s="1"/>
      <x:c r="DA281" s="1"/>
      <x:c r="DB281" s="1"/>
      <x:c r="DC281" s="1"/>
      <x:c r="DD281" s="1"/>
      <x:c r="DE281" s="1"/>
      <x:c r="DF281" s="1"/>
      <x:c r="DG281" s="1"/>
      <x:c r="DH281" s="1"/>
      <x:c r="DI281" s="1"/>
      <x:c r="DJ281" s="1"/>
      <x:c r="DK281" s="1"/>
      <x:c r="DL281" s="1"/>
      <x:c r="DM281" s="1"/>
    </x:row>
    <x:row r="282" ht="23" customHeight="1">
      <x:c r="A282" s="1" t="n">
        <x:v>277</x:v>
      </x:c>
      <x:c r="B282" s="1" t="str">
        <x:v>1-辛醇（mg·L-1）</x:v>
      </x:c>
      <x:c r="C282" s="1"/>
      <x:c r="D282" s="1" t="n">
        <x:v>1100</x:v>
      </x:c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 t="n">
        <x:v>5.63</x:v>
      </x:c>
      <x:c r="BM282" s="1" t="n">
        <x:v>12.87</x:v>
      </x:c>
      <x:c r="BN282" s="1" t="n">
        <x:v>5.4</x:v>
      </x:c>
      <x:c r="BO282" s="1" t="n">
        <x:v>10.4</x:v>
      </x:c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  <x:c r="CA282" s="1"/>
      <x:c r="CB282" s="1"/>
      <x:c r="CC282" s="1"/>
      <x:c r="CD282" s="1"/>
      <x:c r="CE282" s="1"/>
      <x:c r="CF282" s="1"/>
      <x:c r="CG282" s="1"/>
      <x:c r="CH282" s="1"/>
      <x:c r="CI282" s="1"/>
      <x:c r="CJ282" s="1"/>
      <x:c r="CK282" s="1"/>
      <x:c r="CL282" s="1"/>
      <x:c r="CM282" s="1"/>
      <x:c r="CN282" s="1"/>
      <x:c r="CO282" s="1"/>
      <x:c r="CP282" s="1"/>
      <x:c r="CQ282" s="1"/>
      <x:c r="CR282" s="1"/>
      <x:c r="CS282" s="1"/>
      <x:c r="CT282" s="1"/>
      <x:c r="CU282" s="1"/>
      <x:c r="CV282" s="1"/>
      <x:c r="CW282" s="1"/>
      <x:c r="CX282" s="1"/>
      <x:c r="CY282" s="1"/>
      <x:c r="CZ282" s="1"/>
      <x:c r="DA282" s="1"/>
      <x:c r="DB282" s="1"/>
      <x:c r="DC282" s="1"/>
      <x:c r="DD282" s="1"/>
      <x:c r="DE282" s="1"/>
      <x:c r="DF282" s="1"/>
      <x:c r="DG282" s="1"/>
      <x:c r="DH282" s="1"/>
      <x:c r="DI282" s="1"/>
      <x:c r="DJ282" s="1"/>
      <x:c r="DK282" s="1"/>
      <x:c r="DL282" s="1"/>
      <x:c r="DM282" s="1"/>
    </x:row>
    <x:row r="283" ht="23" customHeight="1">
      <x:c r="A283" s="1" t="n">
        <x:v>278</x:v>
      </x:c>
      <x:c r="B283" s="1" t="str">
        <x:v>1-（1-乙氧基乙氧基）-丁烷</x:v>
      </x:c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 t="n">
        <x:v>2.58</x:v>
      </x:c>
      <x:c r="AR283" s="1" t="n">
        <x:v>1.09</x:v>
      </x:c>
      <x:c r="AS283" s="1" t="n">
        <x:v>0.83</x:v>
      </x:c>
      <x:c r="AT283" s="1" t="n">
        <x:v>2.22</x:v>
      </x:c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  <x:c r="CA283" s="1"/>
      <x:c r="CB283" s="1"/>
      <x:c r="CC283" s="1"/>
      <x:c r="CD283" s="1"/>
      <x:c r="CE283" s="1"/>
      <x:c r="CF283" s="1"/>
      <x:c r="CG283" s="1"/>
      <x:c r="CH283" s="1"/>
      <x:c r="CI283" s="1"/>
      <x:c r="CJ283" s="1"/>
      <x:c r="CK283" s="1"/>
      <x:c r="CL283" s="1"/>
      <x:c r="CM283" s="1"/>
      <x:c r="CN283" s="1"/>
      <x:c r="CO283" s="1"/>
      <x:c r="CP283" s="1"/>
      <x:c r="CQ283" s="1"/>
      <x:c r="CR283" s="1"/>
      <x:c r="CS283" s="1"/>
      <x:c r="CT283" s="1"/>
      <x:c r="CU283" s="1"/>
      <x:c r="CV283" s="1"/>
      <x:c r="CW283" s="1"/>
      <x:c r="CX283" s="1"/>
      <x:c r="CY283" s="1"/>
      <x:c r="CZ283" s="1"/>
      <x:c r="DA283" s="1"/>
      <x:c r="DB283" s="1"/>
      <x:c r="DC283" s="1"/>
      <x:c r="DD283" s="1"/>
      <x:c r="DE283" s="1"/>
      <x:c r="DF283" s="1"/>
      <x:c r="DG283" s="1"/>
      <x:c r="DH283" s="1"/>
      <x:c r="DI283" s="1"/>
      <x:c r="DJ283" s="1"/>
      <x:c r="DK283" s="1"/>
      <x:c r="DL283" s="1"/>
      <x:c r="DM283" s="1"/>
    </x:row>
    <x:row r="284" ht="23" customHeight="1">
      <x:c r="A284" s="1" t="n">
        <x:v>279</x:v>
      </x:c>
      <x:c r="B284" s="1" t="str">
        <x:v>1.2- 丙二醇</x:v>
      </x:c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 t="n">
        <x:v>1280</x:v>
      </x:c>
      <x:c r="AI284" s="1" t="n">
        <x:v>810</x:v>
      </x:c>
      <x:c r="AJ284" s="1" t="n">
        <x:v>3250</x:v>
      </x:c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  <x:c r="CA284" s="1"/>
      <x:c r="CB284" s="1"/>
      <x:c r="CC284" s="1"/>
      <x:c r="CD284" s="1"/>
      <x:c r="CE284" s="1"/>
      <x:c r="CF284" s="1"/>
      <x:c r="CG284" s="1"/>
      <x:c r="CH284" s="1"/>
      <x:c r="CI284" s="1"/>
      <x:c r="CJ284" s="1"/>
      <x:c r="CK284" s="1"/>
      <x:c r="CL284" s="1"/>
      <x:c r="CM284" s="1"/>
      <x:c r="CN284" s="1"/>
      <x:c r="CO284" s="1"/>
      <x:c r="CP284" s="1"/>
      <x:c r="CQ284" s="1"/>
      <x:c r="CR284" s="1"/>
      <x:c r="CS284" s="1"/>
      <x:c r="CT284" s="1"/>
      <x:c r="CU284" s="1"/>
      <x:c r="CV284" s="1"/>
      <x:c r="CW284" s="1"/>
      <x:c r="CX284" s="1"/>
      <x:c r="CY284" s="1"/>
      <x:c r="CZ284" s="1"/>
      <x:c r="DA284" s="1"/>
      <x:c r="DB284" s="1"/>
      <x:c r="DC284" s="1"/>
      <x:c r="DD284" s="1"/>
      <x:c r="DE284" s="1"/>
      <x:c r="DF284" s="1"/>
      <x:c r="DG284" s="1"/>
      <x:c r="DH284" s="1"/>
      <x:c r="DI284" s="1"/>
      <x:c r="DJ284" s="1"/>
      <x:c r="DK284" s="1"/>
      <x:c r="DL284" s="1"/>
      <x:c r="DM284" s="1"/>
    </x:row>
    <x:row r="285" ht="23" customHeight="1">
      <x:c r="A285" s="1" t="n">
        <x:v>280</x:v>
      </x:c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 t="n">
        <x:v>393</x:v>
      </x:c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  <x:c r="CA285" s="1"/>
      <x:c r="CB285" s="1"/>
      <x:c r="CC285" s="1"/>
      <x:c r="CD285" s="1"/>
      <x:c r="CE285" s="1"/>
      <x:c r="CF285" s="1"/>
      <x:c r="CG285" s="1"/>
      <x:c r="CH285" s="1"/>
      <x:c r="CI285" s="1"/>
      <x:c r="CJ285" s="1"/>
      <x:c r="CK285" s="1"/>
      <x:c r="CL285" s="1"/>
      <x:c r="CM285" s="1"/>
      <x:c r="CN285" s="1"/>
      <x:c r="CO285" s="1"/>
      <x:c r="CP285" s="1"/>
      <x:c r="CQ285" s="1"/>
      <x:c r="CR285" s="1"/>
      <x:c r="CS285" s="1"/>
      <x:c r="CT285" s="1"/>
      <x:c r="CU285" s="1"/>
      <x:c r="CV285" s="1"/>
      <x:c r="CW285" s="1"/>
      <x:c r="CX285" s="1"/>
      <x:c r="CY285" s="1"/>
      <x:c r="CZ285" s="1"/>
      <x:c r="DA285" s="1"/>
      <x:c r="DB285" s="1"/>
      <x:c r="DC285" s="1"/>
      <x:c r="DD285" s="1"/>
      <x:c r="DE285" s="1"/>
      <x:c r="DF285" s="1"/>
      <x:c r="DG285" s="1"/>
      <x:c r="DH285" s="1"/>
      <x:c r="DI285" s="1"/>
      <x:c r="DJ285" s="1"/>
      <x:c r="DK285" s="1"/>
      <x:c r="DL285" s="1"/>
      <x:c r="DM285" s="1"/>
    </x:row>
    <x:row r="286" ht="23" customHeight="1">
      <x:c r="A286" s="1" t="n">
        <x:v>281</x:v>
      </x:c>
      <x:c r="B286" s="1" t="str">
        <x:v>1，1-二乙氧基-2-甲基丁烷</x:v>
      </x:c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 t="n">
        <x:v>22.78</x:v>
      </x:c>
      <x:c r="AR286" s="1" t="n">
        <x:v>5.99</x:v>
      </x:c>
      <x:c r="AS286" s="1" t="n">
        <x:v>5.47</x:v>
      </x:c>
      <x:c r="AT286" s="1" t="n">
        <x:v>8.32</x:v>
      </x:c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  <x:c r="CA286" s="1"/>
      <x:c r="CB286" s="1"/>
      <x:c r="CC286" s="1"/>
      <x:c r="CD286" s="1"/>
      <x:c r="CE286" s="1"/>
      <x:c r="CF286" s="1"/>
      <x:c r="CG286" s="1"/>
      <x:c r="CH286" s="1"/>
      <x:c r="CI286" s="1"/>
      <x:c r="CJ286" s="1"/>
      <x:c r="CK286" s="1"/>
      <x:c r="CL286" s="1"/>
      <x:c r="CM286" s="1"/>
      <x:c r="CN286" s="1"/>
      <x:c r="CO286" s="1"/>
      <x:c r="CP286" s="1"/>
      <x:c r="CQ286" s="1"/>
      <x:c r="CR286" s="1"/>
      <x:c r="CS286" s="1"/>
      <x:c r="CT286" s="1"/>
      <x:c r="CU286" s="1"/>
      <x:c r="CV286" s="1"/>
      <x:c r="CW286" s="1"/>
      <x:c r="CX286" s="1"/>
      <x:c r="CY286" s="1"/>
      <x:c r="CZ286" s="1"/>
      <x:c r="DA286" s="1"/>
      <x:c r="DB286" s="1"/>
      <x:c r="DC286" s="1"/>
      <x:c r="DD286" s="1"/>
      <x:c r="DE286" s="1"/>
      <x:c r="DF286" s="1"/>
      <x:c r="DG286" s="1"/>
      <x:c r="DH286" s="1"/>
      <x:c r="DI286" s="1"/>
      <x:c r="DJ286" s="1"/>
      <x:c r="DK286" s="1"/>
      <x:c r="DL286" s="1"/>
      <x:c r="DM286" s="1"/>
    </x:row>
    <x:row r="287" ht="23" customHeight="1">
      <x:c r="A287" s="1" t="n">
        <x:v>282</x:v>
      </x:c>
      <x:c r="B287" s="1" t="str">
        <x:v>1，1-二乙氧基-3-甲基丁烷</x:v>
      </x:c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 t="n">
        <x:v>64.54</x:v>
      </x:c>
      <x:c r="AR287" s="1" t="n">
        <x:v>19.16</x:v>
      </x:c>
      <x:c r="AS287" s="1" t="n">
        <x:v>22.53</x:v>
      </x:c>
      <x:c r="AT287" s="1" t="n">
        <x:v>32.12</x:v>
      </x:c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  <x:c r="CA287" s="1"/>
      <x:c r="CB287" s="1"/>
      <x:c r="CC287" s="1"/>
      <x:c r="CD287" s="1"/>
      <x:c r="CE287" s="1"/>
      <x:c r="CF287" s="1"/>
      <x:c r="CG287" s="1"/>
      <x:c r="CH287" s="1"/>
      <x:c r="CI287" s="1"/>
      <x:c r="CJ287" s="1"/>
      <x:c r="CK287" s="1"/>
      <x:c r="CL287" s="1"/>
      <x:c r="CM287" s="1"/>
      <x:c r="CN287" s="1"/>
      <x:c r="CO287" s="1"/>
      <x:c r="CP287" s="1"/>
      <x:c r="CQ287" s="1"/>
      <x:c r="CR287" s="1"/>
      <x:c r="CS287" s="1"/>
      <x:c r="CT287" s="1"/>
      <x:c r="CU287" s="1"/>
      <x:c r="CV287" s="1"/>
      <x:c r="CW287" s="1"/>
      <x:c r="CX287" s="1"/>
      <x:c r="CY287" s="1"/>
      <x:c r="CZ287" s="1"/>
      <x:c r="DA287" s="1"/>
      <x:c r="DB287" s="1"/>
      <x:c r="DC287" s="1"/>
      <x:c r="DD287" s="1"/>
      <x:c r="DE287" s="1"/>
      <x:c r="DF287" s="1"/>
      <x:c r="DG287" s="1"/>
      <x:c r="DH287" s="1"/>
      <x:c r="DI287" s="1"/>
      <x:c r="DJ287" s="1"/>
      <x:c r="DK287" s="1"/>
      <x:c r="DL287" s="1"/>
      <x:c r="DM287" s="1"/>
    </x:row>
    <x:row r="288" ht="23" customHeight="1">
      <x:c r="A288" s="1" t="n">
        <x:v>283</x:v>
      </x:c>
      <x:c r="B288" s="1" t="str">
        <x:v>1，1-二乙氧基乙烷</x:v>
      </x:c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 t="n">
        <x:v>162.08</x:v>
      </x:c>
      <x:c r="AR288" s="1" t="n">
        <x:v>180.56</x:v>
      </x:c>
      <x:c r="AS288" s="1" t="n">
        <x:v>364.16</x:v>
      </x:c>
      <x:c r="AT288" s="1" t="n">
        <x:v>362.76</x:v>
      </x:c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  <x:c r="CA288" s="1"/>
      <x:c r="CB288" s="1"/>
      <x:c r="CC288" s="1"/>
      <x:c r="CD288" s="1"/>
      <x:c r="CE288" s="1"/>
      <x:c r="CF288" s="1"/>
      <x:c r="CG288" s="1"/>
      <x:c r="CH288" s="1"/>
      <x:c r="CI288" s="1"/>
      <x:c r="CJ288" s="1"/>
      <x:c r="CK288" s="1"/>
      <x:c r="CL288" s="1"/>
      <x:c r="CM288" s="1"/>
      <x:c r="CN288" s="1"/>
      <x:c r="CO288" s="1"/>
      <x:c r="CP288" s="1"/>
      <x:c r="CQ288" s="1"/>
      <x:c r="CR288" s="1"/>
      <x:c r="CS288" s="1"/>
      <x:c r="CT288" s="1"/>
      <x:c r="CU288" s="1"/>
      <x:c r="CV288" s="1"/>
      <x:c r="CW288" s="1"/>
      <x:c r="CX288" s="1"/>
      <x:c r="CY288" s="1"/>
      <x:c r="CZ288" s="1"/>
      <x:c r="DA288" s="1"/>
      <x:c r="DB288" s="1"/>
      <x:c r="DC288" s="1"/>
      <x:c r="DD288" s="1"/>
      <x:c r="DE288" s="1"/>
      <x:c r="DF288" s="1"/>
      <x:c r="DG288" s="1"/>
      <x:c r="DH288" s="1"/>
      <x:c r="DI288" s="1"/>
      <x:c r="DJ288" s="1"/>
      <x:c r="DK288" s="1"/>
      <x:c r="DL288" s="1"/>
      <x:c r="DM288" s="1"/>
    </x:row>
    <x:row r="289" ht="23" customHeight="1">
      <x:c r="A289" s="1" t="n">
        <x:v>284</x:v>
      </x:c>
      <x:c r="B289" s="1" t="str">
        <x:v>1，1，3-三乙氧基丙烷</x:v>
      </x:c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 t="n">
        <x:v>2.02</x:v>
      </x:c>
      <x:c r="AR289" s="1" t="n">
        <x:v>1.65</x:v>
      </x:c>
      <x:c r="AS289" s="1" t="n">
        <x:v>1.94</x:v>
      </x:c>
      <x:c r="AT289" s="1" t="n">
        <x:v>2.18</x:v>
      </x:c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  <x:c r="CA289" s="1"/>
      <x:c r="CB289" s="1"/>
      <x:c r="CC289" s="1"/>
      <x:c r="CD289" s="1"/>
      <x:c r="CE289" s="1"/>
      <x:c r="CF289" s="1"/>
      <x:c r="CG289" s="1"/>
      <x:c r="CH289" s="1"/>
      <x:c r="CI289" s="1"/>
      <x:c r="CJ289" s="1"/>
      <x:c r="CK289" s="1"/>
      <x:c r="CL289" s="1"/>
      <x:c r="CM289" s="1"/>
      <x:c r="CN289" s="1"/>
      <x:c r="CO289" s="1"/>
      <x:c r="CP289" s="1"/>
      <x:c r="CQ289" s="1"/>
      <x:c r="CR289" s="1"/>
      <x:c r="CS289" s="1"/>
      <x:c r="CT289" s="1"/>
      <x:c r="CU289" s="1"/>
      <x:c r="CV289" s="1"/>
      <x:c r="CW289" s="1"/>
      <x:c r="CX289" s="1"/>
      <x:c r="CY289" s="1"/>
      <x:c r="CZ289" s="1"/>
      <x:c r="DA289" s="1"/>
      <x:c r="DB289" s="1"/>
      <x:c r="DC289" s="1"/>
      <x:c r="DD289" s="1"/>
      <x:c r="DE289" s="1"/>
      <x:c r="DF289" s="1"/>
      <x:c r="DG289" s="1"/>
      <x:c r="DH289" s="1"/>
      <x:c r="DI289" s="1"/>
      <x:c r="DJ289" s="1"/>
      <x:c r="DK289" s="1"/>
      <x:c r="DL289" s="1"/>
      <x:c r="DM289" s="1"/>
    </x:row>
    <x:row r="290" ht="23" customHeight="1">
      <x:c r="A290" s="1" t="n">
        <x:v>285</x:v>
      </x:c>
      <x:c r="B290" s="1" t="str">
        <x:v>1，2－丙二醇</x:v>
      </x:c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 t="n">
        <x:v>8100</x:v>
      </x:c>
      <x:c r="BR290" s="1" t="n">
        <x:v>15700</x:v>
      </x:c>
      <x:c r="BS290" s="1" t="n">
        <x:v>22300</x:v>
      </x:c>
      <x:c r="BT290" s="1" t="n">
        <x:v>8400</x:v>
      </x:c>
      <x:c r="BU290" s="1" t="n">
        <x:v>31000</x:v>
      </x:c>
      <x:c r="BV290" s="1" t="n">
        <x:v>9700</x:v>
      </x:c>
      <x:c r="BW290" s="1" t="n">
        <x:v>24200</x:v>
      </x:c>
      <x:c r="BX290" s="1" t="n">
        <x:v>6100</x:v>
      </x:c>
      <x:c r="BY290" s="1" t="n">
        <x:v>24200</x:v>
      </x:c>
      <x:c r="BZ290" s="1"/>
      <x:c r="CA290" s="1"/>
      <x:c r="CB290" s="1"/>
      <x:c r="CC290" s="1"/>
      <x:c r="CD290" s="1"/>
      <x:c r="CE290" s="1"/>
      <x:c r="CF290" s="1"/>
      <x:c r="CG290" s="1"/>
      <x:c r="CH290" s="1"/>
      <x:c r="CI290" s="1"/>
      <x:c r="CJ290" s="1"/>
      <x:c r="CK290" s="1"/>
      <x:c r="CL290" s="1"/>
      <x:c r="CM290" s="1"/>
      <x:c r="CN290" s="1"/>
      <x:c r="CO290" s="1"/>
      <x:c r="CP290" s="1"/>
      <x:c r="CQ290" s="1"/>
      <x:c r="CR290" s="1"/>
      <x:c r="CS290" s="1"/>
      <x:c r="CT290" s="1"/>
      <x:c r="CU290" s="1"/>
      <x:c r="CV290" s="1"/>
      <x:c r="CW290" s="1"/>
      <x:c r="CX290" s="1"/>
      <x:c r="CY290" s="1"/>
      <x:c r="CZ290" s="1"/>
      <x:c r="DA290" s="1"/>
      <x:c r="DB290" s="1"/>
      <x:c r="DC290" s="1"/>
      <x:c r="DD290" s="1"/>
      <x:c r="DE290" s="1"/>
      <x:c r="DF290" s="1"/>
      <x:c r="DG290" s="1"/>
      <x:c r="DH290" s="1"/>
      <x:c r="DI290" s="1"/>
      <x:c r="DJ290" s="1"/>
      <x:c r="DK290" s="1"/>
      <x:c r="DL290" s="1"/>
      <x:c r="DM290" s="1"/>
    </x:row>
    <x:row r="291" ht="23" customHeight="1">
      <x:c r="A291" s="1" t="n">
        <x:v>286</x:v>
      </x:c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 t="n">
        <x:v>940</x:v>
      </x:c>
      <x:c r="M291" s="1" t="n">
        <x:v>1121</x:v>
      </x:c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  <x:c r="CA291" s="1"/>
      <x:c r="CB291" s="1"/>
      <x:c r="CC291" s="1"/>
      <x:c r="CD291" s="1"/>
      <x:c r="CE291" s="1"/>
      <x:c r="CF291" s="1"/>
      <x:c r="CG291" s="1"/>
      <x:c r="CH291" s="1"/>
      <x:c r="CI291" s="1"/>
      <x:c r="CJ291" s="1"/>
      <x:c r="CK291" s="1"/>
      <x:c r="CL291" s="1"/>
      <x:c r="CM291" s="1"/>
      <x:c r="CN291" s="1"/>
      <x:c r="CO291" s="1"/>
      <x:c r="CP291" s="1"/>
      <x:c r="CQ291" s="1"/>
      <x:c r="CR291" s="1"/>
      <x:c r="CS291" s="1"/>
      <x:c r="CT291" s="1"/>
      <x:c r="CU291" s="1"/>
      <x:c r="CV291" s="1"/>
      <x:c r="CW291" s="1"/>
      <x:c r="CX291" s="1"/>
      <x:c r="CY291" s="1"/>
      <x:c r="CZ291" s="1"/>
      <x:c r="DA291" s="1"/>
      <x:c r="DB291" s="1"/>
      <x:c r="DC291" s="1"/>
      <x:c r="DD291" s="1"/>
      <x:c r="DE291" s="1"/>
      <x:c r="DF291" s="1"/>
      <x:c r="DG291" s="1"/>
      <x:c r="DH291" s="1"/>
      <x:c r="DI291" s="1"/>
      <x:c r="DJ291" s="1"/>
      <x:c r="DK291" s="1"/>
      <x:c r="DL291" s="1"/>
      <x:c r="DM291" s="1"/>
    </x:row>
    <x:row r="292" ht="23" customHeight="1">
      <x:c r="A292" s="1" t="n">
        <x:v>287</x:v>
      </x:c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  <x:c r="CA292" s="1"/>
      <x:c r="CB292" s="1"/>
      <x:c r="CC292" s="1"/>
      <x:c r="CD292" s="1"/>
      <x:c r="CE292" s="1"/>
      <x:c r="CF292" s="1"/>
      <x:c r="CG292" s="1"/>
      <x:c r="CH292" s="1"/>
      <x:c r="CI292" s="1"/>
      <x:c r="CJ292" s="1"/>
      <x:c r="CK292" s="1"/>
      <x:c r="CL292" s="1"/>
      <x:c r="CM292" s="1"/>
      <x:c r="CN292" s="1"/>
      <x:c r="CO292" s="1"/>
      <x:c r="CP292" s="1"/>
      <x:c r="CQ292" s="1"/>
      <x:c r="CR292" s="1"/>
      <x:c r="CS292" s="1"/>
      <x:c r="CT292" s="1"/>
      <x:c r="CU292" s="1"/>
      <x:c r="CV292" s="1"/>
      <x:c r="CW292" s="1"/>
      <x:c r="CX292" s="1"/>
      <x:c r="CY292" s="1"/>
      <x:c r="CZ292" s="1"/>
      <x:c r="DA292" s="1"/>
      <x:c r="DB292" s="1"/>
      <x:c r="DC292" s="1"/>
      <x:c r="DD292" s="1"/>
      <x:c r="DE292" s="1"/>
      <x:c r="DF292" s="1"/>
      <x:c r="DG292" s="1"/>
      <x:c r="DH292" s="1"/>
      <x:c r="DI292" s="1"/>
      <x:c r="DJ292" s="1"/>
      <x:c r="DK292" s="1"/>
      <x:c r="DL292" s="1"/>
      <x:c r="DM292" s="1"/>
    </x:row>
    <x:row r="293" ht="23" customHeight="1">
      <x:c r="A293" s="1" t="n">
        <x:v>288</x:v>
      </x:c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  <x:c r="CA293" s="1"/>
      <x:c r="CB293" s="1"/>
      <x:c r="CC293" s="1"/>
      <x:c r="CD293" s="1"/>
      <x:c r="CE293" s="1"/>
      <x:c r="CF293" s="1"/>
      <x:c r="CG293" s="1"/>
      <x:c r="CH293" s="1"/>
      <x:c r="CI293" s="1"/>
      <x:c r="CJ293" s="1"/>
      <x:c r="CK293" s="1"/>
      <x:c r="CL293" s="1"/>
      <x:c r="CM293" s="1"/>
      <x:c r="CN293" s="1"/>
      <x:c r="CO293" s="1"/>
      <x:c r="CP293" s="1"/>
      <x:c r="CQ293" s="1"/>
      <x:c r="CR293" s="1"/>
      <x:c r="CS293" s="1"/>
      <x:c r="CT293" s="1"/>
      <x:c r="CU293" s="1"/>
      <x:c r="CV293" s="1"/>
      <x:c r="CW293" s="1"/>
      <x:c r="CX293" s="1"/>
      <x:c r="CY293" s="1"/>
      <x:c r="CZ293" s="1"/>
      <x:c r="DA293" s="1"/>
      <x:c r="DB293" s="1"/>
      <x:c r="DC293" s="1"/>
      <x:c r="DD293" s="1"/>
      <x:c r="DE293" s="1"/>
      <x:c r="DF293" s="1"/>
      <x:c r="DG293" s="1"/>
      <x:c r="DH293" s="1"/>
      <x:c r="DI293" s="1"/>
      <x:c r="DJ293" s="1"/>
      <x:c r="DK293" s="1"/>
      <x:c r="DL293" s="1"/>
      <x:c r="DM293" s="1"/>
    </x:row>
    <x:row r="294" ht="23" customHeight="1">
      <x:c r="A294" s="1" t="n">
        <x:v>289</x:v>
      </x:c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  <x:c r="CA294" s="1"/>
      <x:c r="CB294" s="1"/>
      <x:c r="CC294" s="1"/>
      <x:c r="CD294" s="1"/>
      <x:c r="CE294" s="1"/>
      <x:c r="CF294" s="1"/>
      <x:c r="CG294" s="1"/>
      <x:c r="CH294" s="1"/>
      <x:c r="CI294" s="1"/>
      <x:c r="CJ294" s="1"/>
      <x:c r="CK294" s="1"/>
      <x:c r="CL294" s="1"/>
      <x:c r="CM294" s="1"/>
      <x:c r="CN294" s="1"/>
      <x:c r="CO294" s="1"/>
      <x:c r="CP294" s="1"/>
      <x:c r="CQ294" s="1"/>
      <x:c r="CR294" s="1"/>
      <x:c r="CS294" s="1"/>
      <x:c r="CT294" s="1"/>
      <x:c r="CU294" s="1"/>
      <x:c r="CV294" s="1"/>
      <x:c r="CW294" s="1"/>
      <x:c r="CX294" s="1"/>
      <x:c r="CY294" s="1"/>
      <x:c r="CZ294" s="1"/>
      <x:c r="DA294" s="1"/>
      <x:c r="DB294" s="1"/>
      <x:c r="DC294" s="1"/>
      <x:c r="DD294" s="1"/>
      <x:c r="DE294" s="1"/>
      <x:c r="DF294" s="1"/>
      <x:c r="DG294" s="1"/>
      <x:c r="DH294" s="1"/>
      <x:c r="DI294" s="1"/>
      <x:c r="DJ294" s="1"/>
      <x:c r="DK294" s="1"/>
      <x:c r="DL294" s="1"/>
      <x:c r="DM294" s="1"/>
    </x:row>
    <x:row r="295" ht="23" customHeight="1">
      <x:c r="A295" s="1" t="n">
        <x:v>290</x:v>
      </x:c>
      <x:c r="B295" s="1" t="str">
        <x:v>2-壬酮2-nonanone</x:v>
      </x:c>
      <x:c r="C295" s="1"/>
      <x:c r="D295" s="1" t="n">
        <x:v>393</x:v>
      </x:c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  <x:c r="CA295" s="1"/>
      <x:c r="CB295" s="1"/>
      <x:c r="CC295" s="1"/>
      <x:c r="CD295" s="1"/>
      <x:c r="CE295" s="1"/>
      <x:c r="CF295" s="1"/>
      <x:c r="CG295" s="1"/>
      <x:c r="CH295" s="1"/>
      <x:c r="CI295" s="1"/>
      <x:c r="CJ295" s="1"/>
      <x:c r="CK295" s="1"/>
      <x:c r="CL295" s="1"/>
      <x:c r="CM295" s="1"/>
      <x:c r="CN295" s="1"/>
      <x:c r="CO295" s="1"/>
      <x:c r="CP295" s="1"/>
      <x:c r="CQ295" s="1"/>
      <x:c r="CR295" s="1"/>
      <x:c r="CS295" s="1"/>
      <x:c r="CT295" s="1"/>
      <x:c r="CU295" s="1"/>
      <x:c r="CV295" s="1"/>
      <x:c r="CW295" s="1"/>
      <x:c r="CX295" s="1"/>
      <x:c r="CY295" s="1"/>
      <x:c r="CZ295" s="1"/>
      <x:c r="DA295" s="1"/>
      <x:c r="DB295" s="1"/>
      <x:c r="DC295" s="1"/>
      <x:c r="DD295" s="1"/>
      <x:c r="DE295" s="1"/>
      <x:c r="DF295" s="1"/>
      <x:c r="DG295" s="1"/>
      <x:c r="DH295" s="1"/>
      <x:c r="DI295" s="1"/>
      <x:c r="DJ295" s="1"/>
      <x:c r="DK295" s="1"/>
      <x:c r="DL295" s="1"/>
      <x:c r="DM295" s="1"/>
    </x:row>
    <x:row r="296" ht="23" customHeight="1">
      <x:c r="A296" s="1" t="n">
        <x:v>291</x:v>
      </x:c>
      <x:c r="B296" s="1" t="str">
        <x:v>2-庚醇2-heptanol</x:v>
      </x:c>
      <x:c r="C296" s="1"/>
      <x:c r="D296" s="1" t="n">
        <x:v>1431</x:v>
      </x:c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  <x:c r="CA296" s="1"/>
      <x:c r="CB296" s="1"/>
      <x:c r="CC296" s="1"/>
      <x:c r="CD296" s="1"/>
      <x:c r="CE296" s="1"/>
      <x:c r="CF296" s="1"/>
      <x:c r="CG296" s="1"/>
      <x:c r="CH296" s="1"/>
      <x:c r="CI296" s="1"/>
      <x:c r="CJ296" s="1"/>
      <x:c r="CK296" s="1"/>
      <x:c r="CL296" s="1"/>
      <x:c r="CM296" s="1"/>
      <x:c r="CN296" s="1"/>
      <x:c r="CO296" s="1"/>
      <x:c r="CP296" s="1"/>
      <x:c r="CQ296" s="1"/>
      <x:c r="CR296" s="1"/>
      <x:c r="CS296" s="1"/>
      <x:c r="CT296" s="1"/>
      <x:c r="CU296" s="1"/>
      <x:c r="CV296" s="1"/>
      <x:c r="CW296" s="1"/>
      <x:c r="CX296" s="1"/>
      <x:c r="CY296" s="1"/>
      <x:c r="CZ296" s="1"/>
      <x:c r="DA296" s="1"/>
      <x:c r="DB296" s="1"/>
      <x:c r="DC296" s="1"/>
      <x:c r="DD296" s="1"/>
      <x:c r="DE296" s="1"/>
      <x:c r="DF296" s="1"/>
      <x:c r="DG296" s="1"/>
      <x:c r="DH296" s="1"/>
      <x:c r="DI296" s="1"/>
      <x:c r="DJ296" s="1"/>
      <x:c r="DK296" s="1"/>
      <x:c r="DL296" s="1"/>
      <x:c r="DM296" s="1"/>
    </x:row>
    <x:row r="297" ht="23" customHeight="1">
      <x:c r="A297" s="1" t="n">
        <x:v>292</x:v>
      </x:c>
      <x:c r="B297" s="1" t="str">
        <x:v>2-癸醛decanal</x:v>
      </x:c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  <x:c r="CA297" s="1"/>
      <x:c r="CB297" s="1"/>
      <x:c r="CC297" s="1"/>
      <x:c r="CD297" s="1"/>
      <x:c r="CE297" s="1"/>
      <x:c r="CF297" s="1"/>
      <x:c r="CG297" s="1"/>
      <x:c r="CH297" s="1"/>
      <x:c r="CI297" s="1"/>
      <x:c r="CJ297" s="1"/>
      <x:c r="CK297" s="1"/>
      <x:c r="CL297" s="1"/>
      <x:c r="CM297" s="1"/>
      <x:c r="CN297" s="1"/>
      <x:c r="CO297" s="1"/>
      <x:c r="CP297" s="1"/>
      <x:c r="CQ297" s="1"/>
      <x:c r="CR297" s="1"/>
      <x:c r="CS297" s="1"/>
      <x:c r="CT297" s="1"/>
      <x:c r="CU297" s="1"/>
      <x:c r="CV297" s="1"/>
      <x:c r="CW297" s="1"/>
      <x:c r="CX297" s="1"/>
      <x:c r="CY297" s="1"/>
      <x:c r="CZ297" s="1"/>
      <x:c r="DA297" s="1"/>
      <x:c r="DB297" s="1"/>
      <x:c r="DC297" s="1"/>
      <x:c r="DD297" s="1"/>
      <x:c r="DE297" s="1"/>
      <x:c r="DF297" s="1"/>
      <x:c r="DG297" s="1"/>
      <x:c r="DH297" s="1"/>
      <x:c r="DI297" s="1"/>
      <x:c r="DJ297" s="1"/>
      <x:c r="DK297" s="1"/>
      <x:c r="DL297" s="1"/>
      <x:c r="DM297" s="1"/>
    </x:row>
    <x:row r="298" ht="23" customHeight="1">
      <x:c r="A298" s="1" t="n">
        <x:v>293</x:v>
      </x:c>
      <x:c r="B298" s="1" t="str">
        <x:v>2-苯乙酸乙酯ethyl 2-phenylacetate</x:v>
      </x:c>
      <x:c r="C298" s="1"/>
      <x:c r="D298" s="1" t="n">
        <x:v>407</x:v>
      </x:c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  <x:c r="CA298" s="1"/>
      <x:c r="CB298" s="1"/>
      <x:c r="CC298" s="1"/>
      <x:c r="CD298" s="1"/>
      <x:c r="CE298" s="1"/>
      <x:c r="CF298" s="1"/>
      <x:c r="CG298" s="1"/>
      <x:c r="CH298" s="1"/>
      <x:c r="CI298" s="1"/>
      <x:c r="CJ298" s="1"/>
      <x:c r="CK298" s="1"/>
      <x:c r="CL298" s="1"/>
      <x:c r="CM298" s="1"/>
      <x:c r="CN298" s="1"/>
      <x:c r="CO298" s="1"/>
      <x:c r="CP298" s="1"/>
      <x:c r="CQ298" s="1"/>
      <x:c r="CR298" s="1"/>
      <x:c r="CS298" s="1"/>
      <x:c r="CT298" s="1"/>
      <x:c r="CU298" s="1"/>
      <x:c r="CV298" s="1"/>
      <x:c r="CW298" s="1"/>
      <x:c r="CX298" s="1"/>
      <x:c r="CY298" s="1"/>
      <x:c r="CZ298" s="1"/>
      <x:c r="DA298" s="1"/>
      <x:c r="DB298" s="1"/>
      <x:c r="DC298" s="1"/>
      <x:c r="DD298" s="1"/>
      <x:c r="DE298" s="1"/>
      <x:c r="DF298" s="1"/>
      <x:c r="DG298" s="1"/>
      <x:c r="DH298" s="1"/>
      <x:c r="DI298" s="1"/>
      <x:c r="DJ298" s="1"/>
      <x:c r="DK298" s="1"/>
      <x:c r="DL298" s="1"/>
      <x:c r="DM298" s="1"/>
    </x:row>
    <x:row r="299" ht="23" customHeight="1">
      <x:c r="A299" s="1" t="n">
        <x:v>294</x:v>
      </x:c>
      <x:c r="B299" s="1" t="str">
        <x:v>2-苯乙酸乙酯（mg·L-1）</x:v>
      </x:c>
      <x:c r="C299" s="1"/>
      <x:c r="D299" s="1" t="n">
        <x:v>407</x:v>
      </x:c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 t="n">
        <x:v>18.59</x:v>
      </x:c>
      <x:c r="BM299" s="1" t="n">
        <x:v>13.04</x:v>
      </x:c>
      <x:c r="BN299" s="1" t="n">
        <x:v>6.67</x:v>
      </x:c>
      <x:c r="BO299" s="1" t="n">
        <x:v>12.36</x:v>
      </x:c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  <x:c r="CA299" s="1"/>
      <x:c r="CB299" s="1"/>
      <x:c r="CC299" s="1"/>
      <x:c r="CD299" s="1"/>
      <x:c r="CE299" s="1"/>
      <x:c r="CF299" s="1"/>
      <x:c r="CG299" s="1"/>
      <x:c r="CH299" s="1"/>
      <x:c r="CI299" s="1"/>
      <x:c r="CJ299" s="1"/>
      <x:c r="CK299" s="1"/>
      <x:c r="CL299" s="1"/>
      <x:c r="CM299" s="1"/>
      <x:c r="CN299" s="1"/>
      <x:c r="CO299" s="1"/>
      <x:c r="CP299" s="1"/>
      <x:c r="CQ299" s="1"/>
      <x:c r="CR299" s="1"/>
      <x:c r="CS299" s="1"/>
      <x:c r="CT299" s="1"/>
      <x:c r="CU299" s="1"/>
      <x:c r="CV299" s="1"/>
      <x:c r="CW299" s="1"/>
      <x:c r="CX299" s="1"/>
      <x:c r="CY299" s="1"/>
      <x:c r="CZ299" s="1"/>
      <x:c r="DA299" s="1"/>
      <x:c r="DB299" s="1"/>
      <x:c r="DC299" s="1"/>
      <x:c r="DD299" s="1"/>
      <x:c r="DE299" s="1"/>
      <x:c r="DF299" s="1"/>
      <x:c r="DG299" s="1"/>
      <x:c r="DH299" s="1"/>
      <x:c r="DI299" s="1"/>
      <x:c r="DJ299" s="1"/>
      <x:c r="DK299" s="1"/>
      <x:c r="DL299" s="1"/>
      <x:c r="DM299" s="1"/>
    </x:row>
    <x:row r="300" ht="23" customHeight="1">
      <x:c r="A300" s="1" t="n">
        <x:v>295</x:v>
      </x:c>
      <x:c r="B300" s="1" t="str">
        <x:v>2-辛酮2-octanone</x:v>
      </x:c>
      <x:c r="C300" s="1"/>
      <x:c r="D300" s="1" t="n">
        <x:v>250</x:v>
      </x:c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  <x:c r="CA300" s="1"/>
      <x:c r="CB300" s="1"/>
      <x:c r="CC300" s="1"/>
      <x:c r="CD300" s="1"/>
      <x:c r="CE300" s="1"/>
      <x:c r="CF300" s="1"/>
      <x:c r="CG300" s="1"/>
      <x:c r="CH300" s="1"/>
      <x:c r="CI300" s="1"/>
      <x:c r="CJ300" s="1"/>
      <x:c r="CK300" s="1"/>
      <x:c r="CL300" s="1"/>
      <x:c r="CM300" s="1"/>
      <x:c r="CN300" s="1"/>
      <x:c r="CO300" s="1"/>
      <x:c r="CP300" s="1"/>
      <x:c r="CQ300" s="1"/>
      <x:c r="CR300" s="1"/>
      <x:c r="CS300" s="1"/>
      <x:c r="CT300" s="1"/>
      <x:c r="CU300" s="1"/>
      <x:c r="CV300" s="1"/>
      <x:c r="CW300" s="1"/>
      <x:c r="CX300" s="1"/>
      <x:c r="CY300" s="1"/>
      <x:c r="CZ300" s="1"/>
      <x:c r="DA300" s="1"/>
      <x:c r="DB300" s="1"/>
      <x:c r="DC300" s="1"/>
      <x:c r="DD300" s="1"/>
      <x:c r="DE300" s="1"/>
      <x:c r="DF300" s="1"/>
      <x:c r="DG300" s="1"/>
      <x:c r="DH300" s="1"/>
      <x:c r="DI300" s="1"/>
      <x:c r="DJ300" s="1"/>
      <x:c r="DK300" s="1"/>
      <x:c r="DL300" s="1"/>
      <x:c r="DM300" s="1"/>
    </x:row>
    <x:row r="301" ht="23" customHeight="1">
      <x:c r="A301" s="1" t="n">
        <x:v>296</x:v>
      </x:c>
      <x:c r="B301" s="1" t="str">
        <x:v>2.3- 丁二醇</x:v>
      </x:c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 t="n">
        <x:v>800</x:v>
      </x:c>
      <x:c r="AI301" s="1" t="n">
        <x:v>580</x:v>
      </x:c>
      <x:c r="AJ301" s="1" t="n">
        <x:v>850</x:v>
      </x:c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  <x:c r="CA301" s="1"/>
      <x:c r="CB301" s="1"/>
      <x:c r="CC301" s="1"/>
      <x:c r="CD301" s="1"/>
      <x:c r="CE301" s="1"/>
      <x:c r="CF301" s="1"/>
      <x:c r="CG301" s="1"/>
      <x:c r="CH301" s="1"/>
      <x:c r="CI301" s="1"/>
      <x:c r="CJ301" s="1"/>
      <x:c r="CK301" s="1"/>
      <x:c r="CL301" s="1"/>
      <x:c r="CM301" s="1"/>
      <x:c r="CN301" s="1"/>
      <x:c r="CO301" s="1"/>
      <x:c r="CP301" s="1"/>
      <x:c r="CQ301" s="1"/>
      <x:c r="CR301" s="1"/>
      <x:c r="CS301" s="1"/>
      <x:c r="CT301" s="1"/>
      <x:c r="CU301" s="1"/>
      <x:c r="CV301" s="1"/>
      <x:c r="CW301" s="1"/>
      <x:c r="CX301" s="1"/>
      <x:c r="CY301" s="1"/>
      <x:c r="CZ301" s="1"/>
      <x:c r="DA301" s="1"/>
      <x:c r="DB301" s="1"/>
      <x:c r="DC301" s="1"/>
      <x:c r="DD301" s="1"/>
      <x:c r="DE301" s="1"/>
      <x:c r="DF301" s="1"/>
      <x:c r="DG301" s="1"/>
      <x:c r="DH301" s="1"/>
      <x:c r="DI301" s="1"/>
      <x:c r="DJ301" s="1"/>
      <x:c r="DK301" s="1"/>
      <x:c r="DL301" s="1"/>
      <x:c r="DM301" s="1"/>
    </x:row>
    <x:row r="302" ht="23" customHeight="1">
      <x:c r="A302" s="1" t="n">
        <x:v>297</x:v>
      </x:c>
      <x:c r="B302" s="1" t="str">
        <x:v>2，3－丁二醇</x:v>
      </x:c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 t="n">
        <x:v>6200</x:v>
      </x:c>
      <x:c r="BR302" s="1" t="n">
        <x:v>5400</x:v>
      </x:c>
      <x:c r="BS302" s="1" t="n">
        <x:v>3600</x:v>
      </x:c>
      <x:c r="BT302" s="1" t="n">
        <x:v>4300</x:v>
      </x:c>
      <x:c r="BU302" s="1" t="n">
        <x:v>6500</x:v>
      </x:c>
      <x:c r="BV302" s="1" t="n">
        <x:v>10900</x:v>
      </x:c>
      <x:c r="BW302" s="1" t="n">
        <x:v>3800</x:v>
      </x:c>
      <x:c r="BX302" s="1" t="n">
        <x:v>6900</x:v>
      </x:c>
      <x:c r="BY302" s="1" t="n">
        <x:v>3900</x:v>
      </x:c>
      <x:c r="BZ302" s="1"/>
      <x:c r="CA302" s="1"/>
      <x:c r="CB302" s="1"/>
      <x:c r="CC302" s="1"/>
      <x:c r="CD302" s="1"/>
      <x:c r="CE302" s="1"/>
      <x:c r="CF302" s="1"/>
      <x:c r="CG302" s="1"/>
      <x:c r="CH302" s="1"/>
      <x:c r="CI302" s="1"/>
      <x:c r="CJ302" s="1"/>
      <x:c r="CK302" s="1"/>
      <x:c r="CL302" s="1"/>
      <x:c r="CM302" s="1"/>
      <x:c r="CN302" s="1"/>
      <x:c r="CO302" s="1"/>
      <x:c r="CP302" s="1"/>
      <x:c r="CQ302" s="1"/>
      <x:c r="CR302" s="1"/>
      <x:c r="CS302" s="1"/>
      <x:c r="CT302" s="1"/>
      <x:c r="CU302" s="1"/>
      <x:c r="CV302" s="1"/>
      <x:c r="CW302" s="1"/>
      <x:c r="CX302" s="1"/>
      <x:c r="CY302" s="1"/>
      <x:c r="CZ302" s="1"/>
      <x:c r="DA302" s="1"/>
      <x:c r="DB302" s="1"/>
      <x:c r="DC302" s="1"/>
      <x:c r="DD302" s="1"/>
      <x:c r="DE302" s="1"/>
      <x:c r="DF302" s="1"/>
      <x:c r="DG302" s="1"/>
      <x:c r="DH302" s="1"/>
      <x:c r="DI302" s="1"/>
      <x:c r="DJ302" s="1"/>
      <x:c r="DK302" s="1"/>
      <x:c r="DL302" s="1"/>
      <x:c r="DM302" s="1"/>
    </x:row>
    <x:row r="303" ht="23" customHeight="1">
      <x:c r="A303" s="1" t="n">
        <x:v>298</x:v>
      </x:c>
      <x:c r="B303" s="1" t="str">
        <x:v>2－丁醇</x:v>
      </x:c>
      <x:c r="C303" s="1"/>
      <x:c r="D303" s="1" t="n">
        <x:v>50000</x:v>
      </x:c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 t="n">
        <x:v>60300</x:v>
      </x:c>
      <x:c r="BR303" s="1" t="n">
        <x:v>55700</x:v>
      </x:c>
      <x:c r="BS303" s="1" t="n">
        <x:v>33700</x:v>
      </x:c>
      <x:c r="BT303" s="1" t="n">
        <x:v>71600</x:v>
      </x:c>
      <x:c r="BU303" s="1" t="n">
        <x:v>32400</x:v>
      </x:c>
      <x:c r="BV303" s="1" t="n">
        <x:v>21700</x:v>
      </x:c>
      <x:c r="BW303" s="1" t="n">
        <x:v>22500</x:v>
      </x:c>
      <x:c r="BX303" s="1" t="n">
        <x:v>38400</x:v>
      </x:c>
      <x:c r="BY303" s="1" t="n">
        <x:v>23800</x:v>
      </x:c>
      <x:c r="BZ303" s="1"/>
      <x:c r="CA303" s="1"/>
      <x:c r="CB303" s="1"/>
      <x:c r="CC303" s="1"/>
      <x:c r="CD303" s="1"/>
      <x:c r="CE303" s="1"/>
      <x:c r="CF303" s="1"/>
      <x:c r="CG303" s="1"/>
      <x:c r="CH303" s="1"/>
      <x:c r="CI303" s="1"/>
      <x:c r="CJ303" s="1"/>
      <x:c r="CK303" s="1"/>
      <x:c r="CL303" s="1"/>
      <x:c r="CM303" s="1"/>
      <x:c r="CN303" s="1"/>
      <x:c r="CO303" s="1"/>
      <x:c r="CP303" s="1"/>
      <x:c r="CQ303" s="1"/>
      <x:c r="CR303" s="1"/>
      <x:c r="CS303" s="1"/>
      <x:c r="CT303" s="1"/>
      <x:c r="CU303" s="1"/>
      <x:c r="CV303" s="1"/>
      <x:c r="CW303" s="1"/>
      <x:c r="CX303" s="1"/>
      <x:c r="CY303" s="1"/>
      <x:c r="CZ303" s="1"/>
      <x:c r="DA303" s="1"/>
      <x:c r="DB303" s="1"/>
      <x:c r="DC303" s="1"/>
      <x:c r="DD303" s="1"/>
      <x:c r="DE303" s="1"/>
      <x:c r="DF303" s="1"/>
      <x:c r="DG303" s="1"/>
      <x:c r="DH303" s="1"/>
      <x:c r="DI303" s="1"/>
      <x:c r="DJ303" s="1"/>
      <x:c r="DK303" s="1"/>
      <x:c r="DL303" s="1"/>
      <x:c r="DM303" s="1"/>
    </x:row>
    <x:row r="304" ht="23" customHeight="1">
      <x:c r="A304" s="1" t="n">
        <x:v>299</x:v>
      </x:c>
      <x:c r="B304" s="1" t="str">
        <x:v>2－戊酮</x:v>
      </x:c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 t="n">
        <x:v>900</x:v>
      </x:c>
      <x:c r="BR304" s="1" t="n">
        <x:v>2400</x:v>
      </x:c>
      <x:c r="BS304" s="1" t="n">
        <x:v>1900</x:v>
      </x:c>
      <x:c r="BT304" s="1" t="n">
        <x:v>4900</x:v>
      </x:c>
      <x:c r="BU304" s="1" t="n">
        <x:v>1600</x:v>
      </x:c>
      <x:c r="BV304" s="1" t="n">
        <x:v>200</x:v>
      </x:c>
      <x:c r="BW304" s="1" t="n">
        <x:v>1300</x:v>
      </x:c>
      <x:c r="BX304" s="1" t="n">
        <x:v>1400</x:v>
      </x:c>
      <x:c r="BY304" s="1" t="n">
        <x:v>1100</x:v>
      </x:c>
      <x:c r="BZ304" s="1"/>
      <x:c r="CA304" s="1"/>
      <x:c r="CB304" s="1"/>
      <x:c r="CC304" s="1"/>
      <x:c r="CD304" s="1"/>
      <x:c r="CE304" s="1"/>
      <x:c r="CF304" s="1"/>
      <x:c r="CG304" s="1"/>
      <x:c r="CH304" s="1"/>
      <x:c r="CI304" s="1"/>
      <x:c r="CJ304" s="1"/>
      <x:c r="CK304" s="1"/>
      <x:c r="CL304" s="1"/>
      <x:c r="CM304" s="1"/>
      <x:c r="CN304" s="1"/>
      <x:c r="CO304" s="1"/>
      <x:c r="CP304" s="1"/>
      <x:c r="CQ304" s="1"/>
      <x:c r="CR304" s="1"/>
      <x:c r="CS304" s="1"/>
      <x:c r="CT304" s="1"/>
      <x:c r="CU304" s="1"/>
      <x:c r="CV304" s="1"/>
      <x:c r="CW304" s="1"/>
      <x:c r="CX304" s="1"/>
      <x:c r="CY304" s="1"/>
      <x:c r="CZ304" s="1"/>
      <x:c r="DA304" s="1"/>
      <x:c r="DB304" s="1"/>
      <x:c r="DC304" s="1"/>
      <x:c r="DD304" s="1"/>
      <x:c r="DE304" s="1"/>
      <x:c r="DF304" s="1"/>
      <x:c r="DG304" s="1"/>
      <x:c r="DH304" s="1"/>
      <x:c r="DI304" s="1"/>
      <x:c r="DJ304" s="1"/>
      <x:c r="DK304" s="1"/>
      <x:c r="DL304" s="1"/>
      <x:c r="DM304" s="1"/>
    </x:row>
    <x:row r="305" ht="23" customHeight="1">
      <x:c r="A305" s="1" t="n">
        <x:v>300</x:v>
      </x:c>
      <x:c r="B305" s="1" t="str">
        <x:v>3-甲基-2（3H）-苯并呋喃酮</x:v>
      </x:c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  <x:c r="CA305" s="1"/>
      <x:c r="CB305" s="1"/>
      <x:c r="CC305" s="1"/>
      <x:c r="CD305" s="1"/>
      <x:c r="CE305" s="1"/>
      <x:c r="CF305" s="1"/>
      <x:c r="CG305" s="1"/>
      <x:c r="CH305" s="1"/>
      <x:c r="CI305" s="1"/>
      <x:c r="CJ305" s="1"/>
      <x:c r="CK305" s="1"/>
      <x:c r="CL305" s="1"/>
      <x:c r="CM305" s="1"/>
      <x:c r="CN305" s="1"/>
      <x:c r="CO305" s="1"/>
      <x:c r="CP305" s="1"/>
      <x:c r="CQ305" s="1"/>
      <x:c r="CR305" s="1"/>
      <x:c r="CS305" s="1"/>
      <x:c r="CT305" s="1"/>
      <x:c r="CU305" s="1"/>
      <x:c r="CV305" s="1" t="n">
        <x:v>26.55</x:v>
      </x:c>
      <x:c r="CW305" s="1"/>
      <x:c r="CX305" s="1"/>
      <x:c r="CY305" s="1"/>
      <x:c r="CZ305" s="1"/>
      <x:c r="DA305" s="1"/>
      <x:c r="DB305" s="1"/>
      <x:c r="DC305" s="1"/>
      <x:c r="DD305" s="1"/>
      <x:c r="DE305" s="1"/>
      <x:c r="DF305" s="1"/>
      <x:c r="DG305" s="1"/>
      <x:c r="DH305" s="1"/>
      <x:c r="DI305" s="1"/>
      <x:c r="DJ305" s="1"/>
      <x:c r="DK305" s="1"/>
      <x:c r="DL305" s="1"/>
      <x:c r="DM305" s="1"/>
    </x:row>
    <x:row r="306" ht="23" customHeight="1">
      <x:c r="A306" s="1" t="n">
        <x:v>301</x:v>
      </x:c>
      <x:c r="B306" s="1" t="str">
        <x:v>3-甲基丁酸3-methylbutanoic acid</x:v>
      </x:c>
      <x:c r="C306" s="1"/>
      <x:c r="D306" s="1" t="n">
        <x:v>1050</x:v>
      </x:c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  <x:c r="CA306" s="1"/>
      <x:c r="CB306" s="1"/>
      <x:c r="CC306" s="1"/>
      <x:c r="CD306" s="1"/>
      <x:c r="CE306" s="1"/>
      <x:c r="CF306" s="1"/>
      <x:c r="CG306" s="1"/>
      <x:c r="CH306" s="1"/>
      <x:c r="CI306" s="1"/>
      <x:c r="CJ306" s="1"/>
      <x:c r="CK306" s="1"/>
      <x:c r="CL306" s="1"/>
      <x:c r="CM306" s="1"/>
      <x:c r="CN306" s="1"/>
      <x:c r="CO306" s="1"/>
      <x:c r="CP306" s="1"/>
      <x:c r="CQ306" s="1"/>
      <x:c r="CR306" s="1"/>
      <x:c r="CS306" s="1"/>
      <x:c r="CT306" s="1"/>
      <x:c r="CU306" s="1"/>
      <x:c r="CV306" s="1"/>
      <x:c r="CW306" s="1"/>
      <x:c r="CX306" s="1"/>
      <x:c r="CY306" s="1"/>
      <x:c r="CZ306" s="1"/>
      <x:c r="DA306" s="1"/>
      <x:c r="DB306" s="1"/>
      <x:c r="DC306" s="1"/>
      <x:c r="DD306" s="1"/>
      <x:c r="DE306" s="1"/>
      <x:c r="DF306" s="1"/>
      <x:c r="DG306" s="1"/>
      <x:c r="DH306" s="1"/>
      <x:c r="DI306" s="1"/>
      <x:c r="DJ306" s="1"/>
      <x:c r="DK306" s="1"/>
      <x:c r="DL306" s="1"/>
      <x:c r="DM306" s="1"/>
    </x:row>
    <x:row r="307" ht="23" customHeight="1">
      <x:c r="A307" s="1" t="n">
        <x:v>302</x:v>
      </x:c>
      <x:c r="B307" s="1" t="str">
        <x:v>3-甲基丁酸（μg·L-1）</x:v>
      </x:c>
      <x:c r="C307" s="1"/>
      <x:c r="D307" s="1" t="n">
        <x:v>1050</x:v>
      </x:c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 t="n">
        <x:v>2444.11</x:v>
      </x:c>
      <x:c r="BO307" s="1" t="n">
        <x:v>9157.12</x:v>
      </x:c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  <x:c r="CA307" s="1"/>
      <x:c r="CB307" s="1"/>
      <x:c r="CC307" s="1"/>
      <x:c r="CD307" s="1"/>
      <x:c r="CE307" s="1"/>
      <x:c r="CF307" s="1"/>
      <x:c r="CG307" s="1"/>
      <x:c r="CH307" s="1"/>
      <x:c r="CI307" s="1"/>
      <x:c r="CJ307" s="1"/>
      <x:c r="CK307" s="1"/>
      <x:c r="CL307" s="1"/>
      <x:c r="CM307" s="1"/>
      <x:c r="CN307" s="1"/>
      <x:c r="CO307" s="1"/>
      <x:c r="CP307" s="1"/>
      <x:c r="CQ307" s="1"/>
      <x:c r="CR307" s="1"/>
      <x:c r="CS307" s="1"/>
      <x:c r="CT307" s="1"/>
      <x:c r="CU307" s="1"/>
      <x:c r="CV307" s="1"/>
      <x:c r="CW307" s="1"/>
      <x:c r="CX307" s="1"/>
      <x:c r="CY307" s="1"/>
      <x:c r="CZ307" s="1"/>
      <x:c r="DA307" s="1"/>
      <x:c r="DB307" s="1"/>
      <x:c r="DC307" s="1"/>
      <x:c r="DD307" s="1"/>
      <x:c r="DE307" s="1"/>
      <x:c r="DF307" s="1"/>
      <x:c r="DG307" s="1"/>
      <x:c r="DH307" s="1"/>
      <x:c r="DI307" s="1"/>
      <x:c r="DJ307" s="1"/>
      <x:c r="DK307" s="1"/>
      <x:c r="DL307" s="1"/>
      <x:c r="DM307" s="1"/>
    </x:row>
    <x:row r="308" ht="23" customHeight="1">
      <x:c r="A308" s="1" t="n">
        <x:v>303</x:v>
      </x:c>
      <x:c r="B308" s="1" t="str">
        <x:v>3-甲基丁醛二乙基缩醛</x:v>
      </x:c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 t="n">
        <x:v>15690</x:v>
      </x:c>
      <x:c r="AL308" s="1" t="n">
        <x:v>7380</x:v>
      </x:c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  <x:c r="CA308" s="1"/>
      <x:c r="CB308" s="1"/>
      <x:c r="CC308" s="1"/>
      <x:c r="CD308" s="1"/>
      <x:c r="CE308" s="1"/>
      <x:c r="CF308" s="1"/>
      <x:c r="CG308" s="1"/>
      <x:c r="CH308" s="1"/>
      <x:c r="CI308" s="1"/>
      <x:c r="CJ308" s="1"/>
      <x:c r="CK308" s="1"/>
      <x:c r="CL308" s="1"/>
      <x:c r="CM308" s="1"/>
      <x:c r="CN308" s="1"/>
      <x:c r="CO308" s="1"/>
      <x:c r="CP308" s="1"/>
      <x:c r="CQ308" s="1"/>
      <x:c r="CR308" s="1"/>
      <x:c r="CS308" s="1"/>
      <x:c r="CT308" s="1"/>
      <x:c r="CU308" s="1"/>
      <x:c r="CV308" s="1"/>
      <x:c r="CW308" s="1"/>
      <x:c r="CX308" s="1"/>
      <x:c r="CY308" s="1"/>
      <x:c r="CZ308" s="1"/>
      <x:c r="DA308" s="1"/>
      <x:c r="DB308" s="1"/>
      <x:c r="DC308" s="1"/>
      <x:c r="DD308" s="1"/>
      <x:c r="DE308" s="1"/>
      <x:c r="DF308" s="1"/>
      <x:c r="DG308" s="1"/>
      <x:c r="DH308" s="1"/>
      <x:c r="DI308" s="1"/>
      <x:c r="DJ308" s="1"/>
      <x:c r="DK308" s="1"/>
      <x:c r="DL308" s="1"/>
      <x:c r="DM308" s="1"/>
    </x:row>
    <x:row r="309" ht="23" customHeight="1">
      <x:c r="A309" s="1" t="n">
        <x:v>304</x:v>
      </x:c>
      <x:c r="B309" s="1" t="str">
        <x:v>3-苯丙酸乙酯ethyl 3-phenylpropanoate</x:v>
      </x:c>
      <x:c r="C309" s="1"/>
      <x:c r="D309" s="1" t="n">
        <x:v>125</x:v>
      </x:c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  <x:c r="CA309" s="1"/>
      <x:c r="CB309" s="1"/>
      <x:c r="CC309" s="1"/>
      <x:c r="CD309" s="1"/>
      <x:c r="CE309" s="1"/>
      <x:c r="CF309" s="1"/>
      <x:c r="CG309" s="1"/>
      <x:c r="CH309" s="1"/>
      <x:c r="CI309" s="1"/>
      <x:c r="CJ309" s="1"/>
      <x:c r="CK309" s="1"/>
      <x:c r="CL309" s="1"/>
      <x:c r="CM309" s="1"/>
      <x:c r="CN309" s="1"/>
      <x:c r="CO309" s="1"/>
      <x:c r="CP309" s="1"/>
      <x:c r="CQ309" s="1"/>
      <x:c r="CR309" s="1"/>
      <x:c r="CS309" s="1"/>
      <x:c r="CT309" s="1"/>
      <x:c r="CU309" s="1"/>
      <x:c r="CV309" s="1"/>
      <x:c r="CW309" s="1"/>
      <x:c r="CX309" s="1"/>
      <x:c r="CY309" s="1"/>
      <x:c r="CZ309" s="1"/>
      <x:c r="DA309" s="1"/>
      <x:c r="DB309" s="1"/>
      <x:c r="DC309" s="1"/>
      <x:c r="DD309" s="1"/>
      <x:c r="DE309" s="1"/>
      <x:c r="DF309" s="1"/>
      <x:c r="DG309" s="1"/>
      <x:c r="DH309" s="1"/>
      <x:c r="DI309" s="1"/>
      <x:c r="DJ309" s="1"/>
      <x:c r="DK309" s="1"/>
      <x:c r="DL309" s="1"/>
      <x:c r="DM309" s="1"/>
    </x:row>
    <x:row r="310" ht="23" customHeight="1">
      <x:c r="A310" s="1" t="n">
        <x:v>305</x:v>
      </x:c>
      <x:c r="B310" s="1" t="str">
        <x:v>3-苯丙酸乙酯（mg·L-1）</x:v>
      </x:c>
      <x:c r="C310" s="1"/>
      <x:c r="D310" s="1" t="n">
        <x:v>125</x:v>
      </x:c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 t="n">
        <x:v>12.31</x:v>
      </x:c>
      <x:c r="BM310" s="1" t="n">
        <x:v>18.71</x:v>
      </x:c>
      <x:c r="BN310" s="1" t="n">
        <x:v>4.96</x:v>
      </x:c>
      <x:c r="BO310" s="1" t="n">
        <x:v>19.85</x:v>
      </x:c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  <x:c r="CA310" s="1"/>
      <x:c r="CB310" s="1"/>
      <x:c r="CC310" s="1"/>
      <x:c r="CD310" s="1"/>
      <x:c r="CE310" s="1"/>
      <x:c r="CF310" s="1"/>
      <x:c r="CG310" s="1"/>
      <x:c r="CH310" s="1"/>
      <x:c r="CI310" s="1"/>
      <x:c r="CJ310" s="1"/>
      <x:c r="CK310" s="1"/>
      <x:c r="CL310" s="1"/>
      <x:c r="CM310" s="1"/>
      <x:c r="CN310" s="1"/>
      <x:c r="CO310" s="1"/>
      <x:c r="CP310" s="1"/>
      <x:c r="CQ310" s="1"/>
      <x:c r="CR310" s="1"/>
      <x:c r="CS310" s="1"/>
      <x:c r="CT310" s="1"/>
      <x:c r="CU310" s="1"/>
      <x:c r="CV310" s="1"/>
      <x:c r="CW310" s="1"/>
      <x:c r="CX310" s="1"/>
      <x:c r="CY310" s="1"/>
      <x:c r="CZ310" s="1"/>
      <x:c r="DA310" s="1"/>
      <x:c r="DB310" s="1"/>
      <x:c r="DC310" s="1"/>
      <x:c r="DD310" s="1"/>
      <x:c r="DE310" s="1"/>
      <x:c r="DF310" s="1"/>
      <x:c r="DG310" s="1"/>
      <x:c r="DH310" s="1"/>
      <x:c r="DI310" s="1"/>
      <x:c r="DJ310" s="1"/>
      <x:c r="DK310" s="1"/>
      <x:c r="DL310" s="1"/>
      <x:c r="DM310" s="1"/>
    </x:row>
    <x:row r="311" ht="23" customHeight="1">
      <x:c r="A311" s="1" t="n">
        <x:v>306</x:v>
      </x:c>
      <x:c r="B311" s="1" t="str">
        <x:v>3-辛醇3-octanol</x:v>
      </x:c>
      <x:c r="C311" s="1"/>
      <x:c r="D311" s="1" t="n">
        <x:v>483</x:v>
      </x:c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  <x:c r="CA311" s="1"/>
      <x:c r="CB311" s="1"/>
      <x:c r="CC311" s="1"/>
      <x:c r="CD311" s="1"/>
      <x:c r="CE311" s="1"/>
      <x:c r="CF311" s="1"/>
      <x:c r="CG311" s="1"/>
      <x:c r="CH311" s="1"/>
      <x:c r="CI311" s="1"/>
      <x:c r="CJ311" s="1"/>
      <x:c r="CK311" s="1"/>
      <x:c r="CL311" s="1"/>
      <x:c r="CM311" s="1"/>
      <x:c r="CN311" s="1"/>
      <x:c r="CO311" s="1"/>
      <x:c r="CP311" s="1"/>
      <x:c r="CQ311" s="1"/>
      <x:c r="CR311" s="1"/>
      <x:c r="CS311" s="1"/>
      <x:c r="CT311" s="1"/>
      <x:c r="CU311" s="1"/>
      <x:c r="CV311" s="1"/>
      <x:c r="CW311" s="1"/>
      <x:c r="CX311" s="1"/>
      <x:c r="CY311" s="1"/>
      <x:c r="CZ311" s="1"/>
      <x:c r="DA311" s="1"/>
      <x:c r="DB311" s="1"/>
      <x:c r="DC311" s="1"/>
      <x:c r="DD311" s="1"/>
      <x:c r="DE311" s="1"/>
      <x:c r="DF311" s="1"/>
      <x:c r="DG311" s="1"/>
      <x:c r="DH311" s="1"/>
      <x:c r="DI311" s="1"/>
      <x:c r="DJ311" s="1"/>
      <x:c r="DK311" s="1"/>
      <x:c r="DL311" s="1"/>
      <x:c r="DM311" s="1"/>
    </x:row>
    <x:row r="312" ht="23" customHeight="1">
      <x:c r="A312" s="1" t="n">
        <x:v>307</x:v>
      </x:c>
      <x:c r="B312" s="1" t="str">
        <x:v>3-（环戊基）丙酸乙酯</x:v>
      </x:c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 t="n">
        <x:v>0.76</x:v>
      </x:c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  <x:c r="CA312" s="1"/>
      <x:c r="CB312" s="1"/>
      <x:c r="CC312" s="1"/>
      <x:c r="CD312" s="1"/>
      <x:c r="CE312" s="1"/>
      <x:c r="CF312" s="1"/>
      <x:c r="CG312" s="1"/>
      <x:c r="CH312" s="1"/>
      <x:c r="CI312" s="1"/>
      <x:c r="CJ312" s="1"/>
      <x:c r="CK312" s="1"/>
      <x:c r="CL312" s="1"/>
      <x:c r="CM312" s="1"/>
      <x:c r="CN312" s="1"/>
      <x:c r="CO312" s="1"/>
      <x:c r="CP312" s="1"/>
      <x:c r="CQ312" s="1"/>
      <x:c r="CR312" s="1"/>
      <x:c r="CS312" s="1"/>
      <x:c r="CT312" s="1"/>
      <x:c r="CU312" s="1"/>
      <x:c r="CV312" s="1"/>
      <x:c r="CW312" s="1"/>
      <x:c r="CX312" s="1"/>
      <x:c r="CY312" s="1"/>
      <x:c r="CZ312" s="1"/>
      <x:c r="DA312" s="1"/>
      <x:c r="DB312" s="1"/>
      <x:c r="DC312" s="1"/>
      <x:c r="DD312" s="1"/>
      <x:c r="DE312" s="1"/>
      <x:c r="DF312" s="1"/>
      <x:c r="DG312" s="1"/>
      <x:c r="DH312" s="1"/>
      <x:c r="DI312" s="1"/>
      <x:c r="DJ312" s="1"/>
      <x:c r="DK312" s="1"/>
      <x:c r="DL312" s="1"/>
      <x:c r="DM312" s="1"/>
    </x:row>
    <x:row r="313" ht="23" customHeight="1">
      <x:c r="A313" s="1" t="n">
        <x:v>308</x:v>
      </x:c>
      <x:c r="B313" s="1" t="str">
        <x:v>3－羟基－2－丁酮</x:v>
      </x:c>
      <x:c r="C313" s="1"/>
      <x:c r="D313" s="1" t="n">
        <x:v>259</x:v>
      </x:c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 t="n">
        <x:v>29900</x:v>
      </x:c>
      <x:c r="BR313" s="1" t="n">
        <x:v>38600</x:v>
      </x:c>
      <x:c r="BS313" s="1" t="n">
        <x:v>17900</x:v>
      </x:c>
      <x:c r="BT313" s="1" t="n">
        <x:v>13500</x:v>
      </x:c>
      <x:c r="BU313" s="1" t="n">
        <x:v>29500</x:v>
      </x:c>
      <x:c r="BV313" s="1" t="n">
        <x:v>257200</x:v>
      </x:c>
      <x:c r="BW313" s="1" t="n">
        <x:v>142300</x:v>
      </x:c>
      <x:c r="BX313" s="1" t="n">
        <x:v>39600</x:v>
      </x:c>
      <x:c r="BY313" s="1" t="n">
        <x:v>142300</x:v>
      </x:c>
      <x:c r="BZ313" s="1"/>
      <x:c r="CA313" s="1"/>
      <x:c r="CB313" s="1"/>
      <x:c r="CC313" s="1"/>
      <x:c r="CD313" s="1"/>
      <x:c r="CE313" s="1"/>
      <x:c r="CF313" s="1"/>
      <x:c r="CG313" s="1"/>
      <x:c r="CH313" s="1"/>
      <x:c r="CI313" s="1"/>
      <x:c r="CJ313" s="1"/>
      <x:c r="CK313" s="1"/>
      <x:c r="CL313" s="1"/>
      <x:c r="CM313" s="1"/>
      <x:c r="CN313" s="1"/>
      <x:c r="CO313" s="1"/>
      <x:c r="CP313" s="1"/>
      <x:c r="CQ313" s="1"/>
      <x:c r="CR313" s="1"/>
      <x:c r="CS313" s="1"/>
      <x:c r="CT313" s="1"/>
      <x:c r="CU313" s="1"/>
      <x:c r="CV313" s="1"/>
      <x:c r="CW313" s="1"/>
      <x:c r="CX313" s="1"/>
      <x:c r="CY313" s="1"/>
      <x:c r="CZ313" s="1"/>
      <x:c r="DA313" s="1"/>
      <x:c r="DB313" s="1"/>
      <x:c r="DC313" s="1"/>
      <x:c r="DD313" s="1"/>
      <x:c r="DE313" s="1"/>
      <x:c r="DF313" s="1"/>
      <x:c r="DG313" s="1"/>
      <x:c r="DH313" s="1"/>
      <x:c r="DI313" s="1"/>
      <x:c r="DJ313" s="1"/>
      <x:c r="DK313" s="1"/>
      <x:c r="DL313" s="1"/>
      <x:c r="DM313" s="1"/>
    </x:row>
    <x:row r="314" ht="23" customHeight="1">
      <x:c r="A314" s="1" t="n">
        <x:v>309</x:v>
      </x:c>
      <x:c r="B314" s="1" t="str">
        <x:v>4-乙基愈创木酚（μg·L-1）</x:v>
      </x:c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 t="n">
        <x:v>1041.34</x:v>
      </x:c>
      <x:c r="BM314" s="1" t="n">
        <x:v>296.15</x:v>
      </x:c>
      <x:c r="BN314" s="1" t="n">
        <x:v>241.6</x:v>
      </x:c>
      <x:c r="BO314" s="1" t="n">
        <x:v>89.5</x:v>
      </x:c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  <x:c r="CA314" s="1"/>
      <x:c r="CB314" s="1"/>
      <x:c r="CC314" s="1"/>
      <x:c r="CD314" s="1"/>
      <x:c r="CE314" s="1"/>
      <x:c r="CF314" s="1"/>
      <x:c r="CG314" s="1"/>
      <x:c r="CH314" s="1"/>
      <x:c r="CI314" s="1"/>
      <x:c r="CJ314" s="1"/>
      <x:c r="CK314" s="1"/>
      <x:c r="CL314" s="1"/>
      <x:c r="CM314" s="1"/>
      <x:c r="CN314" s="1"/>
      <x:c r="CO314" s="1"/>
      <x:c r="CP314" s="1"/>
      <x:c r="CQ314" s="1"/>
      <x:c r="CR314" s="1"/>
      <x:c r="CS314" s="1"/>
      <x:c r="CT314" s="1"/>
      <x:c r="CU314" s="1"/>
      <x:c r="CV314" s="1"/>
      <x:c r="CW314" s="1"/>
      <x:c r="CX314" s="1"/>
      <x:c r="CY314" s="1"/>
      <x:c r="CZ314" s="1"/>
      <x:c r="DA314" s="1"/>
      <x:c r="DB314" s="1"/>
      <x:c r="DC314" s="1"/>
      <x:c r="DD314" s="1"/>
      <x:c r="DE314" s="1"/>
      <x:c r="DF314" s="1"/>
      <x:c r="DG314" s="1"/>
      <x:c r="DH314" s="1"/>
      <x:c r="DI314" s="1"/>
      <x:c r="DJ314" s="1"/>
      <x:c r="DK314" s="1"/>
      <x:c r="DL314" s="1"/>
      <x:c r="DM314" s="1"/>
    </x:row>
    <x:row r="315" ht="23" customHeight="1">
      <x:c r="A315" s="1" t="n">
        <x:v>310</x:v>
      </x:c>
      <x:c r="B315" s="1" t="str">
        <x:v>4-乙基苯酚4-ethylphenol</x:v>
      </x:c>
      <x:c r="C315" s="1"/>
      <x:c r="D315" s="1" t="n">
        <x:v>123</x:v>
      </x:c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  <x:c r="CA315" s="1"/>
      <x:c r="CB315" s="1"/>
      <x:c r="CC315" s="1"/>
      <x:c r="CD315" s="1"/>
      <x:c r="CE315" s="1"/>
      <x:c r="CF315" s="1"/>
      <x:c r="CG315" s="1"/>
      <x:c r="CH315" s="1"/>
      <x:c r="CI315" s="1"/>
      <x:c r="CJ315" s="1"/>
      <x:c r="CK315" s="1"/>
      <x:c r="CL315" s="1"/>
      <x:c r="CM315" s="1"/>
      <x:c r="CN315" s="1"/>
      <x:c r="CO315" s="1"/>
      <x:c r="CP315" s="1"/>
      <x:c r="CQ315" s="1"/>
      <x:c r="CR315" s="1"/>
      <x:c r="CS315" s="1"/>
      <x:c r="CT315" s="1"/>
      <x:c r="CU315" s="1"/>
      <x:c r="CV315" s="1"/>
      <x:c r="CW315" s="1"/>
      <x:c r="CX315" s="1"/>
      <x:c r="CY315" s="1"/>
      <x:c r="CZ315" s="1"/>
      <x:c r="DA315" s="1"/>
      <x:c r="DB315" s="1"/>
      <x:c r="DC315" s="1"/>
      <x:c r="DD315" s="1"/>
      <x:c r="DE315" s="1"/>
      <x:c r="DF315" s="1"/>
      <x:c r="DG315" s="1"/>
      <x:c r="DH315" s="1"/>
      <x:c r="DI315" s="1"/>
      <x:c r="DJ315" s="1"/>
      <x:c r="DK315" s="1"/>
      <x:c r="DL315" s="1"/>
      <x:c r="DM315" s="1"/>
    </x:row>
    <x:row r="316" ht="23" customHeight="1">
      <x:c r="A316" s="1" t="n">
        <x:v>311</x:v>
      </x:c>
      <x:c r="B316" s="1" t="str">
        <x:v>4-乙基苯酚（μg·L-1）</x:v>
      </x:c>
      <x:c r="C316" s="1"/>
      <x:c r="D316" s="1" t="n">
        <x:v>123</x:v>
      </x:c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 t="n">
        <x:v>886.72</x:v>
      </x:c>
      <x:c r="BM316" s="1" t="n">
        <x:v>693.38</x:v>
      </x:c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  <x:c r="CA316" s="1"/>
      <x:c r="CB316" s="1"/>
      <x:c r="CC316" s="1"/>
      <x:c r="CD316" s="1"/>
      <x:c r="CE316" s="1"/>
      <x:c r="CF316" s="1"/>
      <x:c r="CG316" s="1"/>
      <x:c r="CH316" s="1"/>
      <x:c r="CI316" s="1"/>
      <x:c r="CJ316" s="1"/>
      <x:c r="CK316" s="1"/>
      <x:c r="CL316" s="1"/>
      <x:c r="CM316" s="1"/>
      <x:c r="CN316" s="1"/>
      <x:c r="CO316" s="1"/>
      <x:c r="CP316" s="1"/>
      <x:c r="CQ316" s="1"/>
      <x:c r="CR316" s="1"/>
      <x:c r="CS316" s="1"/>
      <x:c r="CT316" s="1"/>
      <x:c r="CU316" s="1"/>
      <x:c r="CV316" s="1"/>
      <x:c r="CW316" s="1"/>
      <x:c r="CX316" s="1"/>
      <x:c r="CY316" s="1"/>
      <x:c r="CZ316" s="1"/>
      <x:c r="DA316" s="1"/>
      <x:c r="DB316" s="1"/>
      <x:c r="DC316" s="1"/>
      <x:c r="DD316" s="1"/>
      <x:c r="DE316" s="1"/>
      <x:c r="DF316" s="1"/>
      <x:c r="DG316" s="1"/>
      <x:c r="DH316" s="1"/>
      <x:c r="DI316" s="1"/>
      <x:c r="DJ316" s="1"/>
      <x:c r="DK316" s="1"/>
      <x:c r="DL316" s="1"/>
      <x:c r="DM316" s="1"/>
    </x:row>
    <x:row r="317" ht="23" customHeight="1">
      <x:c r="A317" s="1" t="n">
        <x:v>312</x:v>
      </x:c>
      <x:c r="B317" s="1" t="str">
        <x:v>4-甲基愈创木酚（μg·L-1）</x:v>
      </x:c>
      <x:c r="C317" s="1"/>
      <x:c r="D317" s="1" t="n">
        <x:v>315</x:v>
      </x:c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 t="n">
        <x:v>504.34</x:v>
      </x:c>
      <x:c r="BO317" s="1" t="n">
        <x:v>431.78</x:v>
      </x:c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  <x:c r="CA317" s="1"/>
      <x:c r="CB317" s="1"/>
      <x:c r="CC317" s="1"/>
      <x:c r="CD317" s="1"/>
      <x:c r="CE317" s="1"/>
      <x:c r="CF317" s="1"/>
      <x:c r="CG317" s="1"/>
      <x:c r="CH317" s="1"/>
      <x:c r="CI317" s="1"/>
      <x:c r="CJ317" s="1"/>
      <x:c r="CK317" s="1"/>
      <x:c r="CL317" s="1"/>
      <x:c r="CM317" s="1"/>
      <x:c r="CN317" s="1"/>
      <x:c r="CO317" s="1"/>
      <x:c r="CP317" s="1"/>
      <x:c r="CQ317" s="1"/>
      <x:c r="CR317" s="1"/>
      <x:c r="CS317" s="1"/>
      <x:c r="CT317" s="1"/>
      <x:c r="CU317" s="1"/>
      <x:c r="CV317" s="1"/>
      <x:c r="CW317" s="1"/>
      <x:c r="CX317" s="1"/>
      <x:c r="CY317" s="1"/>
      <x:c r="CZ317" s="1"/>
      <x:c r="DA317" s="1"/>
      <x:c r="DB317" s="1"/>
      <x:c r="DC317" s="1"/>
      <x:c r="DD317" s="1"/>
      <x:c r="DE317" s="1"/>
      <x:c r="DF317" s="1"/>
      <x:c r="DG317" s="1"/>
      <x:c r="DH317" s="1"/>
      <x:c r="DI317" s="1"/>
      <x:c r="DJ317" s="1"/>
      <x:c r="DK317" s="1"/>
      <x:c r="DL317" s="1"/>
      <x:c r="DM317" s="1"/>
    </x:row>
    <x:row r="318" ht="23" customHeight="1">
      <x:c r="A318" s="1" t="n">
        <x:v>313</x:v>
      </x:c>
      <x:c r="B318" s="1" t="str">
        <x:v>4-甲基戊酸（μg·L-1）</x:v>
      </x:c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 t="n">
        <x:v>218.71</x:v>
      </x:c>
      <x:c r="BO318" s="1" t="n">
        <x:v>697.43</x:v>
      </x:c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  <x:c r="CA318" s="1"/>
      <x:c r="CB318" s="1"/>
      <x:c r="CC318" s="1"/>
      <x:c r="CD318" s="1"/>
      <x:c r="CE318" s="1"/>
      <x:c r="CF318" s="1"/>
      <x:c r="CG318" s="1"/>
      <x:c r="CH318" s="1"/>
      <x:c r="CI318" s="1"/>
      <x:c r="CJ318" s="1"/>
      <x:c r="CK318" s="1"/>
      <x:c r="CL318" s="1"/>
      <x:c r="CM318" s="1"/>
      <x:c r="CN318" s="1"/>
      <x:c r="CO318" s="1"/>
      <x:c r="CP318" s="1"/>
      <x:c r="CQ318" s="1"/>
      <x:c r="CR318" s="1"/>
      <x:c r="CS318" s="1"/>
      <x:c r="CT318" s="1"/>
      <x:c r="CU318" s="1"/>
      <x:c r="CV318" s="1"/>
      <x:c r="CW318" s="1"/>
      <x:c r="CX318" s="1"/>
      <x:c r="CY318" s="1"/>
      <x:c r="CZ318" s="1"/>
      <x:c r="DA318" s="1"/>
      <x:c r="DB318" s="1"/>
      <x:c r="DC318" s="1"/>
      <x:c r="DD318" s="1"/>
      <x:c r="DE318" s="1"/>
      <x:c r="DF318" s="1"/>
      <x:c r="DG318" s="1"/>
      <x:c r="DH318" s="1"/>
      <x:c r="DI318" s="1"/>
      <x:c r="DJ318" s="1"/>
      <x:c r="DK318" s="1"/>
      <x:c r="DL318" s="1"/>
      <x:c r="DM318" s="1"/>
    </x:row>
    <x:row r="319" ht="23" customHeight="1">
      <x:c r="A319" s="1" t="n">
        <x:v>314</x:v>
      </x:c>
      <x:c r="B319" s="1" t="str">
        <x:v>4-甲基苯酚4-methylphenol</x:v>
      </x:c>
      <x:c r="C319" s="1"/>
      <x:c r="D319" s="1" t="n">
        <x:v>167</x:v>
      </x:c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  <x:c r="CA319" s="1"/>
      <x:c r="CB319" s="1"/>
      <x:c r="CC319" s="1"/>
      <x:c r="CD319" s="1"/>
      <x:c r="CE319" s="1"/>
      <x:c r="CF319" s="1"/>
      <x:c r="CG319" s="1"/>
      <x:c r="CH319" s="1"/>
      <x:c r="CI319" s="1"/>
      <x:c r="CJ319" s="1"/>
      <x:c r="CK319" s="1"/>
      <x:c r="CL319" s="1"/>
      <x:c r="CM319" s="1"/>
      <x:c r="CN319" s="1"/>
      <x:c r="CO319" s="1"/>
      <x:c r="CP319" s="1"/>
      <x:c r="CQ319" s="1"/>
      <x:c r="CR319" s="1"/>
      <x:c r="CS319" s="1"/>
      <x:c r="CT319" s="1"/>
      <x:c r="CU319" s="1"/>
      <x:c r="CV319" s="1"/>
      <x:c r="CW319" s="1"/>
      <x:c r="CX319" s="1"/>
      <x:c r="CY319" s="1"/>
      <x:c r="CZ319" s="1"/>
      <x:c r="DA319" s="1"/>
      <x:c r="DB319" s="1"/>
      <x:c r="DC319" s="1"/>
      <x:c r="DD319" s="1"/>
      <x:c r="DE319" s="1"/>
      <x:c r="DF319" s="1"/>
      <x:c r="DG319" s="1"/>
      <x:c r="DH319" s="1"/>
      <x:c r="DI319" s="1"/>
      <x:c r="DJ319" s="1"/>
      <x:c r="DK319" s="1"/>
      <x:c r="DL319" s="1"/>
      <x:c r="DM319" s="1"/>
    </x:row>
    <x:row r="320" ht="23" customHeight="1">
      <x:c r="A320" s="1" t="n">
        <x:v>315</x:v>
      </x:c>
      <x:c r="B320" s="1" t="str">
        <x:v>9-十六碳烯酸乙酯</x:v>
      </x:c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  <x:c r="CA320" s="1"/>
      <x:c r="CB320" s="1"/>
      <x:c r="CC320" s="1"/>
      <x:c r="CD320" s="1"/>
      <x:c r="CE320" s="1"/>
      <x:c r="CF320" s="1"/>
      <x:c r="CG320" s="1"/>
      <x:c r="CH320" s="1"/>
      <x:c r="CI320" s="1"/>
      <x:c r="CJ320" s="1"/>
      <x:c r="CK320" s="1"/>
      <x:c r="CL320" s="1"/>
      <x:c r="CM320" s="1"/>
      <x:c r="CN320" s="1"/>
      <x:c r="CO320" s="1"/>
      <x:c r="CP320" s="1"/>
      <x:c r="CQ320" s="1"/>
      <x:c r="CR320" s="1"/>
      <x:c r="CS320" s="1"/>
      <x:c r="CT320" s="1" t="n">
        <x:v>109.9</x:v>
      </x:c>
      <x:c r="CU320" s="1" t="n">
        <x:v>112.09</x:v>
      </x:c>
      <x:c r="CV320" s="1" t="n">
        <x:v>89.67</x:v>
      </x:c>
      <x:c r="CW320" s="1" t="n">
        <x:v>70.05</x:v>
      </x:c>
      <x:c r="CX320" s="1"/>
      <x:c r="CY320" s="1"/>
      <x:c r="CZ320" s="1"/>
      <x:c r="DA320" s="1"/>
      <x:c r="DB320" s="1"/>
      <x:c r="DC320" s="1"/>
      <x:c r="DD320" s="1"/>
      <x:c r="DE320" s="1"/>
      <x:c r="DF320" s="1"/>
      <x:c r="DG320" s="1"/>
      <x:c r="DH320" s="1"/>
      <x:c r="DI320" s="1"/>
      <x:c r="DJ320" s="1"/>
      <x:c r="DK320" s="1"/>
      <x:c r="DL320" s="1"/>
      <x:c r="DM320" s="1"/>
    </x:row>
    <x:row r="321" ht="23" customHeight="1">
      <x:c r="A321" s="1" t="n">
        <x:v>316</x:v>
      </x:c>
      <x:c r="B321" s="1"/>
      <x:c r="C321" s="1"/>
      <x:c r="D321" s="1" t="n">
        <x:v>2090</x:v>
      </x:c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  <x:c r="CA321" s="1"/>
      <x:c r="CB321" s="1"/>
      <x:c r="CC321" s="1"/>
      <x:c r="CD321" s="1"/>
      <x:c r="CE321" s="1"/>
      <x:c r="CF321" s="1"/>
      <x:c r="CG321" s="1"/>
      <x:c r="CH321" s="1"/>
      <x:c r="CI321" s="1"/>
      <x:c r="CJ321" s="1"/>
      <x:c r="CK321" s="1"/>
      <x:c r="CL321" s="1"/>
      <x:c r="CM321" s="1"/>
      <x:c r="CN321" s="1"/>
      <x:c r="CO321" s="1"/>
      <x:c r="CP321" s="1"/>
      <x:c r="CQ321" s="1"/>
      <x:c r="CR321" s="1"/>
      <x:c r="CS321" s="1"/>
      <x:c r="CT321" s="1"/>
      <x:c r="CU321" s="1"/>
      <x:c r="CV321" s="1"/>
      <x:c r="CW321" s="1"/>
      <x:c r="CX321" s="1"/>
      <x:c r="CY321" s="1"/>
      <x:c r="CZ321" s="1"/>
      <x:c r="DA321" s="1"/>
      <x:c r="DB321" s="1"/>
      <x:c r="DC321" s="1"/>
      <x:c r="DD321" s="1"/>
      <x:c r="DE321" s="1"/>
      <x:c r="DF321" s="1"/>
      <x:c r="DG321" s="1"/>
      <x:c r="DH321" s="1"/>
      <x:c r="DI321" s="1"/>
      <x:c r="DJ321" s="1"/>
      <x:c r="DK321" s="1"/>
      <x:c r="DL321" s="1"/>
      <x:c r="DM321" s="1"/>
    </x:row>
    <x:row r="322" ht="23" customHeight="1">
      <x:c r="A322" s="1" t="n">
        <x:v>317</x:v>
      </x:c>
      <x:c r="B322" s="1"/>
      <x:c r="C322" s="1"/>
      <x:c r="D322" s="1" t="n">
        <x:v>259</x:v>
      </x:c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  <x:c r="CA322" s="1"/>
      <x:c r="CB322" s="1"/>
      <x:c r="CC322" s="1"/>
      <x:c r="CD322" s="1"/>
      <x:c r="CE322" s="1"/>
      <x:c r="CF322" s="1"/>
      <x:c r="CG322" s="1"/>
      <x:c r="CH322" s="1"/>
      <x:c r="CI322" s="1"/>
      <x:c r="CJ322" s="1"/>
      <x:c r="CK322" s="1"/>
      <x:c r="CL322" s="1"/>
      <x:c r="CM322" s="1"/>
      <x:c r="CN322" s="1"/>
      <x:c r="CO322" s="1"/>
      <x:c r="CP322" s="1"/>
      <x:c r="CQ322" s="1"/>
      <x:c r="CR322" s="1"/>
      <x:c r="CS322" s="1"/>
      <x:c r="CT322" s="1"/>
      <x:c r="CU322" s="1"/>
      <x:c r="CV322" s="1"/>
      <x:c r="CW322" s="1"/>
      <x:c r="CX322" s="1"/>
      <x:c r="CY322" s="1"/>
      <x:c r="CZ322" s="1"/>
      <x:c r="DA322" s="1"/>
      <x:c r="DB322" s="1"/>
      <x:c r="DC322" s="1"/>
      <x:c r="DD322" s="1"/>
      <x:c r="DE322" s="1"/>
      <x:c r="DF322" s="1"/>
      <x:c r="DG322" s="1"/>
      <x:c r="DH322" s="1"/>
      <x:c r="DI322" s="1"/>
      <x:c r="DJ322" s="1"/>
      <x:c r="DK322" s="1"/>
      <x:c r="DL322" s="1"/>
      <x:c r="DM322" s="1"/>
    </x:row>
    <x:row r="323" ht="23" customHeight="1">
      <x:c r="A323" s="1" t="n">
        <x:v>318</x:v>
      </x:c>
      <x:c r="B323" s="1"/>
      <x:c r="C323" s="1"/>
      <x:c r="D323" s="1"/>
      <x:c r="E323" s="1" t="n">
        <x:v>163</x:v>
      </x:c>
      <x:c r="F323" s="1" t="n">
        <x:v>1575</x:v>
      </x:c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  <x:c r="CA323" s="1"/>
      <x:c r="CB323" s="1"/>
      <x:c r="CC323" s="1"/>
      <x:c r="CD323" s="1"/>
      <x:c r="CE323" s="1"/>
      <x:c r="CF323" s="1"/>
      <x:c r="CG323" s="1"/>
      <x:c r="CH323" s="1"/>
      <x:c r="CI323" s="1"/>
      <x:c r="CJ323" s="1"/>
      <x:c r="CK323" s="1"/>
      <x:c r="CL323" s="1"/>
      <x:c r="CM323" s="1"/>
      <x:c r="CN323" s="1"/>
      <x:c r="CO323" s="1"/>
      <x:c r="CP323" s="1"/>
      <x:c r="CQ323" s="1"/>
      <x:c r="CR323" s="1"/>
      <x:c r="CS323" s="1"/>
      <x:c r="CT323" s="1"/>
      <x:c r="CU323" s="1"/>
      <x:c r="CV323" s="1"/>
      <x:c r="CW323" s="1"/>
      <x:c r="CX323" s="1"/>
      <x:c r="CY323" s="1"/>
      <x:c r="CZ323" s="1"/>
      <x:c r="DA323" s="1"/>
      <x:c r="DB323" s="1"/>
      <x:c r="DC323" s="1"/>
      <x:c r="DD323" s="1"/>
      <x:c r="DE323" s="1"/>
      <x:c r="DF323" s="1"/>
      <x:c r="DG323" s="1"/>
      <x:c r="DH323" s="1"/>
      <x:c r="DI323" s="1"/>
      <x:c r="DJ323" s="1"/>
      <x:c r="DK323" s="1"/>
      <x:c r="DL323" s="1"/>
      <x:c r="DM323" s="1"/>
    </x:row>
    <x:row r="324" ht="23" customHeight="1">
      <x:c r="A324" s="1" t="n">
        <x:v>319</x:v>
      </x:c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  <x:c r="CA324" s="1"/>
      <x:c r="CB324" s="1"/>
      <x:c r="CC324" s="1"/>
      <x:c r="CD324" s="1"/>
      <x:c r="CE324" s="1"/>
      <x:c r="CF324" s="1"/>
      <x:c r="CG324" s="1"/>
      <x:c r="CH324" s="1"/>
      <x:c r="CI324" s="1"/>
      <x:c r="CJ324" s="1"/>
      <x:c r="CK324" s="1"/>
      <x:c r="CL324" s="1"/>
      <x:c r="CM324" s="1"/>
      <x:c r="CN324" s="1"/>
      <x:c r="CO324" s="1"/>
      <x:c r="CP324" s="1"/>
      <x:c r="CQ324" s="1"/>
      <x:c r="CR324" s="1"/>
      <x:c r="CS324" s="1"/>
      <x:c r="CT324" s="1"/>
      <x:c r="CU324" s="1"/>
      <x:c r="CV324" s="1"/>
      <x:c r="CW324" s="1"/>
      <x:c r="CX324" s="1"/>
      <x:c r="CY324" s="1"/>
      <x:c r="CZ324" s="1"/>
      <x:c r="DA324" s="1"/>
      <x:c r="DB324" s="1"/>
      <x:c r="DC324" s="1"/>
      <x:c r="DD324" s="1"/>
      <x:c r="DE324" s="1"/>
      <x:c r="DF324" s="1"/>
      <x:c r="DG324" s="1"/>
      <x:c r="DH324" s="1"/>
      <x:c r="DI324" s="1"/>
      <x:c r="DJ324" s="1"/>
      <x:c r="DK324" s="1"/>
      <x:c r="DL324" s="1"/>
      <x:c r="DM324" s="1"/>
    </x:row>
    <x:row r="325" ht="23" customHeight="1">
      <x:c r="A325" s="1" t="n">
        <x:v>320</x:v>
      </x:c>
      <x:c r="B325" s="1"/>
      <x:c r="C325" s="1"/>
      <x:c r="D325" s="1" t="n">
        <x:v>0.36</x:v>
      </x:c>
      <x:c r="E325" s="1"/>
      <x:c r="F325" s="1"/>
      <x:c r="G325" s="1"/>
      <x:c r="H325" s="1"/>
      <x:c r="I325" s="1"/>
      <x:c r="J325" s="1"/>
      <x:c r="K325" s="1"/>
      <x:c r="L325" s="1" t="n">
        <x:v>139</x:v>
      </x:c>
      <x:c r="M325" s="1" t="n">
        <x:v>136</x:v>
      </x:c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  <x:c r="CA325" s="1"/>
      <x:c r="CB325" s="1"/>
      <x:c r="CC325" s="1"/>
      <x:c r="CD325" s="1"/>
      <x:c r="CE325" s="1"/>
      <x:c r="CF325" s="1"/>
      <x:c r="CG325" s="1"/>
      <x:c r="CH325" s="1"/>
      <x:c r="CI325" s="1"/>
      <x:c r="CJ325" s="1"/>
      <x:c r="CK325" s="1"/>
      <x:c r="CL325" s="1"/>
      <x:c r="CM325" s="1"/>
      <x:c r="CN325" s="1"/>
      <x:c r="CO325" s="1"/>
      <x:c r="CP325" s="1"/>
      <x:c r="CQ325" s="1"/>
      <x:c r="CR325" s="1"/>
      <x:c r="CS325" s="1"/>
      <x:c r="CT325" s="1"/>
      <x:c r="CU325" s="1"/>
      <x:c r="CV325" s="1"/>
      <x:c r="CW325" s="1"/>
      <x:c r="CX325" s="1"/>
      <x:c r="CY325" s="1"/>
      <x:c r="CZ325" s="1"/>
      <x:c r="DA325" s="1"/>
      <x:c r="DB325" s="1"/>
      <x:c r="DC325" s="1"/>
      <x:c r="DD325" s="1"/>
      <x:c r="DE325" s="1"/>
      <x:c r="DF325" s="1"/>
      <x:c r="DG325" s="1"/>
      <x:c r="DH325" s="1"/>
      <x:c r="DI325" s="1"/>
      <x:c r="DJ325" s="1"/>
      <x:c r="DK325" s="1"/>
      <x:c r="DL325" s="1"/>
      <x:c r="DM325" s="1"/>
    </x:row>
    <x:row r="326" ht="23" customHeight="1">
      <x:c r="A326" s="1" t="n">
        <x:v>321</x:v>
      </x:c>
      <x:c r="B326" s="1"/>
      <x:c r="C326" s="1"/>
      <x:c r="D326" s="1" t="n">
        <x:v>12.9</x:v>
      </x:c>
      <x:c r="E326" s="1"/>
      <x:c r="F326" s="1"/>
      <x:c r="G326" s="1"/>
      <x:c r="H326" s="1"/>
      <x:c r="I326" s="1"/>
      <x:c r="J326" s="1"/>
      <x:c r="K326" s="1"/>
      <x:c r="L326" s="1"/>
      <x:c r="M326" s="1"/>
      <x:c r="N326" s="1" t="n">
        <x:v>253</x:v>
      </x:c>
      <x:c r="O326" s="1" t="n">
        <x:v>280</x:v>
      </x:c>
      <x:c r="P326" s="1" t="n">
        <x:v>323</x:v>
      </x:c>
      <x:c r="Q326" s="1" t="n">
        <x:v>252</x:v>
      </x:c>
      <x:c r="R326" s="1" t="n">
        <x:v>294</x:v>
      </x:c>
      <x:c r="S326" s="1" t="n">
        <x:v>91</x:v>
      </x:c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  <x:c r="CA326" s="1"/>
      <x:c r="CB326" s="1"/>
      <x:c r="CC326" s="1"/>
      <x:c r="CD326" s="1"/>
      <x:c r="CE326" s="1"/>
      <x:c r="CF326" s="1"/>
      <x:c r="CG326" s="1"/>
      <x:c r="CH326" s="1"/>
      <x:c r="CI326" s="1"/>
      <x:c r="CJ326" s="1"/>
      <x:c r="CK326" s="1"/>
      <x:c r="CL326" s="1"/>
      <x:c r="CM326" s="1"/>
      <x:c r="CN326" s="1"/>
      <x:c r="CO326" s="1"/>
      <x:c r="CP326" s="1"/>
      <x:c r="CQ326" s="1"/>
      <x:c r="CR326" s="1"/>
      <x:c r="CS326" s="1"/>
      <x:c r="CT326" s="1"/>
      <x:c r="CU326" s="1"/>
      <x:c r="CV326" s="1"/>
      <x:c r="CW326" s="1"/>
      <x:c r="CX326" s="1"/>
      <x:c r="CY326" s="1"/>
      <x:c r="CZ326" s="1"/>
      <x:c r="DA326" s="1"/>
      <x:c r="DB326" s="1"/>
      <x:c r="DC326" s="1"/>
      <x:c r="DD326" s="1"/>
      <x:c r="DE326" s="1"/>
      <x:c r="DF326" s="1"/>
      <x:c r="DG326" s="1"/>
      <x:c r="DH326" s="1"/>
      <x:c r="DI326" s="1"/>
      <x:c r="DJ326" s="1"/>
      <x:c r="DK326" s="1"/>
      <x:c r="DL326" s="1"/>
      <x:c r="DM326" s="1"/>
    </x:row>
    <x:row r="327" ht="23" customHeight="1">
      <x:c r="A327" s="1" t="n">
        <x:v>322</x:v>
      </x:c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 t="n">
        <x:v>65300</x:v>
      </x:c>
      <x:c r="X327" s="1" t="n">
        <x:v>40400</x:v>
      </x:c>
      <x:c r="Y327" s="1" t="n">
        <x:v>64900</x:v>
      </x:c>
      <x:c r="Z327" s="1" t="n">
        <x:v>78900</x:v>
      </x:c>
      <x:c r="AA327" s="1" t="n">
        <x:v>103000</x:v>
      </x:c>
      <x:c r="AB327" s="1" t="n">
        <x:v>153000</x:v>
      </x:c>
      <x:c r="AC327" s="1" t="n">
        <x:v>159000</x:v>
      </x:c>
      <x:c r="AD327" s="1" t="n">
        <x:v>188000</x:v>
      </x:c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  <x:c r="CA327" s="1"/>
      <x:c r="CB327" s="1"/>
      <x:c r="CC327" s="1"/>
      <x:c r="CD327" s="1"/>
      <x:c r="CE327" s="1"/>
      <x:c r="CF327" s="1"/>
      <x:c r="CG327" s="1"/>
      <x:c r="CH327" s="1"/>
      <x:c r="CI327" s="1"/>
      <x:c r="CJ327" s="1"/>
      <x:c r="CK327" s="1"/>
      <x:c r="CL327" s="1"/>
      <x:c r="CM327" s="1"/>
      <x:c r="CN327" s="1"/>
      <x:c r="CO327" s="1"/>
      <x:c r="CP327" s="1"/>
      <x:c r="CQ327" s="1"/>
      <x:c r="CR327" s="1"/>
      <x:c r="CS327" s="1"/>
      <x:c r="CT327" s="1"/>
      <x:c r="CU327" s="1"/>
      <x:c r="CV327" s="1"/>
      <x:c r="CW327" s="1"/>
      <x:c r="CX327" s="1"/>
      <x:c r="CY327" s="1"/>
      <x:c r="CZ327" s="1"/>
      <x:c r="DA327" s="1"/>
      <x:c r="DB327" s="1"/>
      <x:c r="DC327" s="1"/>
      <x:c r="DD327" s="1"/>
      <x:c r="DE327" s="1"/>
      <x:c r="DF327" s="1"/>
      <x:c r="DG327" s="1"/>
      <x:c r="DH327" s="1"/>
      <x:c r="DI327" s="1"/>
      <x:c r="DJ327" s="1"/>
      <x:c r="DK327" s="1"/>
      <x:c r="DL327" s="1"/>
      <x:c r="DM327" s="1"/>
    </x:row>
    <x:row r="328" ht="23" customHeight="1">
      <x:c r="A328" s="1" t="n">
        <x:v>323</x:v>
      </x:c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 t="n">
        <x:v>830</x:v>
      </x:c>
      <x:c r="O328" s="1" t="n">
        <x:v>135</x:v>
      </x:c>
      <x:c r="P328" s="1"/>
      <x:c r="Q328" s="1" t="n">
        <x:v>287</x:v>
      </x:c>
      <x:c r="R328" s="1" t="n">
        <x:v>419</x:v>
      </x:c>
      <x:c r="S328" s="1" t="n">
        <x:v>626</x:v>
      </x:c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  <x:c r="CA328" s="1"/>
      <x:c r="CB328" s="1"/>
      <x:c r="CC328" s="1"/>
      <x:c r="CD328" s="1"/>
      <x:c r="CE328" s="1"/>
      <x:c r="CF328" s="1"/>
      <x:c r="CG328" s="1"/>
      <x:c r="CH328" s="1"/>
      <x:c r="CI328" s="1"/>
      <x:c r="CJ328" s="1"/>
      <x:c r="CK328" s="1"/>
      <x:c r="CL328" s="1"/>
      <x:c r="CM328" s="1"/>
      <x:c r="CN328" s="1"/>
      <x:c r="CO328" s="1"/>
      <x:c r="CP328" s="1"/>
      <x:c r="CQ328" s="1"/>
      <x:c r="CR328" s="1"/>
      <x:c r="CS328" s="1"/>
      <x:c r="CT328" s="1"/>
      <x:c r="CU328" s="1"/>
      <x:c r="CV328" s="1"/>
      <x:c r="CW328" s="1"/>
      <x:c r="CX328" s="1"/>
      <x:c r="CY328" s="1"/>
      <x:c r="CZ328" s="1"/>
      <x:c r="DA328" s="1"/>
      <x:c r="DB328" s="1"/>
      <x:c r="DC328" s="1"/>
      <x:c r="DD328" s="1"/>
      <x:c r="DE328" s="1"/>
      <x:c r="DF328" s="1"/>
      <x:c r="DG328" s="1"/>
      <x:c r="DH328" s="1"/>
      <x:c r="DI328" s="1"/>
      <x:c r="DJ328" s="1"/>
      <x:c r="DK328" s="1"/>
      <x:c r="DL328" s="1"/>
      <x:c r="DM328" s="1"/>
    </x:row>
    <x:row r="329" ht="23" customHeight="1">
      <x:c r="A329" s="1" t="n">
        <x:v>324</x:v>
      </x:c>
      <x:c r="B329" s="1"/>
      <x:c r="C329" s="1"/>
      <x:c r="D329" s="1" t="n">
        <x:v>6.89</x:v>
      </x:c>
      <x:c r="E329" s="1"/>
      <x:c r="F329" s="1"/>
      <x:c r="G329" s="1"/>
      <x:c r="H329" s="1"/>
      <x:c r="I329" s="1"/>
      <x:c r="J329" s="1"/>
      <x:c r="K329" s="1"/>
      <x:c r="L329" s="1"/>
      <x:c r="M329" s="1"/>
      <x:c r="N329" s="1" t="n">
        <x:v>1148</x:v>
      </x:c>
      <x:c r="O329" s="1" t="n">
        <x:v>2138</x:v>
      </x:c>
      <x:c r="P329" s="1" t="n">
        <x:v>1352</x:v>
      </x:c>
      <x:c r="Q329" s="1" t="n">
        <x:v>4184</x:v>
      </x:c>
      <x:c r="R329" s="1" t="n">
        <x:v>4307</x:v>
      </x:c>
      <x:c r="S329" s="1" t="n">
        <x:v>3259</x:v>
      </x:c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  <x:c r="CA329" s="1"/>
      <x:c r="CB329" s="1"/>
      <x:c r="CC329" s="1"/>
      <x:c r="CD329" s="1"/>
      <x:c r="CE329" s="1"/>
      <x:c r="CF329" s="1"/>
      <x:c r="CG329" s="1"/>
      <x:c r="CH329" s="1"/>
      <x:c r="CI329" s="1"/>
      <x:c r="CJ329" s="1"/>
      <x:c r="CK329" s="1"/>
      <x:c r="CL329" s="1"/>
      <x:c r="CM329" s="1"/>
      <x:c r="CN329" s="1"/>
      <x:c r="CO329" s="1"/>
      <x:c r="CP329" s="1"/>
      <x:c r="CQ329" s="1"/>
      <x:c r="CR329" s="1"/>
      <x:c r="CS329" s="1"/>
      <x:c r="CT329" s="1"/>
      <x:c r="CU329" s="1"/>
      <x:c r="CV329" s="1"/>
      <x:c r="CW329" s="1"/>
      <x:c r="CX329" s="1"/>
      <x:c r="CY329" s="1"/>
      <x:c r="CZ329" s="1"/>
      <x:c r="DA329" s="1"/>
      <x:c r="DB329" s="1"/>
      <x:c r="DC329" s="1"/>
      <x:c r="DD329" s="1"/>
      <x:c r="DE329" s="1"/>
      <x:c r="DF329" s="1"/>
      <x:c r="DG329" s="1"/>
      <x:c r="DH329" s="1"/>
      <x:c r="DI329" s="1"/>
      <x:c r="DJ329" s="1"/>
      <x:c r="DK329" s="1"/>
      <x:c r="DL329" s="1"/>
      <x:c r="DM329" s="1"/>
    </x:row>
    <x:row r="330" ht="23" customHeight="1">
      <x:c r="A330" s="1" t="n">
        <x:v>325</x:v>
      </x:c>
      <x:c r="B330" s="1"/>
      <x:c r="C330" s="1"/>
      <x:c r="D330" s="1" t="n">
        <x:v>15000</x:v>
      </x:c>
      <x:c r="E330" s="1"/>
      <x:c r="F330" s="1"/>
      <x:c r="G330" s="1"/>
      <x:c r="H330" s="1"/>
      <x:c r="I330" s="1"/>
      <x:c r="J330" s="1"/>
      <x:c r="K330" s="1"/>
      <x:c r="L330" s="1" t="n">
        <x:v>2533</x:v>
      </x:c>
      <x:c r="M330" s="1" t="n">
        <x:v>2505</x:v>
      </x:c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  <x:c r="CA330" s="1"/>
      <x:c r="CB330" s="1"/>
      <x:c r="CC330" s="1"/>
      <x:c r="CD330" s="1"/>
      <x:c r="CE330" s="1"/>
      <x:c r="CF330" s="1"/>
      <x:c r="CG330" s="1"/>
      <x:c r="CH330" s="1"/>
      <x:c r="CI330" s="1"/>
      <x:c r="CJ330" s="1"/>
      <x:c r="CK330" s="1"/>
      <x:c r="CL330" s="1"/>
      <x:c r="CM330" s="1"/>
      <x:c r="CN330" s="1"/>
      <x:c r="CO330" s="1"/>
      <x:c r="CP330" s="1"/>
      <x:c r="CQ330" s="1"/>
      <x:c r="CR330" s="1"/>
      <x:c r="CS330" s="1"/>
      <x:c r="CT330" s="1"/>
      <x:c r="CU330" s="1"/>
      <x:c r="CV330" s="1"/>
      <x:c r="CW330" s="1"/>
      <x:c r="CX330" s="1"/>
      <x:c r="CY330" s="1"/>
      <x:c r="CZ330" s="1"/>
      <x:c r="DA330" s="1"/>
      <x:c r="DB330" s="1"/>
      <x:c r="DC330" s="1"/>
      <x:c r="DD330" s="1"/>
      <x:c r="DE330" s="1"/>
      <x:c r="DF330" s="1"/>
      <x:c r="DG330" s="1"/>
      <x:c r="DH330" s="1"/>
      <x:c r="DI330" s="1"/>
      <x:c r="DJ330" s="1"/>
      <x:c r="DK330" s="1"/>
      <x:c r="DL330" s="1"/>
      <x:c r="DM330" s="1"/>
    </x:row>
    <x:row r="331" ht="23" customHeight="1">
      <x:c r="A331" s="1" t="n">
        <x:v>326</x:v>
      </x:c>
      <x:c r="B331" s="1"/>
      <x:c r="C331" s="1"/>
      <x:c r="D331" s="1" t="n">
        <x:v>44000</x:v>
      </x:c>
      <x:c r="E331" s="1"/>
      <x:c r="F331" s="1"/>
      <x:c r="G331" s="1" t="n">
        <x:v>22.64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  <x:c r="CA331" s="1"/>
      <x:c r="CB331" s="1"/>
      <x:c r="CC331" s="1"/>
      <x:c r="CD331" s="1"/>
      <x:c r="CE331" s="1"/>
      <x:c r="CF331" s="1"/>
      <x:c r="CG331" s="1"/>
      <x:c r="CH331" s="1"/>
      <x:c r="CI331" s="1"/>
      <x:c r="CJ331" s="1"/>
      <x:c r="CK331" s="1"/>
      <x:c r="CL331" s="1"/>
      <x:c r="CM331" s="1"/>
      <x:c r="CN331" s="1"/>
      <x:c r="CO331" s="1"/>
      <x:c r="CP331" s="1"/>
      <x:c r="CQ331" s="1"/>
      <x:c r="CR331" s="1"/>
      <x:c r="CS331" s="1"/>
      <x:c r="CT331" s="1"/>
      <x:c r="CU331" s="1"/>
      <x:c r="CV331" s="1"/>
      <x:c r="CW331" s="1"/>
      <x:c r="CX331" s="1"/>
      <x:c r="CY331" s="1"/>
      <x:c r="CZ331" s="1"/>
      <x:c r="DA331" s="1"/>
      <x:c r="DB331" s="1"/>
      <x:c r="DC331" s="1"/>
      <x:c r="DD331" s="1"/>
      <x:c r="DE331" s="1"/>
      <x:c r="DF331" s="1"/>
      <x:c r="DG331" s="1"/>
      <x:c r="DH331" s="1"/>
      <x:c r="DI331" s="1"/>
      <x:c r="DJ331" s="1"/>
      <x:c r="DK331" s="1"/>
      <x:c r="DL331" s="1"/>
      <x:c r="DM331" s="1"/>
    </x:row>
    <x:row r="332" ht="23" customHeight="1">
      <x:c r="A332" s="1" t="n">
        <x:v>327</x:v>
      </x:c>
      <x:c r="B332" s="1"/>
      <x:c r="C332" s="1"/>
      <x:c r="D332" s="1" t="n">
        <x:v>90.7</x:v>
      </x:c>
      <x:c r="E332" s="1"/>
      <x:c r="F332" s="1"/>
      <x:c r="G332" s="1"/>
      <x:c r="H332" s="1"/>
      <x:c r="I332" s="1"/>
      <x:c r="J332" s="1"/>
      <x:c r="K332" s="1"/>
      <x:c r="L332" s="1" t="n">
        <x:v>130</x:v>
      </x:c>
      <x:c r="M332" s="1" t="n">
        <x:v>13</x:v>
      </x:c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  <x:c r="CA332" s="1"/>
      <x:c r="CB332" s="1"/>
      <x:c r="CC332" s="1"/>
      <x:c r="CD332" s="1"/>
      <x:c r="CE332" s="1"/>
      <x:c r="CF332" s="1"/>
      <x:c r="CG332" s="1"/>
      <x:c r="CH332" s="1"/>
      <x:c r="CI332" s="1"/>
      <x:c r="CJ332" s="1"/>
      <x:c r="CK332" s="1"/>
      <x:c r="CL332" s="1"/>
      <x:c r="CM332" s="1"/>
      <x:c r="CN332" s="1"/>
      <x:c r="CO332" s="1"/>
      <x:c r="CP332" s="1"/>
      <x:c r="CQ332" s="1"/>
      <x:c r="CR332" s="1"/>
      <x:c r="CS332" s="1"/>
      <x:c r="CT332" s="1"/>
      <x:c r="CU332" s="1"/>
      <x:c r="CV332" s="1"/>
      <x:c r="CW332" s="1"/>
      <x:c r="CX332" s="1"/>
      <x:c r="CY332" s="1"/>
      <x:c r="CZ332" s="1"/>
      <x:c r="DA332" s="1"/>
      <x:c r="DB332" s="1"/>
      <x:c r="DC332" s="1"/>
      <x:c r="DD332" s="1"/>
      <x:c r="DE332" s="1"/>
      <x:c r="DF332" s="1"/>
      <x:c r="DG332" s="1"/>
      <x:c r="DH332" s="1"/>
      <x:c r="DI332" s="1"/>
      <x:c r="DJ332" s="1"/>
      <x:c r="DK332" s="1"/>
      <x:c r="DL332" s="1"/>
      <x:c r="DM332" s="1"/>
    </x:row>
    <x:row r="333" ht="23" customHeight="1">
      <x:c r="A333" s="1" t="n">
        <x:v>328</x:v>
      </x:c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 t="n">
        <x:v>5540</x:v>
      </x:c>
      <x:c r="O333" s="1" t="n">
        <x:v>6423</x:v>
      </x:c>
      <x:c r="P333" s="1" t="n">
        <x:v>9758</x:v>
      </x:c>
      <x:c r="Q333" s="1" t="n">
        <x:v>8184</x:v>
      </x:c>
      <x:c r="R333" s="1" t="n">
        <x:v>7818</x:v>
      </x:c>
      <x:c r="S333" s="1" t="n">
        <x:v>5644</x:v>
      </x:c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  <x:c r="CA333" s="1"/>
      <x:c r="CB333" s="1"/>
      <x:c r="CC333" s="1"/>
      <x:c r="CD333" s="1"/>
      <x:c r="CE333" s="1"/>
      <x:c r="CF333" s="1"/>
      <x:c r="CG333" s="1"/>
      <x:c r="CH333" s="1"/>
      <x:c r="CI333" s="1"/>
      <x:c r="CJ333" s="1"/>
      <x:c r="CK333" s="1"/>
      <x:c r="CL333" s="1"/>
      <x:c r="CM333" s="1"/>
      <x:c r="CN333" s="1"/>
      <x:c r="CO333" s="1"/>
      <x:c r="CP333" s="1"/>
      <x:c r="CQ333" s="1"/>
      <x:c r="CR333" s="1"/>
      <x:c r="CS333" s="1"/>
      <x:c r="CT333" s="1"/>
      <x:c r="CU333" s="1"/>
      <x:c r="CV333" s="1"/>
      <x:c r="CW333" s="1"/>
      <x:c r="CX333" s="1"/>
      <x:c r="CY333" s="1"/>
      <x:c r="CZ333" s="1"/>
      <x:c r="DA333" s="1"/>
      <x:c r="DB333" s="1"/>
      <x:c r="DC333" s="1"/>
      <x:c r="DD333" s="1"/>
      <x:c r="DE333" s="1"/>
      <x:c r="DF333" s="1"/>
      <x:c r="DG333" s="1"/>
      <x:c r="DH333" s="1"/>
      <x:c r="DI333" s="1"/>
      <x:c r="DJ333" s="1"/>
      <x:c r="DK333" s="1"/>
      <x:c r="DL333" s="1"/>
      <x:c r="DM333" s="1"/>
    </x:row>
    <x:row r="334" ht="23" customHeight="1">
      <x:c r="A334" s="1" t="n">
        <x:v>329</x:v>
      </x:c>
      <x:c r="B334" s="1"/>
      <x:c r="C334" s="1"/>
      <x:c r="D334" s="1" t="n">
        <x:v>25.5</x:v>
      </x:c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  <x:c r="CA334" s="1"/>
      <x:c r="CB334" s="1"/>
      <x:c r="CC334" s="1"/>
      <x:c r="CD334" s="1"/>
      <x:c r="CE334" s="1"/>
      <x:c r="CF334" s="1"/>
      <x:c r="CG334" s="1"/>
      <x:c r="CH334" s="1"/>
      <x:c r="CI334" s="1"/>
      <x:c r="CJ334" s="1"/>
      <x:c r="CK334" s="1"/>
      <x:c r="CL334" s="1"/>
      <x:c r="CM334" s="1"/>
      <x:c r="CN334" s="1"/>
      <x:c r="CO334" s="1"/>
      <x:c r="CP334" s="1"/>
      <x:c r="CQ334" s="1"/>
      <x:c r="CR334" s="1"/>
      <x:c r="CS334" s="1"/>
      <x:c r="CT334" s="1"/>
      <x:c r="CU334" s="1"/>
      <x:c r="CV334" s="1"/>
      <x:c r="CW334" s="1"/>
      <x:c r="CX334" s="1"/>
      <x:c r="CY334" s="1"/>
      <x:c r="CZ334" s="1"/>
      <x:c r="DA334" s="1"/>
      <x:c r="DB334" s="1"/>
      <x:c r="DC334" s="1"/>
      <x:c r="DD334" s="1"/>
      <x:c r="DE334" s="1"/>
      <x:c r="DF334" s="1"/>
      <x:c r="DG334" s="1"/>
      <x:c r="DH334" s="1"/>
      <x:c r="DI334" s="1"/>
      <x:c r="DJ334" s="1"/>
      <x:c r="DK334" s="1"/>
      <x:c r="DL334" s="1"/>
      <x:c r="DM334" s="1"/>
    </x:row>
    <x:row r="335" ht="23" customHeight="1">
      <x:c r="A335" s="1" t="n">
        <x:v>330</x:v>
      </x:c>
      <x:c r="B335" s="1"/>
      <x:c r="C335" s="1"/>
      <x:c r="D335" s="1" t="n">
        <x:v>2520</x:v>
      </x:c>
      <x:c r="E335" s="1"/>
      <x:c r="F335" s="1"/>
      <x:c r="G335" s="1"/>
      <x:c r="H335" s="1"/>
      <x:c r="I335" s="1"/>
      <x:c r="J335" s="1"/>
      <x:c r="K335" s="1"/>
      <x:c r="L335" s="1" t="n">
        <x:v>82362</x:v>
      </x:c>
      <x:c r="M335" s="1" t="n">
        <x:v>123135</x:v>
      </x:c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  <x:c r="CA335" s="1"/>
      <x:c r="CB335" s="1"/>
      <x:c r="CC335" s="1"/>
      <x:c r="CD335" s="1"/>
      <x:c r="CE335" s="1"/>
      <x:c r="CF335" s="1"/>
      <x:c r="CG335" s="1"/>
      <x:c r="CH335" s="1"/>
      <x:c r="CI335" s="1"/>
      <x:c r="CJ335" s="1"/>
      <x:c r="CK335" s="1"/>
      <x:c r="CL335" s="1"/>
      <x:c r="CM335" s="1"/>
      <x:c r="CN335" s="1"/>
      <x:c r="CO335" s="1"/>
      <x:c r="CP335" s="1"/>
      <x:c r="CQ335" s="1"/>
      <x:c r="CR335" s="1"/>
      <x:c r="CS335" s="1"/>
      <x:c r="CT335" s="1"/>
      <x:c r="CU335" s="1"/>
      <x:c r="CV335" s="1"/>
      <x:c r="CW335" s="1"/>
      <x:c r="CX335" s="1"/>
      <x:c r="CY335" s="1"/>
      <x:c r="CZ335" s="1"/>
      <x:c r="DA335" s="1"/>
      <x:c r="DB335" s="1"/>
      <x:c r="DC335" s="1"/>
      <x:c r="DD335" s="1"/>
      <x:c r="DE335" s="1"/>
      <x:c r="DF335" s="1"/>
      <x:c r="DG335" s="1"/>
      <x:c r="DH335" s="1"/>
      <x:c r="DI335" s="1"/>
      <x:c r="DJ335" s="1"/>
      <x:c r="DK335" s="1"/>
      <x:c r="DL335" s="1"/>
      <x:c r="DM335" s="1"/>
    </x:row>
    <x:row r="336" ht="23" customHeight="1">
      <x:c r="A336" s="1" t="n">
        <x:v>331</x:v>
      </x:c>
      <x:c r="B336" s="1"/>
      <x:c r="C336" s="1"/>
      <x:c r="D336" s="1" t="n">
        <x:v>16.5</x:v>
      </x:c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  <x:c r="CA336" s="1"/>
      <x:c r="CB336" s="1"/>
      <x:c r="CC336" s="1"/>
      <x:c r="CD336" s="1"/>
      <x:c r="CE336" s="1"/>
      <x:c r="CF336" s="1"/>
      <x:c r="CG336" s="1"/>
      <x:c r="CH336" s="1"/>
      <x:c r="CI336" s="1"/>
      <x:c r="CJ336" s="1"/>
      <x:c r="CK336" s="1"/>
      <x:c r="CL336" s="1"/>
      <x:c r="CM336" s="1"/>
      <x:c r="CN336" s="1"/>
      <x:c r="CO336" s="1"/>
      <x:c r="CP336" s="1"/>
      <x:c r="CQ336" s="1"/>
      <x:c r="CR336" s="1"/>
      <x:c r="CS336" s="1"/>
      <x:c r="CT336" s="1"/>
      <x:c r="CU336" s="1"/>
      <x:c r="CV336" s="1"/>
      <x:c r="CW336" s="1"/>
      <x:c r="CX336" s="1"/>
      <x:c r="CY336" s="1"/>
      <x:c r="CZ336" s="1"/>
      <x:c r="DA336" s="1"/>
      <x:c r="DB336" s="1"/>
      <x:c r="DC336" s="1"/>
      <x:c r="DD336" s="1"/>
      <x:c r="DE336" s="1"/>
      <x:c r="DF336" s="1"/>
      <x:c r="DG336" s="1"/>
      <x:c r="DH336" s="1"/>
      <x:c r="DI336" s="1"/>
      <x:c r="DJ336" s="1"/>
      <x:c r="DK336" s="1"/>
      <x:c r="DL336" s="1"/>
      <x:c r="DM336" s="1"/>
    </x:row>
    <x:row r="337" ht="23" customHeight="1">
      <x:c r="A337" s="1" t="n">
        <x:v>332</x:v>
      </x:c>
      <x:c r="B337" s="1"/>
      <x:c r="C337" s="1"/>
      <x:c r="D337" s="1" t="n">
        <x:v>1050</x:v>
      </x:c>
      <x:c r="E337" s="1"/>
      <x:c r="F337" s="1"/>
      <x:c r="G337" s="1"/>
      <x:c r="H337" s="1"/>
      <x:c r="I337" s="1"/>
      <x:c r="J337" s="1"/>
      <x:c r="K337" s="1"/>
      <x:c r="L337" s="1" t="n">
        <x:v>3123</x:v>
      </x:c>
      <x:c r="M337" s="1" t="n">
        <x:v>4507</x:v>
      </x:c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  <x:c r="CA337" s="1"/>
      <x:c r="CB337" s="1"/>
      <x:c r="CC337" s="1"/>
      <x:c r="CD337" s="1"/>
      <x:c r="CE337" s="1"/>
      <x:c r="CF337" s="1"/>
      <x:c r="CG337" s="1"/>
      <x:c r="CH337" s="1"/>
      <x:c r="CI337" s="1"/>
      <x:c r="CJ337" s="1"/>
      <x:c r="CK337" s="1"/>
      <x:c r="CL337" s="1"/>
      <x:c r="CM337" s="1"/>
      <x:c r="CN337" s="1"/>
      <x:c r="CO337" s="1"/>
      <x:c r="CP337" s="1"/>
      <x:c r="CQ337" s="1"/>
      <x:c r="CR337" s="1"/>
      <x:c r="CS337" s="1"/>
      <x:c r="CT337" s="1"/>
      <x:c r="CU337" s="1"/>
      <x:c r="CV337" s="1"/>
      <x:c r="CW337" s="1"/>
      <x:c r="CX337" s="1"/>
      <x:c r="CY337" s="1"/>
      <x:c r="CZ337" s="1"/>
      <x:c r="DA337" s="1"/>
      <x:c r="DB337" s="1"/>
      <x:c r="DC337" s="1"/>
      <x:c r="DD337" s="1"/>
      <x:c r="DE337" s="1"/>
      <x:c r="DF337" s="1"/>
      <x:c r="DG337" s="1"/>
      <x:c r="DH337" s="1"/>
      <x:c r="DI337" s="1"/>
      <x:c r="DJ337" s="1"/>
      <x:c r="DK337" s="1"/>
      <x:c r="DL337" s="1"/>
      <x:c r="DM337" s="1"/>
    </x:row>
    <x:row r="338" ht="23" customHeight="1">
      <x:c r="A338" s="1" t="n">
        <x:v>333</x:v>
      </x:c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 t="n">
        <x:v>1301</x:v>
      </x:c>
      <x:c r="O338" s="1" t="n">
        <x:v>1075</x:v>
      </x:c>
      <x:c r="P338" s="1" t="n">
        <x:v>1075</x:v>
      </x:c>
      <x:c r="Q338" s="1" t="n">
        <x:v>466</x:v>
      </x:c>
      <x:c r="R338" s="1" t="n">
        <x:v>426</x:v>
      </x:c>
      <x:c r="S338" s="1" t="n">
        <x:v>1075</x:v>
      </x:c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  <x:c r="CA338" s="1"/>
      <x:c r="CB338" s="1"/>
      <x:c r="CC338" s="1"/>
      <x:c r="CD338" s="1"/>
      <x:c r="CE338" s="1"/>
      <x:c r="CF338" s="1"/>
      <x:c r="CG338" s="1"/>
      <x:c r="CH338" s="1"/>
      <x:c r="CI338" s="1"/>
      <x:c r="CJ338" s="1"/>
      <x:c r="CK338" s="1"/>
      <x:c r="CL338" s="1"/>
      <x:c r="CM338" s="1"/>
      <x:c r="CN338" s="1"/>
      <x:c r="CO338" s="1"/>
      <x:c r="CP338" s="1"/>
      <x:c r="CQ338" s="1"/>
      <x:c r="CR338" s="1"/>
      <x:c r="CS338" s="1"/>
      <x:c r="CT338" s="1"/>
      <x:c r="CU338" s="1"/>
      <x:c r="CV338" s="1"/>
      <x:c r="CW338" s="1"/>
      <x:c r="CX338" s="1"/>
      <x:c r="CY338" s="1"/>
      <x:c r="CZ338" s="1"/>
      <x:c r="DA338" s="1"/>
      <x:c r="DB338" s="1"/>
      <x:c r="DC338" s="1"/>
      <x:c r="DD338" s="1"/>
      <x:c r="DE338" s="1"/>
      <x:c r="DF338" s="1"/>
      <x:c r="DG338" s="1"/>
      <x:c r="DH338" s="1"/>
      <x:c r="DI338" s="1"/>
      <x:c r="DJ338" s="1"/>
      <x:c r="DK338" s="1"/>
      <x:c r="DL338" s="1"/>
      <x:c r="DM338" s="1"/>
    </x:row>
    <x:row r="339" ht="23" customHeight="1">
      <x:c r="A339" s="1" t="n">
        <x:v>334</x:v>
      </x:c>
      <x:c r="B339" s="1"/>
      <x:c r="C339" s="1"/>
      <x:c r="D339" s="1" t="n">
        <x:v>44000</x:v>
      </x:c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  <x:c r="CA339" s="1"/>
      <x:c r="CB339" s="1"/>
      <x:c r="CC339" s="1"/>
      <x:c r="CD339" s="1"/>
      <x:c r="CE339" s="1"/>
      <x:c r="CF339" s="1"/>
      <x:c r="CG339" s="1"/>
      <x:c r="CH339" s="1"/>
      <x:c r="CI339" s="1"/>
      <x:c r="CJ339" s="1"/>
      <x:c r="CK339" s="1"/>
      <x:c r="CL339" s="1"/>
      <x:c r="CM339" s="1"/>
      <x:c r="CN339" s="1"/>
      <x:c r="CO339" s="1"/>
      <x:c r="CP339" s="1"/>
      <x:c r="CQ339" s="1"/>
      <x:c r="CR339" s="1"/>
      <x:c r="CS339" s="1"/>
      <x:c r="CT339" s="1"/>
      <x:c r="CU339" s="1"/>
      <x:c r="CV339" s="1"/>
      <x:c r="CW339" s="1"/>
      <x:c r="CX339" s="1"/>
      <x:c r="CY339" s="1"/>
      <x:c r="CZ339" s="1"/>
      <x:c r="DA339" s="1"/>
      <x:c r="DB339" s="1"/>
      <x:c r="DC339" s="1"/>
      <x:c r="DD339" s="1"/>
      <x:c r="DE339" s="1"/>
      <x:c r="DF339" s="1"/>
      <x:c r="DG339" s="1"/>
      <x:c r="DH339" s="1"/>
      <x:c r="DI339" s="1"/>
      <x:c r="DJ339" s="1"/>
      <x:c r="DK339" s="1"/>
      <x:c r="DL339" s="1"/>
      <x:c r="DM339" s="1"/>
    </x:row>
    <x:row r="340" ht="23" customHeight="1">
      <x:c r="A340" s="1" t="n">
        <x:v>335</x:v>
      </x:c>
      <x:c r="B340" s="1"/>
      <x:c r="C340" s="1"/>
      <x:c r="D340" s="1"/>
      <x:c r="E340" s="1"/>
      <x:c r="F340" s="1"/>
      <x:c r="G340" s="1" t="n">
        <x:v>0.36</x:v>
      </x:c>
      <x:c r="H340" s="1" t="n">
        <x:v>2.88</x:v>
      </x:c>
      <x:c r="I340" s="1" t="n">
        <x:v>1.39</x:v>
      </x:c>
      <x:c r="J340" s="1" t="n">
        <x:v>84.16</x:v>
      </x:c>
      <x:c r="K340" s="1" t="n">
        <x:v>4.43</x:v>
      </x:c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  <x:c r="CA340" s="1"/>
      <x:c r="CB340" s="1"/>
      <x:c r="CC340" s="1"/>
      <x:c r="CD340" s="1"/>
      <x:c r="CE340" s="1"/>
      <x:c r="CF340" s="1"/>
      <x:c r="CG340" s="1"/>
      <x:c r="CH340" s="1"/>
      <x:c r="CI340" s="1"/>
      <x:c r="CJ340" s="1"/>
      <x:c r="CK340" s="1"/>
      <x:c r="CL340" s="1"/>
      <x:c r="CM340" s="1"/>
      <x:c r="CN340" s="1"/>
      <x:c r="CO340" s="1"/>
      <x:c r="CP340" s="1"/>
      <x:c r="CQ340" s="1"/>
      <x:c r="CR340" s="1"/>
      <x:c r="CS340" s="1"/>
      <x:c r="CT340" s="1"/>
      <x:c r="CU340" s="1"/>
      <x:c r="CV340" s="1"/>
      <x:c r="CW340" s="1"/>
      <x:c r="CX340" s="1"/>
      <x:c r="CY340" s="1"/>
      <x:c r="CZ340" s="1"/>
      <x:c r="DA340" s="1"/>
      <x:c r="DB340" s="1"/>
      <x:c r="DC340" s="1"/>
      <x:c r="DD340" s="1"/>
      <x:c r="DE340" s="1"/>
      <x:c r="DF340" s="1"/>
      <x:c r="DG340" s="1"/>
      <x:c r="DH340" s="1"/>
      <x:c r="DI340" s="1"/>
      <x:c r="DJ340" s="1"/>
      <x:c r="DK340" s="1"/>
      <x:c r="DL340" s="1"/>
      <x:c r="DM340" s="1"/>
    </x:row>
    <x:row r="341" ht="23" customHeight="1">
      <x:c r="A341" s="1" t="n">
        <x:v>336</x:v>
      </x:c>
      <x:c r="B341" s="1"/>
      <x:c r="C341" s="1"/>
      <x:c r="D341" s="1"/>
      <x:c r="E341" s="1"/>
      <x:c r="F341" s="1"/>
      <x:c r="G341" s="1" t="n">
        <x:v>9718.36</x:v>
      </x:c>
      <x:c r="H341" s="1" t="n">
        <x:v>5691.46</x:v>
      </x:c>
      <x:c r="I341" s="1" t="n">
        <x:v>7314.51</x:v>
      </x:c>
      <x:c r="J341" s="1" t="n">
        <x:v>15138.07</x:v>
      </x:c>
      <x:c r="K341" s="1" t="n">
        <x:v>2365.63</x:v>
      </x:c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  <x:c r="CA341" s="1"/>
      <x:c r="CB341" s="1"/>
      <x:c r="CC341" s="1"/>
      <x:c r="CD341" s="1"/>
      <x:c r="CE341" s="1"/>
      <x:c r="CF341" s="1"/>
      <x:c r="CG341" s="1"/>
      <x:c r="CH341" s="1"/>
      <x:c r="CI341" s="1"/>
      <x:c r="CJ341" s="1"/>
      <x:c r="CK341" s="1"/>
      <x:c r="CL341" s="1"/>
      <x:c r="CM341" s="1"/>
      <x:c r="CN341" s="1"/>
      <x:c r="CO341" s="1"/>
      <x:c r="CP341" s="1"/>
      <x:c r="CQ341" s="1"/>
      <x:c r="CR341" s="1"/>
      <x:c r="CS341" s="1"/>
      <x:c r="CT341" s="1"/>
      <x:c r="CU341" s="1"/>
      <x:c r="CV341" s="1"/>
      <x:c r="CW341" s="1"/>
      <x:c r="CX341" s="1"/>
      <x:c r="CY341" s="1"/>
      <x:c r="CZ341" s="1"/>
      <x:c r="DA341" s="1"/>
      <x:c r="DB341" s="1"/>
      <x:c r="DC341" s="1"/>
      <x:c r="DD341" s="1"/>
      <x:c r="DE341" s="1"/>
      <x:c r="DF341" s="1"/>
      <x:c r="DG341" s="1"/>
      <x:c r="DH341" s="1"/>
      <x:c r="DI341" s="1"/>
      <x:c r="DJ341" s="1"/>
      <x:c r="DK341" s="1"/>
      <x:c r="DL341" s="1"/>
      <x:c r="DM341" s="1"/>
    </x:row>
    <x:row r="342" ht="23" customHeight="1">
      <x:c r="A342" s="1" t="n">
        <x:v>337</x:v>
      </x:c>
      <x:c r="B342" s="1"/>
      <x:c r="C342" s="1"/>
      <x:c r="D342" s="1" t="n">
        <x:v>730</x:v>
      </x:c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  <x:c r="CA342" s="1"/>
      <x:c r="CB342" s="1"/>
      <x:c r="CC342" s="1"/>
      <x:c r="CD342" s="1"/>
      <x:c r="CE342" s="1"/>
      <x:c r="CF342" s="1"/>
      <x:c r="CG342" s="1"/>
      <x:c r="CH342" s="1"/>
      <x:c r="CI342" s="1"/>
      <x:c r="CJ342" s="1"/>
      <x:c r="CK342" s="1"/>
      <x:c r="CL342" s="1"/>
      <x:c r="CM342" s="1"/>
      <x:c r="CN342" s="1"/>
      <x:c r="CO342" s="1"/>
      <x:c r="CP342" s="1"/>
      <x:c r="CQ342" s="1"/>
      <x:c r="CR342" s="1"/>
      <x:c r="CS342" s="1"/>
      <x:c r="CT342" s="1"/>
      <x:c r="CU342" s="1"/>
      <x:c r="CV342" s="1"/>
      <x:c r="CW342" s="1"/>
      <x:c r="CX342" s="1"/>
      <x:c r="CY342" s="1"/>
      <x:c r="CZ342" s="1"/>
      <x:c r="DA342" s="1"/>
      <x:c r="DB342" s="1"/>
      <x:c r="DC342" s="1"/>
      <x:c r="DD342" s="1"/>
      <x:c r="DE342" s="1"/>
      <x:c r="DF342" s="1"/>
      <x:c r="DG342" s="1"/>
      <x:c r="DH342" s="1"/>
      <x:c r="DI342" s="1"/>
      <x:c r="DJ342" s="1"/>
      <x:c r="DK342" s="1"/>
      <x:c r="DL342" s="1"/>
      <x:c r="DM342" s="1"/>
    </x:row>
    <x:row r="343" ht="23" customHeight="1">
      <x:c r="A343" s="1" t="n">
        <x:v>338</x:v>
      </x:c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 t="n">
        <x:v>1.5</x:v>
      </x:c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  <x:c r="CA343" s="1"/>
      <x:c r="CB343" s="1"/>
      <x:c r="CC343" s="1"/>
      <x:c r="CD343" s="1"/>
      <x:c r="CE343" s="1"/>
      <x:c r="CF343" s="1"/>
      <x:c r="CG343" s="1"/>
      <x:c r="CH343" s="1"/>
      <x:c r="CI343" s="1"/>
      <x:c r="CJ343" s="1"/>
      <x:c r="CK343" s="1"/>
      <x:c r="CL343" s="1"/>
      <x:c r="CM343" s="1"/>
      <x:c r="CN343" s="1"/>
      <x:c r="CO343" s="1"/>
      <x:c r="CP343" s="1"/>
      <x:c r="CQ343" s="1"/>
      <x:c r="CR343" s="1"/>
      <x:c r="CS343" s="1"/>
      <x:c r="CT343" s="1"/>
      <x:c r="CU343" s="1"/>
      <x:c r="CV343" s="1"/>
      <x:c r="CW343" s="1"/>
      <x:c r="CX343" s="1"/>
      <x:c r="CY343" s="1"/>
      <x:c r="CZ343" s="1"/>
      <x:c r="DA343" s="1"/>
      <x:c r="DB343" s="1"/>
      <x:c r="DC343" s="1"/>
      <x:c r="DD343" s="1"/>
      <x:c r="DE343" s="1"/>
      <x:c r="DF343" s="1"/>
      <x:c r="DG343" s="1"/>
      <x:c r="DH343" s="1"/>
      <x:c r="DI343" s="1"/>
      <x:c r="DJ343" s="1"/>
      <x:c r="DK343" s="1"/>
      <x:c r="DL343" s="1"/>
      <x:c r="DM343" s="1"/>
    </x:row>
    <x:row r="344" ht="23" customHeight="1">
      <x:c r="A344" s="1" t="n">
        <x:v>339</x:v>
      </x:c>
      <x:c r="B344" s="1" t="str">
        <x:v>β－苯乙醇</x:v>
      </x:c>
      <x:c r="C344" s="1"/>
      <x:c r="D344" s="1" t="n">
        <x:v>28900</x:v>
      </x:c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 t="n">
        <x:v>5600</x:v>
      </x:c>
      <x:c r="BR344" s="1" t="n">
        <x:v>1300</x:v>
      </x:c>
      <x:c r="BS344" s="1" t="n">
        <x:v>500</x:v>
      </x:c>
      <x:c r="BT344" s="1" t="n">
        <x:v>1100</x:v>
      </x:c>
      <x:c r="BU344" s="1" t="n">
        <x:v>2000</x:v>
      </x:c>
      <x:c r="BV344" s="1" t="n">
        <x:v>4300</x:v>
      </x:c>
      <x:c r="BW344" s="1" t="n">
        <x:v>1100</x:v>
      </x:c>
      <x:c r="BX344" s="1" t="n">
        <x:v>2100</x:v>
      </x:c>
      <x:c r="BY344" s="1" t="n">
        <x:v>1200</x:v>
      </x:c>
      <x:c r="BZ344" s="1"/>
      <x:c r="CA344" s="1"/>
      <x:c r="CB344" s="1"/>
      <x:c r="CC344" s="1"/>
      <x:c r="CD344" s="1"/>
      <x:c r="CE344" s="1"/>
      <x:c r="CF344" s="1"/>
      <x:c r="CG344" s="1"/>
      <x:c r="CH344" s="1"/>
      <x:c r="CI344" s="1"/>
      <x:c r="CJ344" s="1"/>
      <x:c r="CK344" s="1"/>
      <x:c r="CL344" s="1"/>
      <x:c r="CM344" s="1"/>
      <x:c r="CN344" s="1"/>
      <x:c r="CO344" s="1"/>
      <x:c r="CP344" s="1"/>
      <x:c r="CQ344" s="1"/>
      <x:c r="CR344" s="1"/>
      <x:c r="CS344" s="1"/>
      <x:c r="CT344" s="1"/>
      <x:c r="CU344" s="1"/>
      <x:c r="CV344" s="1"/>
      <x:c r="CW344" s="1"/>
      <x:c r="CX344" s="1"/>
      <x:c r="CY344" s="1"/>
      <x:c r="CZ344" s="1"/>
      <x:c r="DA344" s="1"/>
      <x:c r="DB344" s="1"/>
      <x:c r="DC344" s="1"/>
      <x:c r="DD344" s="1"/>
      <x:c r="DE344" s="1"/>
      <x:c r="DF344" s="1"/>
      <x:c r="DG344" s="1"/>
      <x:c r="DH344" s="1"/>
      <x:c r="DI344" s="1"/>
      <x:c r="DJ344" s="1"/>
      <x:c r="DK344" s="1"/>
      <x:c r="DL344" s="1"/>
      <x:c r="DM344" s="1"/>
    </x:row>
    <x:row r="345" ht="23" customHeight="1">
      <x:c r="A345" s="1" t="n">
        <x:v>340</x:v>
      </x:c>
      <x:c r="B345" s="1" t="str">
        <x:v>丁二酸二乙酯（mg·L-1）</x:v>
      </x:c>
      <x:c r="C345" s="1"/>
      <x:c r="D345" s="1" t="n">
        <x:v>353193</x:v>
      </x:c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 t="n">
        <x:v>20.85</x:v>
      </x:c>
      <x:c r="BM345" s="1" t="n">
        <x:v>19.36</x:v>
      </x:c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  <x:c r="CA345" s="1"/>
      <x:c r="CB345" s="1"/>
      <x:c r="CC345" s="1"/>
      <x:c r="CD345" s="1"/>
      <x:c r="CE345" s="1"/>
      <x:c r="CF345" s="1"/>
      <x:c r="CG345" s="1"/>
      <x:c r="CH345" s="1"/>
      <x:c r="CI345" s="1"/>
      <x:c r="CJ345" s="1"/>
      <x:c r="CK345" s="1"/>
      <x:c r="CL345" s="1"/>
      <x:c r="CM345" s="1"/>
      <x:c r="CN345" s="1"/>
      <x:c r="CO345" s="1"/>
      <x:c r="CP345" s="1"/>
      <x:c r="CQ345" s="1"/>
      <x:c r="CR345" s="1"/>
      <x:c r="CS345" s="1"/>
      <x:c r="CT345" s="1"/>
      <x:c r="CU345" s="1"/>
      <x:c r="CV345" s="1"/>
      <x:c r="CW345" s="1"/>
      <x:c r="CX345" s="1"/>
      <x:c r="CY345" s="1"/>
      <x:c r="CZ345" s="1"/>
      <x:c r="DA345" s="1"/>
      <x:c r="DB345" s="1"/>
      <x:c r="DC345" s="1"/>
      <x:c r="DD345" s="1"/>
      <x:c r="DE345" s="1"/>
      <x:c r="DF345" s="1"/>
      <x:c r="DG345" s="1"/>
      <x:c r="DH345" s="1"/>
      <x:c r="DI345" s="1"/>
      <x:c r="DJ345" s="1"/>
      <x:c r="DK345" s="1"/>
      <x:c r="DL345" s="1"/>
      <x:c r="DM345" s="1"/>
    </x:row>
    <x:row r="346" ht="23" customHeight="1">
      <x:c r="A346" s="1" t="n">
        <x:v>341</x:v>
      </x:c>
      <x:c r="B346" s="1" t="str">
        <x:v>丁酸-3 甲基丁酯（mg·L-1）</x:v>
      </x:c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 t="n">
        <x:v>1.56</x:v>
      </x:c>
      <x:c r="BM346" s="1" t="n">
        <x:v>2.58</x:v>
      </x:c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  <x:c r="CA346" s="1"/>
      <x:c r="CB346" s="1"/>
      <x:c r="CC346" s="1"/>
      <x:c r="CD346" s="1"/>
      <x:c r="CE346" s="1"/>
      <x:c r="CF346" s="1"/>
      <x:c r="CG346" s="1"/>
      <x:c r="CH346" s="1"/>
      <x:c r="CI346" s="1"/>
      <x:c r="CJ346" s="1"/>
      <x:c r="CK346" s="1"/>
      <x:c r="CL346" s="1"/>
      <x:c r="CM346" s="1"/>
      <x:c r="CN346" s="1"/>
      <x:c r="CO346" s="1"/>
      <x:c r="CP346" s="1"/>
      <x:c r="CQ346" s="1"/>
      <x:c r="CR346" s="1"/>
      <x:c r="CS346" s="1"/>
      <x:c r="CT346" s="1"/>
      <x:c r="CU346" s="1"/>
      <x:c r="CV346" s="1"/>
      <x:c r="CW346" s="1"/>
      <x:c r="CX346" s="1"/>
      <x:c r="CY346" s="1"/>
      <x:c r="CZ346" s="1"/>
      <x:c r="DA346" s="1"/>
      <x:c r="DB346" s="1"/>
      <x:c r="DC346" s="1"/>
      <x:c r="DD346" s="1"/>
      <x:c r="DE346" s="1"/>
      <x:c r="DF346" s="1"/>
      <x:c r="DG346" s="1"/>
      <x:c r="DH346" s="1"/>
      <x:c r="DI346" s="1"/>
      <x:c r="DJ346" s="1"/>
      <x:c r="DK346" s="1"/>
      <x:c r="DL346" s="1"/>
      <x:c r="DM346" s="1"/>
    </x:row>
    <x:row r="347" ht="23" customHeight="1">
      <x:c r="A347" s="1" t="n">
        <x:v>342</x:v>
      </x:c>
      <x:c r="B347" s="1" t="str">
        <x:v>丁酸异丁酯3-</x:v>
      </x:c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  <x:c r="CA347" s="1"/>
      <x:c r="CB347" s="1"/>
      <x:c r="CC347" s="1"/>
      <x:c r="CD347" s="1"/>
      <x:c r="CE347" s="1"/>
      <x:c r="CF347" s="1"/>
      <x:c r="CG347" s="1"/>
      <x:c r="CH347" s="1"/>
      <x:c r="CI347" s="1"/>
      <x:c r="CJ347" s="1"/>
      <x:c r="CK347" s="1"/>
      <x:c r="CL347" s="1"/>
      <x:c r="CM347" s="1"/>
      <x:c r="CN347" s="1" t="n">
        <x:v>600</x:v>
      </x:c>
      <x:c r="CO347" s="1" t="n">
        <x:v>3555</x:v>
      </x:c>
      <x:c r="CP347" s="1" t="n">
        <x:v>711</x:v>
      </x:c>
      <x:c r="CQ347" s="1" t="n">
        <x:v>878</x:v>
      </x:c>
      <x:c r="CR347" s="1"/>
      <x:c r="CS347" s="1"/>
      <x:c r="CT347" s="1"/>
      <x:c r="CU347" s="1"/>
      <x:c r="CV347" s="1"/>
      <x:c r="CW347" s="1"/>
      <x:c r="CX347" s="1"/>
      <x:c r="CY347" s="1"/>
      <x:c r="CZ347" s="1"/>
      <x:c r="DA347" s="1"/>
      <x:c r="DB347" s="1"/>
      <x:c r="DC347" s="1"/>
      <x:c r="DD347" s="1"/>
      <x:c r="DE347" s="1"/>
      <x:c r="DF347" s="1"/>
      <x:c r="DG347" s="1"/>
      <x:c r="DH347" s="1"/>
      <x:c r="DI347" s="1"/>
      <x:c r="DJ347" s="1"/>
      <x:c r="DK347" s="1"/>
      <x:c r="DL347" s="1"/>
      <x:c r="DM347" s="1"/>
    </x:row>
    <x:row r="348" ht="23" customHeight="1">
      <x:c r="A348" s="1" t="n">
        <x:v>343</x:v>
      </x:c>
      <x:c r="B348" s="1" t="str">
        <x:v>乙烯二乙酯</x:v>
      </x:c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  <x:c r="CA348" s="1"/>
      <x:c r="CB348" s="1"/>
      <x:c r="CC348" s="1"/>
      <x:c r="CD348" s="1"/>
      <x:c r="CE348" s="1"/>
      <x:c r="CF348" s="1"/>
      <x:c r="CG348" s="1"/>
      <x:c r="CH348" s="1"/>
      <x:c r="CI348" s="1"/>
      <x:c r="CJ348" s="1"/>
      <x:c r="CK348" s="1"/>
      <x:c r="CL348" s="1"/>
      <x:c r="CM348" s="1"/>
      <x:c r="CN348" s="1"/>
      <x:c r="CO348" s="1"/>
      <x:c r="CP348" s="1"/>
      <x:c r="CQ348" s="1"/>
      <x:c r="CR348" s="1"/>
      <x:c r="CS348" s="1"/>
      <x:c r="CT348" s="1" t="n">
        <x:v>56.94</x:v>
      </x:c>
      <x:c r="CU348" s="1"/>
      <x:c r="CV348" s="1"/>
      <x:c r="CW348" s="1"/>
      <x:c r="CX348" s="1"/>
      <x:c r="CY348" s="1"/>
      <x:c r="CZ348" s="1"/>
      <x:c r="DA348" s="1"/>
      <x:c r="DB348" s="1"/>
      <x:c r="DC348" s="1"/>
      <x:c r="DD348" s="1"/>
      <x:c r="DE348" s="1"/>
      <x:c r="DF348" s="1"/>
      <x:c r="DG348" s="1"/>
      <x:c r="DH348" s="1"/>
      <x:c r="DI348" s="1"/>
      <x:c r="DJ348" s="1"/>
      <x:c r="DK348" s="1"/>
      <x:c r="DL348" s="1"/>
      <x:c r="DM348" s="1"/>
    </x:row>
    <x:row r="349" ht="23" customHeight="1">
      <x:c r="A349" s="1" t="n">
        <x:v>344</x:v>
      </x:c>
      <x:c r="B349" s="1" t="str">
        <x:v>乙缩醛（mg·L-1）</x:v>
      </x:c>
      <x:c r="C349" s="1"/>
      <x:c r="D349" s="1" t="n">
        <x:v>2090</x:v>
      </x:c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 t="n">
        <x:v>30.34</x:v>
      </x:c>
      <x:c r="BM349" s="1" t="n">
        <x:v>47.06</x:v>
      </x:c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  <x:c r="CA349" s="1"/>
      <x:c r="CB349" s="1"/>
      <x:c r="CC349" s="1"/>
      <x:c r="CD349" s="1"/>
      <x:c r="CE349" s="1"/>
      <x:c r="CF349" s="1"/>
      <x:c r="CG349" s="1"/>
      <x:c r="CH349" s="1"/>
      <x:c r="CI349" s="1"/>
      <x:c r="CJ349" s="1"/>
      <x:c r="CK349" s="1"/>
      <x:c r="CL349" s="1"/>
      <x:c r="CM349" s="1"/>
      <x:c r="CN349" s="1"/>
      <x:c r="CO349" s="1"/>
      <x:c r="CP349" s="1"/>
      <x:c r="CQ349" s="1"/>
      <x:c r="CR349" s="1"/>
      <x:c r="CS349" s="1"/>
      <x:c r="CT349" s="1"/>
      <x:c r="CU349" s="1"/>
      <x:c r="CV349" s="1"/>
      <x:c r="CW349" s="1"/>
      <x:c r="CX349" s="1"/>
      <x:c r="CY349" s="1"/>
      <x:c r="CZ349" s="1"/>
      <x:c r="DA349" s="1"/>
      <x:c r="DB349" s="1"/>
      <x:c r="DC349" s="1"/>
      <x:c r="DD349" s="1"/>
      <x:c r="DE349" s="1"/>
      <x:c r="DF349" s="1"/>
      <x:c r="DG349" s="1"/>
      <x:c r="DH349" s="1"/>
      <x:c r="DI349" s="1"/>
      <x:c r="DJ349" s="1"/>
      <x:c r="DK349" s="1"/>
      <x:c r="DL349" s="1"/>
      <x:c r="DM349" s="1"/>
    </x:row>
    <x:row r="350" ht="23" customHeight="1">
      <x:c r="A350" s="1" t="n">
        <x:v>345</x:v>
      </x:c>
      <x:c r="B350" s="1" t="str">
        <x:v>乙酸乙酯（g·L-1）</x:v>
      </x:c>
      <x:c r="C350" s="1"/>
      <x:c r="D350" s="1" t="n">
        <x:v>32552</x:v>
      </x:c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 t="n">
        <x:v>10.42</x:v>
      </x:c>
      <x:c r="BM350" s="1" t="n">
        <x:v>6.75</x:v>
      </x:c>
      <x:c r="BN350" s="1" t="n">
        <x:v>8.95</x:v>
      </x:c>
      <x:c r="BO350" s="1" t="n">
        <x:v>7.23</x:v>
      </x:c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  <x:c r="CA350" s="1"/>
      <x:c r="CB350" s="1"/>
      <x:c r="CC350" s="1"/>
      <x:c r="CD350" s="1"/>
      <x:c r="CE350" s="1"/>
      <x:c r="CF350" s="1"/>
      <x:c r="CG350" s="1"/>
      <x:c r="CH350" s="1"/>
      <x:c r="CI350" s="1"/>
      <x:c r="CJ350" s="1"/>
      <x:c r="CK350" s="1"/>
      <x:c r="CL350" s="1"/>
      <x:c r="CM350" s="1"/>
      <x:c r="CN350" s="1"/>
      <x:c r="CO350" s="1"/>
      <x:c r="CP350" s="1"/>
      <x:c r="CQ350" s="1"/>
      <x:c r="CR350" s="1"/>
      <x:c r="CS350" s="1"/>
      <x:c r="CT350" s="1"/>
      <x:c r="CU350" s="1"/>
      <x:c r="CV350" s="1"/>
      <x:c r="CW350" s="1"/>
      <x:c r="CX350" s="1"/>
      <x:c r="CY350" s="1"/>
      <x:c r="CZ350" s="1"/>
      <x:c r="DA350" s="1"/>
      <x:c r="DB350" s="1"/>
      <x:c r="DC350" s="1"/>
      <x:c r="DD350" s="1"/>
      <x:c r="DE350" s="1"/>
      <x:c r="DF350" s="1"/>
      <x:c r="DG350" s="1"/>
      <x:c r="DH350" s="1"/>
      <x:c r="DI350" s="1"/>
      <x:c r="DJ350" s="1"/>
      <x:c r="DK350" s="1"/>
      <x:c r="DL350" s="1"/>
      <x:c r="DM350" s="1"/>
    </x:row>
    <x:row r="351" ht="23" customHeight="1">
      <x:c r="A351" s="1" t="n">
        <x:v>346</x:v>
      </x:c>
      <x:c r="B351" s="1" t="str">
        <x:v>乙酸已酯</x:v>
      </x:c>
      <x:c r="C351" s="1"/>
      <x:c r="D351" s="1" t="n">
        <x:v>5560</x:v>
      </x:c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  <x:c r="CA351" s="1"/>
      <x:c r="CB351" s="1"/>
      <x:c r="CC351" s="1"/>
      <x:c r="CD351" s="1"/>
      <x:c r="CE351" s="1"/>
      <x:c r="CF351" s="1"/>
      <x:c r="CG351" s="1"/>
      <x:c r="CH351" s="1"/>
      <x:c r="CI351" s="1"/>
      <x:c r="CJ351" s="1"/>
      <x:c r="CK351" s="1"/>
      <x:c r="CL351" s="1"/>
      <x:c r="CM351" s="1"/>
      <x:c r="CN351" s="1"/>
      <x:c r="CO351" s="1"/>
      <x:c r="CP351" s="1"/>
      <x:c r="CQ351" s="1"/>
      <x:c r="CR351" s="1" t="n">
        <x:v>970.53</x:v>
      </x:c>
      <x:c r="CS351" s="1" t="n">
        <x:v>1194.25</x:v>
      </x:c>
      <x:c r="CT351" s="1"/>
      <x:c r="CU351" s="1"/>
      <x:c r="CV351" s="1"/>
      <x:c r="CW351" s="1"/>
      <x:c r="CX351" s="1"/>
      <x:c r="CY351" s="1"/>
      <x:c r="CZ351" s="1"/>
      <x:c r="DA351" s="1"/>
      <x:c r="DB351" s="1"/>
      <x:c r="DC351" s="1"/>
      <x:c r="DD351" s="1"/>
      <x:c r="DE351" s="1"/>
      <x:c r="DF351" s="1"/>
      <x:c r="DG351" s="1"/>
      <x:c r="DH351" s="1"/>
      <x:c r="DI351" s="1"/>
      <x:c r="DJ351" s="1"/>
      <x:c r="DK351" s="1"/>
      <x:c r="DL351" s="1"/>
      <x:c r="DM351" s="1"/>
    </x:row>
    <x:row r="352" ht="23" customHeight="1">
      <x:c r="A352" s="1" t="n">
        <x:v>347</x:v>
      </x:c>
      <x:c r="B352" s="1" t="str">
        <x:v>乳酸乙酯（g·L-1）</x:v>
      </x:c>
      <x:c r="C352" s="1"/>
      <x:c r="D352" s="1" t="n">
        <x:v>100000</x:v>
      </x:c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 t="n">
        <x:v>1.43</x:v>
      </x:c>
      <x:c r="BM352" s="1" t="n">
        <x:v>1.53</x:v>
      </x:c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  <x:c r="CA352" s="1"/>
      <x:c r="CB352" s="1"/>
      <x:c r="CC352" s="1"/>
      <x:c r="CD352" s="1"/>
      <x:c r="CE352" s="1"/>
      <x:c r="CF352" s="1"/>
      <x:c r="CG352" s="1"/>
      <x:c r="CH352" s="1"/>
      <x:c r="CI352" s="1"/>
      <x:c r="CJ352" s="1"/>
      <x:c r="CK352" s="1"/>
      <x:c r="CL352" s="1"/>
      <x:c r="CM352" s="1"/>
      <x:c r="CN352" s="1"/>
      <x:c r="CO352" s="1"/>
      <x:c r="CP352" s="1"/>
      <x:c r="CQ352" s="1"/>
      <x:c r="CR352" s="1"/>
      <x:c r="CS352" s="1"/>
      <x:c r="CT352" s="1"/>
      <x:c r="CU352" s="1"/>
      <x:c r="CV352" s="1"/>
      <x:c r="CW352" s="1"/>
      <x:c r="CX352" s="1"/>
      <x:c r="CY352" s="1"/>
      <x:c r="CZ352" s="1"/>
      <x:c r="DA352" s="1"/>
      <x:c r="DB352" s="1"/>
      <x:c r="DC352" s="1"/>
      <x:c r="DD352" s="1"/>
      <x:c r="DE352" s="1"/>
      <x:c r="DF352" s="1"/>
      <x:c r="DG352" s="1"/>
      <x:c r="DH352" s="1"/>
      <x:c r="DI352" s="1"/>
      <x:c r="DJ352" s="1"/>
      <x:c r="DK352" s="1"/>
      <x:c r="DL352" s="1"/>
      <x:c r="DM352" s="1"/>
    </x:row>
    <x:row r="353" ht="23" customHeight="1">
      <x:c r="A353" s="1" t="n">
        <x:v>348</x:v>
      </x:c>
      <x:c r="B353" s="1" t="str">
        <x:v>十五酸乙酯</x:v>
      </x:c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  <x:c r="CA353" s="1"/>
      <x:c r="CB353" s="1"/>
      <x:c r="CC353" s="1"/>
      <x:c r="CD353" s="1"/>
      <x:c r="CE353" s="1"/>
      <x:c r="CF353" s="1"/>
      <x:c r="CG353" s="1"/>
      <x:c r="CH353" s="1"/>
      <x:c r="CI353" s="1"/>
      <x:c r="CJ353" s="1"/>
      <x:c r="CK353" s="1"/>
      <x:c r="CL353" s="1"/>
      <x:c r="CM353" s="1"/>
      <x:c r="CN353" s="1"/>
      <x:c r="CO353" s="1"/>
      <x:c r="CP353" s="1"/>
      <x:c r="CQ353" s="1"/>
      <x:c r="CR353" s="1"/>
      <x:c r="CS353" s="1"/>
      <x:c r="CT353" s="1" t="n">
        <x:v>53.3</x:v>
      </x:c>
      <x:c r="CU353" s="1" t="n">
        <x:v>60.94</x:v>
      </x:c>
      <x:c r="CV353" s="1" t="n">
        <x:v>44.99</x:v>
      </x:c>
      <x:c r="CW353" s="1" t="n">
        <x:v>35.48</x:v>
      </x:c>
      <x:c r="CX353" s="1"/>
      <x:c r="CY353" s="1"/>
      <x:c r="CZ353" s="1"/>
      <x:c r="DA353" s="1"/>
      <x:c r="DB353" s="1"/>
      <x:c r="DC353" s="1"/>
      <x:c r="DD353" s="1"/>
      <x:c r="DE353" s="1"/>
      <x:c r="DF353" s="1"/>
      <x:c r="DG353" s="1"/>
      <x:c r="DH353" s="1"/>
      <x:c r="DI353" s="1"/>
      <x:c r="DJ353" s="1"/>
      <x:c r="DK353" s="1"/>
      <x:c r="DL353" s="1"/>
      <x:c r="DM353" s="1"/>
    </x:row>
    <x:row r="354" ht="23" customHeight="1">
      <x:c r="A354" s="1" t="n">
        <x:v>349</x:v>
      </x:c>
      <x:c r="B354" s="1" t="str">
        <x:v>反-2,4-癸二烯醛</x:v>
      </x:c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 t="n">
        <x:v>300</x:v>
      </x:c>
      <x:c r="BA354" s="1" t="n">
        <x:v>588</x:v>
      </x:c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  <x:c r="CA354" s="1"/>
      <x:c r="CB354" s="1"/>
      <x:c r="CC354" s="1"/>
      <x:c r="CD354" s="1"/>
      <x:c r="CE354" s="1"/>
      <x:c r="CF354" s="1"/>
      <x:c r="CG354" s="1"/>
      <x:c r="CH354" s="1"/>
      <x:c r="CI354" s="1"/>
      <x:c r="CJ354" s="1"/>
      <x:c r="CK354" s="1"/>
      <x:c r="CL354" s="1"/>
      <x:c r="CM354" s="1"/>
      <x:c r="CN354" s="1"/>
      <x:c r="CO354" s="1"/>
      <x:c r="CP354" s="1"/>
      <x:c r="CQ354" s="1"/>
      <x:c r="CR354" s="1"/>
      <x:c r="CS354" s="1"/>
      <x:c r="CT354" s="1"/>
      <x:c r="CU354" s="1"/>
      <x:c r="CV354" s="1"/>
      <x:c r="CW354" s="1"/>
      <x:c r="CX354" s="1"/>
      <x:c r="CY354" s="1"/>
      <x:c r="CZ354" s="1"/>
      <x:c r="DA354" s="1"/>
      <x:c r="DB354" s="1"/>
      <x:c r="DC354" s="1"/>
      <x:c r="DD354" s="1"/>
      <x:c r="DE354" s="1"/>
      <x:c r="DF354" s="1"/>
      <x:c r="DG354" s="1"/>
      <x:c r="DH354" s="1"/>
      <x:c r="DI354" s="1"/>
      <x:c r="DJ354" s="1"/>
      <x:c r="DK354" s="1"/>
      <x:c r="DL354" s="1"/>
      <x:c r="DM354" s="1"/>
    </x:row>
    <x:row r="355" ht="23" customHeight="1">
      <x:c r="A355" s="1" t="n">
        <x:v>350</x:v>
      </x:c>
      <x:c r="B355" s="1" t="str">
        <x:v>反油酸乙酯</x:v>
      </x:c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  <x:c r="CA355" s="1"/>
      <x:c r="CB355" s="1"/>
      <x:c r="CC355" s="1"/>
      <x:c r="CD355" s="1"/>
      <x:c r="CE355" s="1"/>
      <x:c r="CF355" s="1"/>
      <x:c r="CG355" s="1"/>
      <x:c r="CH355" s="1"/>
      <x:c r="CI355" s="1"/>
      <x:c r="CJ355" s="1"/>
      <x:c r="CK355" s="1"/>
      <x:c r="CL355" s="1"/>
      <x:c r="CM355" s="1"/>
      <x:c r="CN355" s="1"/>
      <x:c r="CO355" s="1"/>
      <x:c r="CP355" s="1"/>
      <x:c r="CQ355" s="1"/>
      <x:c r="CR355" s="1"/>
      <x:c r="CS355" s="1"/>
      <x:c r="CT355" s="1" t="n">
        <x:v>367.3</x:v>
      </x:c>
      <x:c r="CU355" s="1" t="n">
        <x:v>289.97</x:v>
      </x:c>
      <x:c r="CV355" s="1" t="n">
        <x:v>241.19</x:v>
      </x:c>
      <x:c r="CW355" s="1" t="n">
        <x:v>207.28</x:v>
      </x:c>
      <x:c r="CX355" s="1"/>
      <x:c r="CY355" s="1"/>
      <x:c r="CZ355" s="1"/>
      <x:c r="DA355" s="1"/>
      <x:c r="DB355" s="1"/>
      <x:c r="DC355" s="1"/>
      <x:c r="DD355" s="1"/>
      <x:c r="DE355" s="1"/>
      <x:c r="DF355" s="1"/>
      <x:c r="DG355" s="1"/>
      <x:c r="DH355" s="1"/>
      <x:c r="DI355" s="1"/>
      <x:c r="DJ355" s="1"/>
      <x:c r="DK355" s="1"/>
      <x:c r="DL355" s="1"/>
      <x:c r="DM355" s="1"/>
    </x:row>
    <x:row r="356" ht="23" customHeight="1">
      <x:c r="A356" s="1" t="n">
        <x:v>351</x:v>
      </x:c>
      <x:c r="B356" s="1" t="str">
        <x:v>己酸-2-甲基丙酯（mg·L-1）</x:v>
      </x:c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 t="n">
        <x:v>6.49</x:v>
      </x:c>
      <x:c r="BM356" s="1" t="n">
        <x:v>10.86</x:v>
      </x:c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  <x:c r="CA356" s="1"/>
      <x:c r="CB356" s="1"/>
      <x:c r="CC356" s="1"/>
      <x:c r="CD356" s="1"/>
      <x:c r="CE356" s="1"/>
      <x:c r="CF356" s="1"/>
      <x:c r="CG356" s="1"/>
      <x:c r="CH356" s="1"/>
      <x:c r="CI356" s="1"/>
      <x:c r="CJ356" s="1"/>
      <x:c r="CK356" s="1"/>
      <x:c r="CL356" s="1"/>
      <x:c r="CM356" s="1"/>
      <x:c r="CN356" s="1"/>
      <x:c r="CO356" s="1"/>
      <x:c r="CP356" s="1"/>
      <x:c r="CQ356" s="1"/>
      <x:c r="CR356" s="1"/>
      <x:c r="CS356" s="1"/>
      <x:c r="CT356" s="1"/>
      <x:c r="CU356" s="1"/>
      <x:c r="CV356" s="1"/>
      <x:c r="CW356" s="1"/>
      <x:c r="CX356" s="1"/>
      <x:c r="CY356" s="1"/>
      <x:c r="CZ356" s="1"/>
      <x:c r="DA356" s="1"/>
      <x:c r="DB356" s="1"/>
      <x:c r="DC356" s="1"/>
      <x:c r="DD356" s="1"/>
      <x:c r="DE356" s="1"/>
      <x:c r="DF356" s="1"/>
      <x:c r="DG356" s="1"/>
      <x:c r="DH356" s="1"/>
      <x:c r="DI356" s="1"/>
      <x:c r="DJ356" s="1"/>
      <x:c r="DK356" s="1"/>
      <x:c r="DL356" s="1"/>
      <x:c r="DM356" s="1"/>
    </x:row>
    <x:row r="357" ht="23" customHeight="1">
      <x:c r="A357" s="1" t="n">
        <x:v>352</x:v>
      </x:c>
      <x:c r="B357" s="1" t="str">
        <x:v>己酸-2-糠酯</x:v>
      </x:c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 t="n">
        <x:v>96</x:v>
      </x:c>
      <x:c r="CA357" s="1" t="n">
        <x:v>139.23</x:v>
      </x:c>
      <x:c r="CB357" s="1"/>
      <x:c r="CC357" s="1"/>
      <x:c r="CD357" s="1" t="n">
        <x:v>82.23</x:v>
      </x:c>
      <x:c r="CE357" s="1" t="n">
        <x:v>47.55</x:v>
      </x:c>
      <x:c r="CF357" s="1" t="n">
        <x:v>21.81</x:v>
      </x:c>
      <x:c r="CG357" s="1" t="n">
        <x:v>504.96</x:v>
      </x:c>
      <x:c r="CH357" s="1" t="n">
        <x:v>31.55</x:v>
      </x:c>
      <x:c r="CI357" s="1" t="n">
        <x:v>332.95</x:v>
      </x:c>
      <x:c r="CJ357" s="1" t="n">
        <x:v>1245.05</x:v>
      </x:c>
      <x:c r="CK357" s="1" t="n">
        <x:v>511.32</x:v>
      </x:c>
      <x:c r="CL357" s="1" t="n">
        <x:v>161.25</x:v>
      </x:c>
      <x:c r="CM357" s="1"/>
      <x:c r="CN357" s="1"/>
      <x:c r="CO357" s="1"/>
      <x:c r="CP357" s="1"/>
      <x:c r="CQ357" s="1"/>
      <x:c r="CR357" s="1"/>
      <x:c r="CS357" s="1"/>
      <x:c r="CT357" s="1"/>
      <x:c r="CU357" s="1"/>
      <x:c r="CV357" s="1"/>
      <x:c r="CW357" s="1"/>
      <x:c r="CX357" s="1"/>
      <x:c r="CY357" s="1"/>
      <x:c r="CZ357" s="1"/>
      <x:c r="DA357" s="1"/>
      <x:c r="DB357" s="1"/>
      <x:c r="DC357" s="1"/>
      <x:c r="DD357" s="1"/>
      <x:c r="DE357" s="1"/>
      <x:c r="DF357" s="1"/>
      <x:c r="DG357" s="1"/>
      <x:c r="DH357" s="1"/>
      <x:c r="DI357" s="1"/>
      <x:c r="DJ357" s="1"/>
      <x:c r="DK357" s="1"/>
      <x:c r="DL357" s="1"/>
      <x:c r="DM357" s="1"/>
    </x:row>
    <x:row r="358" ht="23" customHeight="1">
      <x:c r="A358" s="1" t="n">
        <x:v>353</x:v>
      </x:c>
      <x:c r="B358" s="1" t="str">
        <x:v>己酸丁酯（mg·L-1）</x:v>
      </x:c>
      <x:c r="C358" s="1"/>
      <x:c r="D358" s="1" t="n">
        <x:v>677.84</x:v>
      </x:c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 t="n">
        <x:v>61.77</x:v>
      </x:c>
      <x:c r="BM358" s="1" t="n">
        <x:v>95.51</x:v>
      </x:c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  <x:c r="CA358" s="1"/>
      <x:c r="CB358" s="1"/>
      <x:c r="CC358" s="1"/>
      <x:c r="CD358" s="1"/>
      <x:c r="CE358" s="1"/>
      <x:c r="CF358" s="1"/>
      <x:c r="CG358" s="1"/>
      <x:c r="CH358" s="1"/>
      <x:c r="CI358" s="1"/>
      <x:c r="CJ358" s="1"/>
      <x:c r="CK358" s="1"/>
      <x:c r="CL358" s="1"/>
      <x:c r="CM358" s="1"/>
      <x:c r="CN358" s="1"/>
      <x:c r="CO358" s="1"/>
      <x:c r="CP358" s="1"/>
      <x:c r="CQ358" s="1"/>
      <x:c r="CR358" s="1"/>
      <x:c r="CS358" s="1"/>
      <x:c r="CT358" s="1"/>
      <x:c r="CU358" s="1"/>
      <x:c r="CV358" s="1"/>
      <x:c r="CW358" s="1"/>
      <x:c r="CX358" s="1"/>
      <x:c r="CY358" s="1"/>
      <x:c r="CZ358" s="1"/>
      <x:c r="DA358" s="1"/>
      <x:c r="DB358" s="1"/>
      <x:c r="DC358" s="1"/>
      <x:c r="DD358" s="1"/>
      <x:c r="DE358" s="1"/>
      <x:c r="DF358" s="1"/>
      <x:c r="DG358" s="1"/>
      <x:c r="DH358" s="1"/>
      <x:c r="DI358" s="1"/>
      <x:c r="DJ358" s="1"/>
      <x:c r="DK358" s="1"/>
      <x:c r="DL358" s="1"/>
      <x:c r="DM358" s="1"/>
    </x:row>
    <x:row r="359" ht="23" customHeight="1">
      <x:c r="A359" s="1" t="n">
        <x:v>354</x:v>
      </x:c>
      <x:c r="B359" s="1" t="str">
        <x:v>己酸（mg·L-1）</x:v>
      </x:c>
      <x:c r="C359" s="1"/>
      <x:c r="D359" s="1" t="n">
        <x:v>2520</x:v>
      </x:c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 t="n">
        <x:v>322.71</x:v>
      </x:c>
      <x:c r="BM359" s="1" t="n">
        <x:v>388.52</x:v>
      </x:c>
      <x:c r="BN359" s="1" t="n">
        <x:v>199.05</x:v>
      </x:c>
      <x:c r="BO359" s="1" t="n">
        <x:v>458.57</x:v>
      </x:c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  <x:c r="CA359" s="1"/>
      <x:c r="CB359" s="1"/>
      <x:c r="CC359" s="1"/>
      <x:c r="CD359" s="1"/>
      <x:c r="CE359" s="1"/>
      <x:c r="CF359" s="1"/>
      <x:c r="CG359" s="1"/>
      <x:c r="CH359" s="1"/>
      <x:c r="CI359" s="1"/>
      <x:c r="CJ359" s="1"/>
      <x:c r="CK359" s="1"/>
      <x:c r="CL359" s="1"/>
      <x:c r="CM359" s="1"/>
      <x:c r="CN359" s="1"/>
      <x:c r="CO359" s="1"/>
      <x:c r="CP359" s="1"/>
      <x:c r="CQ359" s="1"/>
      <x:c r="CR359" s="1"/>
      <x:c r="CS359" s="1"/>
      <x:c r="CT359" s="1"/>
      <x:c r="CU359" s="1"/>
      <x:c r="CV359" s="1"/>
      <x:c r="CW359" s="1"/>
      <x:c r="CX359" s="1"/>
      <x:c r="CY359" s="1"/>
      <x:c r="CZ359" s="1"/>
      <x:c r="DA359" s="1"/>
      <x:c r="DB359" s="1"/>
      <x:c r="DC359" s="1"/>
      <x:c r="DD359" s="1"/>
      <x:c r="DE359" s="1"/>
      <x:c r="DF359" s="1"/>
      <x:c r="DG359" s="1"/>
      <x:c r="DH359" s="1"/>
      <x:c r="DI359" s="1"/>
      <x:c r="DJ359" s="1"/>
      <x:c r="DK359" s="1"/>
      <x:c r="DL359" s="1"/>
      <x:c r="DM359" s="1"/>
    </x:row>
    <x:row r="360" ht="23" customHeight="1">
      <x:c r="A360" s="1" t="n">
        <x:v>355</x:v>
      </x:c>
      <x:c r="B360" s="1" t="str">
        <x:v>庚酸（mg·L-1）</x:v>
      </x:c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 t="n">
        <x:v>7.19</x:v>
      </x:c>
      <x:c r="BM360" s="1" t="n">
        <x:v>8.86</x:v>
      </x:c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  <x:c r="CA360" s="1"/>
      <x:c r="CB360" s="1"/>
      <x:c r="CC360" s="1"/>
      <x:c r="CD360" s="1"/>
      <x:c r="CE360" s="1"/>
      <x:c r="CF360" s="1"/>
      <x:c r="CG360" s="1"/>
      <x:c r="CH360" s="1"/>
      <x:c r="CI360" s="1"/>
      <x:c r="CJ360" s="1"/>
      <x:c r="CK360" s="1"/>
      <x:c r="CL360" s="1"/>
      <x:c r="CM360" s="1"/>
      <x:c r="CN360" s="1"/>
      <x:c r="CO360" s="1"/>
      <x:c r="CP360" s="1"/>
      <x:c r="CQ360" s="1"/>
      <x:c r="CR360" s="1"/>
      <x:c r="CS360" s="1"/>
      <x:c r="CT360" s="1"/>
      <x:c r="CU360" s="1"/>
      <x:c r="CV360" s="1"/>
      <x:c r="CW360" s="1"/>
      <x:c r="CX360" s="1"/>
      <x:c r="CY360" s="1"/>
      <x:c r="CZ360" s="1"/>
      <x:c r="DA360" s="1"/>
      <x:c r="DB360" s="1"/>
      <x:c r="DC360" s="1"/>
      <x:c r="DD360" s="1"/>
      <x:c r="DE360" s="1"/>
      <x:c r="DF360" s="1"/>
      <x:c r="DG360" s="1"/>
      <x:c r="DH360" s="1"/>
      <x:c r="DI360" s="1"/>
      <x:c r="DJ360" s="1"/>
      <x:c r="DK360" s="1"/>
      <x:c r="DL360" s="1"/>
      <x:c r="DM360" s="1"/>
    </x:row>
    <x:row r="361" ht="23" customHeight="1">
      <x:c r="A361" s="1" t="n">
        <x:v>356</x:v>
      </x:c>
      <x:c r="B361" s="1" t="str">
        <x:v>异丁醇2-methyl-1-propanol</x:v>
      </x:c>
      <x:c r="C361" s="1"/>
      <x:c r="D361" s="1" t="n">
        <x:v>28300</x:v>
      </x:c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  <x:c r="CA361" s="1"/>
      <x:c r="CB361" s="1"/>
      <x:c r="CC361" s="1"/>
      <x:c r="CD361" s="1"/>
      <x:c r="CE361" s="1"/>
      <x:c r="CF361" s="1"/>
      <x:c r="CG361" s="1"/>
      <x:c r="CH361" s="1"/>
      <x:c r="CI361" s="1"/>
      <x:c r="CJ361" s="1"/>
      <x:c r="CK361" s="1"/>
      <x:c r="CL361" s="1"/>
      <x:c r="CM361" s="1"/>
      <x:c r="CN361" s="1"/>
      <x:c r="CO361" s="1"/>
      <x:c r="CP361" s="1"/>
      <x:c r="CQ361" s="1"/>
      <x:c r="CR361" s="1"/>
      <x:c r="CS361" s="1"/>
      <x:c r="CT361" s="1"/>
      <x:c r="CU361" s="1"/>
      <x:c r="CV361" s="1"/>
      <x:c r="CW361" s="1"/>
      <x:c r="CX361" s="1"/>
      <x:c r="CY361" s="1"/>
      <x:c r="CZ361" s="1"/>
      <x:c r="DA361" s="1"/>
      <x:c r="DB361" s="1"/>
      <x:c r="DC361" s="1"/>
      <x:c r="DD361" s="1"/>
      <x:c r="DE361" s="1"/>
      <x:c r="DF361" s="1"/>
      <x:c r="DG361" s="1"/>
      <x:c r="DH361" s="1"/>
      <x:c r="DI361" s="1"/>
      <x:c r="DJ361" s="1"/>
      <x:c r="DK361" s="1"/>
      <x:c r="DL361" s="1"/>
      <x:c r="DM361" s="1"/>
    </x:row>
    <x:row r="362" ht="23" customHeight="1">
      <x:c r="A362" s="1" t="n">
        <x:v>357</x:v>
      </x:c>
      <x:c r="B362" s="1" t="str">
        <x:v>异戊醇3-methyl-1-butanol</x:v>
      </x:c>
      <x:c r="C362" s="1"/>
      <x:c r="D362" s="1" t="n">
        <x:v>179191</x:v>
      </x:c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  <x:c r="CA362" s="1"/>
      <x:c r="CB362" s="1"/>
      <x:c r="CC362" s="1"/>
      <x:c r="CD362" s="1"/>
      <x:c r="CE362" s="1"/>
      <x:c r="CF362" s="1"/>
      <x:c r="CG362" s="1"/>
      <x:c r="CH362" s="1"/>
      <x:c r="CI362" s="1"/>
      <x:c r="CJ362" s="1"/>
      <x:c r="CK362" s="1"/>
      <x:c r="CL362" s="1"/>
      <x:c r="CM362" s="1"/>
      <x:c r="CN362" s="1"/>
      <x:c r="CO362" s="1"/>
      <x:c r="CP362" s="1"/>
      <x:c r="CQ362" s="1"/>
      <x:c r="CR362" s="1"/>
      <x:c r="CS362" s="1"/>
      <x:c r="CT362" s="1"/>
      <x:c r="CU362" s="1"/>
      <x:c r="CV362" s="1"/>
      <x:c r="CW362" s="1"/>
      <x:c r="CX362" s="1"/>
      <x:c r="CY362" s="1"/>
      <x:c r="CZ362" s="1"/>
      <x:c r="DA362" s="1"/>
      <x:c r="DB362" s="1"/>
      <x:c r="DC362" s="1"/>
      <x:c r="DD362" s="1"/>
      <x:c r="DE362" s="1"/>
      <x:c r="DF362" s="1"/>
      <x:c r="DG362" s="1"/>
      <x:c r="DH362" s="1"/>
      <x:c r="DI362" s="1"/>
      <x:c r="DJ362" s="1"/>
      <x:c r="DK362" s="1"/>
      <x:c r="DL362" s="1"/>
      <x:c r="DM362" s="1"/>
    </x:row>
    <x:row r="363" ht="23" customHeight="1">
      <x:c r="A363" s="1" t="n">
        <x:v>358</x:v>
      </x:c>
      <x:c r="B363" s="1" t="str">
        <x:v>异戊醛3-methylbutanal</x:v>
      </x:c>
      <x:c r="C363" s="1"/>
      <x:c r="D363" s="1" t="n">
        <x:v>16.5</x:v>
      </x:c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  <x:c r="CA363" s="1"/>
      <x:c r="CB363" s="1"/>
      <x:c r="CC363" s="1"/>
      <x:c r="CD363" s="1"/>
      <x:c r="CE363" s="1"/>
      <x:c r="CF363" s="1"/>
      <x:c r="CG363" s="1"/>
      <x:c r="CH363" s="1"/>
      <x:c r="CI363" s="1"/>
      <x:c r="CJ363" s="1"/>
      <x:c r="CK363" s="1"/>
      <x:c r="CL363" s="1"/>
      <x:c r="CM363" s="1"/>
      <x:c r="CN363" s="1"/>
      <x:c r="CO363" s="1"/>
      <x:c r="CP363" s="1"/>
      <x:c r="CQ363" s="1"/>
      <x:c r="CR363" s="1"/>
      <x:c r="CS363" s="1"/>
      <x:c r="CT363" s="1"/>
      <x:c r="CU363" s="1"/>
      <x:c r="CV363" s="1"/>
      <x:c r="CW363" s="1"/>
      <x:c r="CX363" s="1"/>
      <x:c r="CY363" s="1"/>
      <x:c r="CZ363" s="1"/>
      <x:c r="DA363" s="1"/>
      <x:c r="DB363" s="1"/>
      <x:c r="DC363" s="1"/>
      <x:c r="DD363" s="1"/>
      <x:c r="DE363" s="1"/>
      <x:c r="DF363" s="1"/>
      <x:c r="DG363" s="1"/>
      <x:c r="DH363" s="1"/>
      <x:c r="DI363" s="1"/>
      <x:c r="DJ363" s="1"/>
      <x:c r="DK363" s="1"/>
      <x:c r="DL363" s="1"/>
      <x:c r="DM363" s="1"/>
    </x:row>
    <x:row r="364" ht="23" customHeight="1">
      <x:c r="A364" s="1" t="n">
        <x:v>359</x:v>
      </x:c>
      <x:c r="B364" s="1" t="str">
        <x:v>异戊醛二乙缩醛</x:v>
      </x:c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  <x:c r="CA364" s="1"/>
      <x:c r="CB364" s="1"/>
      <x:c r="CC364" s="1"/>
      <x:c r="CD364" s="1"/>
      <x:c r="CE364" s="1"/>
      <x:c r="CF364" s="1"/>
      <x:c r="CG364" s="1"/>
      <x:c r="CH364" s="1"/>
      <x:c r="CI364" s="1"/>
      <x:c r="CJ364" s="1"/>
      <x:c r="CK364" s="1"/>
      <x:c r="CL364" s="1"/>
      <x:c r="CM364" s="1"/>
      <x:c r="CN364" s="1"/>
      <x:c r="CO364" s="1"/>
      <x:c r="CP364" s="1"/>
      <x:c r="CQ364" s="1"/>
      <x:c r="CR364" s="1"/>
      <x:c r="CS364" s="1"/>
      <x:c r="CT364" s="1" t="n">
        <x:v>1974.01</x:v>
      </x:c>
      <x:c r="CU364" s="1" t="n">
        <x:v>1271.39</x:v>
      </x:c>
      <x:c r="CV364" s="1" t="n">
        <x:v>1286.47</x:v>
      </x:c>
      <x:c r="CW364" s="1" t="n">
        <x:v>1636.61</x:v>
      </x:c>
      <x:c r="CX364" s="1"/>
      <x:c r="CY364" s="1"/>
      <x:c r="CZ364" s="1"/>
      <x:c r="DA364" s="1"/>
      <x:c r="DB364" s="1"/>
      <x:c r="DC364" s="1"/>
      <x:c r="DD364" s="1"/>
      <x:c r="DE364" s="1"/>
      <x:c r="DF364" s="1"/>
      <x:c r="DG364" s="1"/>
      <x:c r="DH364" s="1"/>
      <x:c r="DI364" s="1"/>
      <x:c r="DJ364" s="1"/>
      <x:c r="DK364" s="1"/>
      <x:c r="DL364" s="1"/>
      <x:c r="DM364" s="1"/>
    </x:row>
    <x:row r="365" ht="23" customHeight="1">
      <x:c r="A365" s="1" t="n">
        <x:v>360</x:v>
      </x:c>
      <x:c r="B365" s="1" t="str">
        <x:v>戊酮-2</x:v>
      </x:c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 t="n">
        <x:v>11100</x:v>
      </x:c>
      <x:c r="AW365" s="1"/>
      <x:c r="AX365" s="1" t="n">
        <x:v>112300</x:v>
      </x:c>
      <x:c r="AY365" s="1" t="n">
        <x:v>0</x:v>
      </x:c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  <x:c r="CA365" s="1"/>
      <x:c r="CB365" s="1"/>
      <x:c r="CC365" s="1"/>
      <x:c r="CD365" s="1"/>
      <x:c r="CE365" s="1"/>
      <x:c r="CF365" s="1"/>
      <x:c r="CG365" s="1"/>
      <x:c r="CH365" s="1"/>
      <x:c r="CI365" s="1"/>
      <x:c r="CJ365" s="1"/>
      <x:c r="CK365" s="1"/>
      <x:c r="CL365" s="1"/>
      <x:c r="CM365" s="1"/>
      <x:c r="CN365" s="1"/>
      <x:c r="CO365" s="1"/>
      <x:c r="CP365" s="1"/>
      <x:c r="CQ365" s="1"/>
      <x:c r="CR365" s="1"/>
      <x:c r="CS365" s="1"/>
      <x:c r="CT365" s="1"/>
      <x:c r="CU365" s="1"/>
      <x:c r="CV365" s="1"/>
      <x:c r="CW365" s="1"/>
      <x:c r="CX365" s="1"/>
      <x:c r="CY365" s="1"/>
      <x:c r="CZ365" s="1"/>
      <x:c r="DA365" s="1"/>
      <x:c r="DB365" s="1"/>
      <x:c r="DC365" s="1"/>
      <x:c r="DD365" s="1"/>
      <x:c r="DE365" s="1"/>
      <x:c r="DF365" s="1"/>
      <x:c r="DG365" s="1"/>
      <x:c r="DH365" s="1"/>
      <x:c r="DI365" s="1"/>
      <x:c r="DJ365" s="1"/>
      <x:c r="DK365" s="1"/>
      <x:c r="DL365" s="1"/>
      <x:c r="DM365" s="1"/>
    </x:row>
    <x:row r="366" ht="23" customHeight="1">
      <x:c r="A366" s="1" t="n">
        <x:v>361</x:v>
      </x:c>
      <x:c r="B366" s="1" t="str">
        <x:v>戊酸乙酯（mg·L-1）</x:v>
      </x:c>
      <x:c r="C366" s="1"/>
      <x:c r="D366" s="1" t="n">
        <x:v>26.8</x:v>
      </x:c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 t="n">
        <x:v>168.36</x:v>
      </x:c>
      <x:c r="BM366" s="1" t="n">
        <x:v>105.85</x:v>
      </x:c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  <x:c r="CA366" s="1"/>
      <x:c r="CB366" s="1"/>
      <x:c r="CC366" s="1"/>
      <x:c r="CD366" s="1"/>
      <x:c r="CE366" s="1"/>
      <x:c r="CF366" s="1"/>
      <x:c r="CG366" s="1"/>
      <x:c r="CH366" s="1"/>
      <x:c r="CI366" s="1"/>
      <x:c r="CJ366" s="1"/>
      <x:c r="CK366" s="1"/>
      <x:c r="CL366" s="1"/>
      <x:c r="CM366" s="1"/>
      <x:c r="CN366" s="1"/>
      <x:c r="CO366" s="1"/>
      <x:c r="CP366" s="1"/>
      <x:c r="CQ366" s="1"/>
      <x:c r="CR366" s="1"/>
      <x:c r="CS366" s="1"/>
      <x:c r="CT366" s="1"/>
      <x:c r="CU366" s="1"/>
      <x:c r="CV366" s="1"/>
      <x:c r="CW366" s="1"/>
      <x:c r="CX366" s="1"/>
      <x:c r="CY366" s="1"/>
      <x:c r="CZ366" s="1"/>
      <x:c r="DA366" s="1"/>
      <x:c r="DB366" s="1"/>
      <x:c r="DC366" s="1"/>
      <x:c r="DD366" s="1"/>
      <x:c r="DE366" s="1"/>
      <x:c r="DF366" s="1"/>
      <x:c r="DG366" s="1"/>
      <x:c r="DH366" s="1"/>
      <x:c r="DI366" s="1"/>
      <x:c r="DJ366" s="1"/>
      <x:c r="DK366" s="1"/>
      <x:c r="DL366" s="1"/>
      <x:c r="DM366" s="1"/>
    </x:row>
    <x:row r="367" ht="23" customHeight="1">
      <x:c r="A367" s="1" t="n">
        <x:v>362</x:v>
      </x:c>
      <x:c r="B367" s="1" t="str">
        <x:v>正丁醇1-butanol</x:v>
      </x:c>
      <x:c r="C367" s="1"/>
      <x:c r="D367" s="1" t="n">
        <x:v>2733</x:v>
      </x:c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  <x:c r="CA367" s="1"/>
      <x:c r="CB367" s="1"/>
      <x:c r="CC367" s="1"/>
      <x:c r="CD367" s="1"/>
      <x:c r="CE367" s="1"/>
      <x:c r="CF367" s="1"/>
      <x:c r="CG367" s="1"/>
      <x:c r="CH367" s="1"/>
      <x:c r="CI367" s="1"/>
      <x:c r="CJ367" s="1"/>
      <x:c r="CK367" s="1"/>
      <x:c r="CL367" s="1"/>
      <x:c r="CM367" s="1"/>
      <x:c r="CN367" s="1"/>
      <x:c r="CO367" s="1"/>
      <x:c r="CP367" s="1"/>
      <x:c r="CQ367" s="1"/>
      <x:c r="CR367" s="1"/>
      <x:c r="CS367" s="1"/>
      <x:c r="CT367" s="1"/>
      <x:c r="CU367" s="1"/>
      <x:c r="CV367" s="1"/>
      <x:c r="CW367" s="1"/>
      <x:c r="CX367" s="1"/>
      <x:c r="CY367" s="1"/>
      <x:c r="CZ367" s="1"/>
      <x:c r="DA367" s="1"/>
      <x:c r="DB367" s="1"/>
      <x:c r="DC367" s="1"/>
      <x:c r="DD367" s="1"/>
      <x:c r="DE367" s="1"/>
      <x:c r="DF367" s="1"/>
      <x:c r="DG367" s="1"/>
      <x:c r="DH367" s="1"/>
      <x:c r="DI367" s="1"/>
      <x:c r="DJ367" s="1"/>
      <x:c r="DK367" s="1"/>
      <x:c r="DL367" s="1"/>
      <x:c r="DM367" s="1"/>
    </x:row>
    <x:row r="368" ht="23" customHeight="1">
      <x:c r="A368" s="1" t="n">
        <x:v>363</x:v>
      </x:c>
      <x:c r="B368" s="1" t="str">
        <x:v>正丙醇1-propanol</x:v>
      </x:c>
      <x:c r="C368" s="1"/>
      <x:c r="D368" s="1" t="n">
        <x:v>109000</x:v>
      </x:c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  <x:c r="CA368" s="1"/>
      <x:c r="CB368" s="1"/>
      <x:c r="CC368" s="1"/>
      <x:c r="CD368" s="1"/>
      <x:c r="CE368" s="1"/>
      <x:c r="CF368" s="1"/>
      <x:c r="CG368" s="1"/>
      <x:c r="CH368" s="1"/>
      <x:c r="CI368" s="1"/>
      <x:c r="CJ368" s="1"/>
      <x:c r="CK368" s="1"/>
      <x:c r="CL368" s="1"/>
      <x:c r="CM368" s="1"/>
      <x:c r="CN368" s="1"/>
      <x:c r="CO368" s="1"/>
      <x:c r="CP368" s="1"/>
      <x:c r="CQ368" s="1"/>
      <x:c r="CR368" s="1"/>
      <x:c r="CS368" s="1"/>
      <x:c r="CT368" s="1"/>
      <x:c r="CU368" s="1"/>
      <x:c r="CV368" s="1"/>
      <x:c r="CW368" s="1"/>
      <x:c r="CX368" s="1"/>
      <x:c r="CY368" s="1"/>
      <x:c r="CZ368" s="1"/>
      <x:c r="DA368" s="1"/>
      <x:c r="DB368" s="1"/>
      <x:c r="DC368" s="1"/>
      <x:c r="DD368" s="1"/>
      <x:c r="DE368" s="1"/>
      <x:c r="DF368" s="1"/>
      <x:c r="DG368" s="1"/>
      <x:c r="DH368" s="1"/>
      <x:c r="DI368" s="1"/>
      <x:c r="DJ368" s="1"/>
      <x:c r="DK368" s="1"/>
      <x:c r="DL368" s="1"/>
      <x:c r="DM368" s="1"/>
    </x:row>
    <x:row r="369" ht="23" customHeight="1">
      <x:c r="A369" s="1" t="n">
        <x:v>364</x:v>
      </x:c>
      <x:c r="B369" s="1" t="str">
        <x:v>正己醇1-hexanol</x:v>
      </x:c>
      <x:c r="C369" s="1"/>
      <x:c r="D369" s="1" t="n">
        <x:v>5370</x:v>
      </x:c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  <x:c r="CA369" s="1"/>
      <x:c r="CB369" s="1"/>
      <x:c r="CC369" s="1"/>
      <x:c r="CD369" s="1"/>
      <x:c r="CE369" s="1"/>
      <x:c r="CF369" s="1"/>
      <x:c r="CG369" s="1"/>
      <x:c r="CH369" s="1"/>
      <x:c r="CI369" s="1"/>
      <x:c r="CJ369" s="1"/>
      <x:c r="CK369" s="1"/>
      <x:c r="CL369" s="1"/>
      <x:c r="CM369" s="1"/>
      <x:c r="CN369" s="1"/>
      <x:c r="CO369" s="1"/>
      <x:c r="CP369" s="1"/>
      <x:c r="CQ369" s="1"/>
      <x:c r="CR369" s="1"/>
      <x:c r="CS369" s="1"/>
      <x:c r="CT369" s="1"/>
      <x:c r="CU369" s="1"/>
      <x:c r="CV369" s="1"/>
      <x:c r="CW369" s="1"/>
      <x:c r="CX369" s="1"/>
      <x:c r="CY369" s="1"/>
      <x:c r="CZ369" s="1"/>
      <x:c r="DA369" s="1"/>
      <x:c r="DB369" s="1"/>
      <x:c r="DC369" s="1"/>
      <x:c r="DD369" s="1"/>
      <x:c r="DE369" s="1"/>
      <x:c r="DF369" s="1"/>
      <x:c r="DG369" s="1"/>
      <x:c r="DH369" s="1"/>
      <x:c r="DI369" s="1"/>
      <x:c r="DJ369" s="1"/>
      <x:c r="DK369" s="1"/>
      <x:c r="DL369" s="1"/>
      <x:c r="DM369" s="1"/>
    </x:row>
    <x:row r="370" ht="23" customHeight="1">
      <x:c r="A370" s="1" t="n">
        <x:v>365</x:v>
      </x:c>
      <x:c r="B370" s="1" t="str">
        <x:v>正辛醇1-octanol</x:v>
      </x:c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  <x:c r="CA370" s="1"/>
      <x:c r="CB370" s="1"/>
      <x:c r="CC370" s="1"/>
      <x:c r="CD370" s="1"/>
      <x:c r="CE370" s="1"/>
      <x:c r="CF370" s="1"/>
      <x:c r="CG370" s="1"/>
      <x:c r="CH370" s="1"/>
      <x:c r="CI370" s="1"/>
      <x:c r="CJ370" s="1"/>
      <x:c r="CK370" s="1"/>
      <x:c r="CL370" s="1"/>
      <x:c r="CM370" s="1"/>
      <x:c r="CN370" s="1"/>
      <x:c r="CO370" s="1"/>
      <x:c r="CP370" s="1"/>
      <x:c r="CQ370" s="1"/>
      <x:c r="CR370" s="1"/>
      <x:c r="CS370" s="1"/>
      <x:c r="CT370" s="1"/>
      <x:c r="CU370" s="1"/>
      <x:c r="CV370" s="1"/>
      <x:c r="CW370" s="1"/>
      <x:c r="CX370" s="1"/>
      <x:c r="CY370" s="1"/>
      <x:c r="CZ370" s="1"/>
      <x:c r="DA370" s="1"/>
      <x:c r="DB370" s="1"/>
      <x:c r="DC370" s="1"/>
      <x:c r="DD370" s="1"/>
      <x:c r="DE370" s="1"/>
      <x:c r="DF370" s="1"/>
      <x:c r="DG370" s="1"/>
      <x:c r="DH370" s="1"/>
      <x:c r="DI370" s="1"/>
      <x:c r="DJ370" s="1"/>
      <x:c r="DK370" s="1"/>
      <x:c r="DL370" s="1"/>
      <x:c r="DM370" s="1"/>
    </x:row>
    <x:row r="371" ht="23" customHeight="1">
      <x:c r="A371" s="1" t="n">
        <x:v>366</x:v>
      </x:c>
      <x:c r="B371" s="1" t="str">
        <x:v>甲醚</x:v>
      </x:c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  <x:c r="CA371" s="1"/>
      <x:c r="CB371" s="1"/>
      <x:c r="CC371" s="1"/>
      <x:c r="CD371" s="1"/>
      <x:c r="CE371" s="1"/>
      <x:c r="CF371" s="1"/>
      <x:c r="CG371" s="1"/>
      <x:c r="CH371" s="1"/>
      <x:c r="CI371" s="1"/>
      <x:c r="CJ371" s="1"/>
      <x:c r="CK371" s="1"/>
      <x:c r="CL371" s="1"/>
      <x:c r="CM371" s="1"/>
      <x:c r="CN371" s="1"/>
      <x:c r="CO371" s="1"/>
      <x:c r="CP371" s="1"/>
      <x:c r="CQ371" s="1"/>
      <x:c r="CR371" s="1"/>
      <x:c r="CS371" s="1"/>
      <x:c r="CT371" s="1" t="n">
        <x:v>1105.1</x:v>
      </x:c>
      <x:c r="CU371" s="1" t="n">
        <x:v>831.95</x:v>
      </x:c>
      <x:c r="CV371" s="1" t="n">
        <x:v>1270.59</x:v>
      </x:c>
      <x:c r="CW371" s="1" t="n">
        <x:v>2300.02</x:v>
      </x:c>
      <x:c r="CX371" s="1"/>
      <x:c r="CY371" s="1"/>
      <x:c r="CZ371" s="1"/>
      <x:c r="DA371" s="1"/>
      <x:c r="DB371" s="1"/>
      <x:c r="DC371" s="1"/>
      <x:c r="DD371" s="1"/>
      <x:c r="DE371" s="1"/>
      <x:c r="DF371" s="1"/>
      <x:c r="DG371" s="1"/>
      <x:c r="DH371" s="1"/>
      <x:c r="DI371" s="1"/>
      <x:c r="DJ371" s="1"/>
      <x:c r="DK371" s="1"/>
      <x:c r="DL371" s="1"/>
      <x:c r="DM371" s="1"/>
    </x:row>
    <x:row r="372" ht="23" customHeight="1">
      <x:c r="A372" s="1" t="n">
        <x:v>367</x:v>
      </x:c>
      <x:c r="B372" s="1" t="str">
        <x:v>苯乙烯</x:v>
      </x:c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  <x:c r="CA372" s="1"/>
      <x:c r="CB372" s="1"/>
      <x:c r="CC372" s="1"/>
      <x:c r="CD372" s="1"/>
      <x:c r="CE372" s="1"/>
      <x:c r="CF372" s="1"/>
      <x:c r="CG372" s="1"/>
      <x:c r="CH372" s="1"/>
      <x:c r="CI372" s="1"/>
      <x:c r="CJ372" s="1"/>
      <x:c r="CK372" s="1"/>
      <x:c r="CL372" s="1"/>
      <x:c r="CM372" s="1"/>
      <x:c r="CN372" s="1"/>
      <x:c r="CO372" s="1"/>
      <x:c r="CP372" s="1"/>
      <x:c r="CQ372" s="1"/>
      <x:c r="CR372" s="1"/>
      <x:c r="CS372" s="1"/>
      <x:c r="CT372" s="1"/>
      <x:c r="CU372" s="1"/>
      <x:c r="CV372" s="1" t="n">
        <x:v>26.77</x:v>
      </x:c>
      <x:c r="CW372" s="1"/>
      <x:c r="CX372" s="1"/>
      <x:c r="CY372" s="1"/>
      <x:c r="CZ372" s="1"/>
      <x:c r="DA372" s="1"/>
      <x:c r="DB372" s="1"/>
      <x:c r="DC372" s="1"/>
      <x:c r="DD372" s="1"/>
      <x:c r="DE372" s="1"/>
      <x:c r="DF372" s="1"/>
      <x:c r="DG372" s="1"/>
      <x:c r="DH372" s="1"/>
      <x:c r="DI372" s="1"/>
      <x:c r="DJ372" s="1"/>
      <x:c r="DK372" s="1"/>
      <x:c r="DL372" s="1"/>
      <x:c r="DM372" s="1"/>
    </x:row>
    <x:row r="373" ht="23" customHeight="1">
      <x:c r="A373" s="1" t="n">
        <x:v>368</x:v>
      </x:c>
      <x:c r="B373" s="1" t="str">
        <x:v>苯乙醛二乙缩醛</x:v>
      </x:c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  <x:c r="CA373" s="1"/>
      <x:c r="CB373" s="1"/>
      <x:c r="CC373" s="1"/>
      <x:c r="CD373" s="1"/>
      <x:c r="CE373" s="1"/>
      <x:c r="CF373" s="1"/>
      <x:c r="CG373" s="1"/>
      <x:c r="CH373" s="1"/>
      <x:c r="CI373" s="1"/>
      <x:c r="CJ373" s="1"/>
      <x:c r="CK373" s="1"/>
      <x:c r="CL373" s="1"/>
      <x:c r="CM373" s="1"/>
      <x:c r="CN373" s="1"/>
      <x:c r="CO373" s="1"/>
      <x:c r="CP373" s="1"/>
      <x:c r="CQ373" s="1"/>
      <x:c r="CR373" s="1"/>
      <x:c r="CS373" s="1"/>
      <x:c r="CT373" s="1" t="n">
        <x:v>118.74</x:v>
      </x:c>
      <x:c r="CU373" s="1" t="n">
        <x:v>165.65</x:v>
      </x:c>
      <x:c r="CV373" s="1" t="n">
        <x:v>230.21</x:v>
      </x:c>
      <x:c r="CW373" s="1" t="n">
        <x:v>99.71</x:v>
      </x:c>
      <x:c r="CX373" s="1"/>
      <x:c r="CY373" s="1"/>
      <x:c r="CZ373" s="1"/>
      <x:c r="DA373" s="1"/>
      <x:c r="DB373" s="1"/>
      <x:c r="DC373" s="1"/>
      <x:c r="DD373" s="1"/>
      <x:c r="DE373" s="1"/>
      <x:c r="DF373" s="1"/>
      <x:c r="DG373" s="1"/>
      <x:c r="DH373" s="1"/>
      <x:c r="DI373" s="1"/>
      <x:c r="DJ373" s="1"/>
      <x:c r="DK373" s="1"/>
      <x:c r="DL373" s="1"/>
      <x:c r="DM373" s="1"/>
    </x:row>
    <x:row r="374" ht="23" customHeight="1">
      <x:c r="A374" s="1" t="n">
        <x:v>369</x:v>
      </x:c>
      <x:c r="B374" s="1" t="str">
        <x:v>辛酸-3-甲基丁</x:v>
      </x:c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  <x:c r="CA374" s="1"/>
      <x:c r="CB374" s="1"/>
      <x:c r="CC374" s="1"/>
      <x:c r="CD374" s="1"/>
      <x:c r="CE374" s="1"/>
      <x:c r="CF374" s="1"/>
      <x:c r="CG374" s="1"/>
      <x:c r="CH374" s="1"/>
      <x:c r="CI374" s="1"/>
      <x:c r="CJ374" s="1"/>
      <x:c r="CK374" s="1"/>
      <x:c r="CL374" s="1"/>
      <x:c r="CM374" s="1"/>
      <x:c r="CN374" s="1"/>
      <x:c r="CO374" s="1"/>
      <x:c r="CP374" s="1"/>
      <x:c r="CQ374" s="1"/>
      <x:c r="CR374" s="1" t="n">
        <x:v>461.49</x:v>
      </x:c>
      <x:c r="CS374" s="1" t="n">
        <x:v>1142.68</x:v>
      </x:c>
      <x:c r="CT374" s="1"/>
      <x:c r="CU374" s="1"/>
      <x:c r="CV374" s="1"/>
      <x:c r="CW374" s="1"/>
      <x:c r="CX374" s="1"/>
      <x:c r="CY374" s="1"/>
      <x:c r="CZ374" s="1"/>
      <x:c r="DA374" s="1"/>
      <x:c r="DB374" s="1"/>
      <x:c r="DC374" s="1"/>
      <x:c r="DD374" s="1"/>
      <x:c r="DE374" s="1"/>
      <x:c r="DF374" s="1"/>
      <x:c r="DG374" s="1"/>
      <x:c r="DH374" s="1"/>
      <x:c r="DI374" s="1"/>
      <x:c r="DJ374" s="1"/>
      <x:c r="DK374" s="1"/>
      <x:c r="DL374" s="1"/>
      <x:c r="DM374" s="1"/>
    </x:row>
    <x:row r="375" ht="23" customHeight="1">
      <x:c r="A375" s="1" t="n">
        <x:v>370</x:v>
      </x:c>
      <x:c r="B375" s="1" t="str">
        <x:v>辛酸-3-甲基丁酯（μg·L-1）</x:v>
      </x:c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 t="n">
        <x:v>272.28</x:v>
      </x:c>
      <x:c r="BO375" s="1" t="n">
        <x:v>495.85</x:v>
      </x:c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  <x:c r="CA375" s="1"/>
      <x:c r="CB375" s="1"/>
      <x:c r="CC375" s="1"/>
      <x:c r="CD375" s="1"/>
      <x:c r="CE375" s="1"/>
      <x:c r="CF375" s="1"/>
      <x:c r="CG375" s="1"/>
      <x:c r="CH375" s="1"/>
      <x:c r="CI375" s="1"/>
      <x:c r="CJ375" s="1"/>
      <x:c r="CK375" s="1"/>
      <x:c r="CL375" s="1"/>
      <x:c r="CM375" s="1"/>
      <x:c r="CN375" s="1"/>
      <x:c r="CO375" s="1"/>
      <x:c r="CP375" s="1"/>
      <x:c r="CQ375" s="1"/>
      <x:c r="CR375" s="1"/>
      <x:c r="CS375" s="1"/>
      <x:c r="CT375" s="1"/>
      <x:c r="CU375" s="1"/>
      <x:c r="CV375" s="1"/>
      <x:c r="CW375" s="1"/>
      <x:c r="CX375" s="1"/>
      <x:c r="CY375" s="1"/>
      <x:c r="CZ375" s="1"/>
      <x:c r="DA375" s="1"/>
      <x:c r="DB375" s="1"/>
      <x:c r="DC375" s="1"/>
      <x:c r="DD375" s="1"/>
      <x:c r="DE375" s="1"/>
      <x:c r="DF375" s="1"/>
      <x:c r="DG375" s="1"/>
      <x:c r="DH375" s="1"/>
      <x:c r="DI375" s="1"/>
      <x:c r="DJ375" s="1"/>
      <x:c r="DK375" s="1"/>
      <x:c r="DL375" s="1"/>
      <x:c r="DM375" s="1"/>
    </x:row>
    <x:row r="376" ht="23" customHeight="1">
      <x:c r="A376" s="1" t="n">
        <x:v>371</x:v>
      </x:c>
      <x:c r="B376" s="1" t="str">
        <x:v>辛酸乙酯（mg·L-1）</x:v>
      </x:c>
      <x:c r="C376" s="1"/>
      <x:c r="D376" s="1" t="n">
        <x:v>12.9</x:v>
      </x:c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 t="n">
        <x:v>121.26</x:v>
      </x:c>
      <x:c r="BO376" s="1" t="n">
        <x:v>203.76</x:v>
      </x:c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  <x:c r="CA376" s="1"/>
      <x:c r="CB376" s="1"/>
      <x:c r="CC376" s="1"/>
      <x:c r="CD376" s="1"/>
      <x:c r="CE376" s="1"/>
      <x:c r="CF376" s="1"/>
      <x:c r="CG376" s="1"/>
      <x:c r="CH376" s="1"/>
      <x:c r="CI376" s="1"/>
      <x:c r="CJ376" s="1"/>
      <x:c r="CK376" s="1"/>
      <x:c r="CL376" s="1"/>
      <x:c r="CM376" s="1"/>
      <x:c r="CN376" s="1"/>
      <x:c r="CO376" s="1"/>
      <x:c r="CP376" s="1"/>
      <x:c r="CQ376" s="1"/>
      <x:c r="CR376" s="1"/>
      <x:c r="CS376" s="1"/>
      <x:c r="CT376" s="1"/>
      <x:c r="CU376" s="1"/>
      <x:c r="CV376" s="1"/>
      <x:c r="CW376" s="1"/>
      <x:c r="CX376" s="1"/>
      <x:c r="CY376" s="1"/>
      <x:c r="CZ376" s="1"/>
      <x:c r="DA376" s="1"/>
      <x:c r="DB376" s="1"/>
      <x:c r="DC376" s="1"/>
      <x:c r="DD376" s="1"/>
      <x:c r="DE376" s="1"/>
      <x:c r="DF376" s="1"/>
      <x:c r="DG376" s="1"/>
      <x:c r="DH376" s="1"/>
      <x:c r="DI376" s="1"/>
      <x:c r="DJ376" s="1"/>
      <x:c r="DK376" s="1"/>
      <x:c r="DL376" s="1"/>
      <x:c r="DM376" s="1"/>
    </x:row>
    <x:row r="377" ht="23" customHeight="1">
      <x:c r="A377" s="1" t="n">
        <x:v>372</x:v>
      </x:c>
      <x:c r="B377" s="1" t="str">
        <x:v>辛酸（mg·L-1）</x:v>
      </x:c>
      <x:c r="C377" s="1"/>
      <x:c r="D377" s="1" t="n">
        <x:v>2700</x:v>
      </x:c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 t="n">
        <x:v>16</x:v>
      </x:c>
      <x:c r="BO377" s="1" t="n">
        <x:v>38.28</x:v>
      </x:c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  <x:c r="CA377" s="1"/>
      <x:c r="CB377" s="1"/>
      <x:c r="CC377" s="1"/>
      <x:c r="CD377" s="1"/>
      <x:c r="CE377" s="1"/>
      <x:c r="CF377" s="1"/>
      <x:c r="CG377" s="1"/>
      <x:c r="CH377" s="1"/>
      <x:c r="CI377" s="1"/>
      <x:c r="CJ377" s="1"/>
      <x:c r="CK377" s="1"/>
      <x:c r="CL377" s="1"/>
      <x:c r="CM377" s="1"/>
      <x:c r="CN377" s="1"/>
      <x:c r="CO377" s="1"/>
      <x:c r="CP377" s="1"/>
      <x:c r="CQ377" s="1"/>
      <x:c r="CR377" s="1"/>
      <x:c r="CS377" s="1"/>
      <x:c r="CT377" s="1"/>
      <x:c r="CU377" s="1"/>
      <x:c r="CV377" s="1"/>
      <x:c r="CW377" s="1"/>
      <x:c r="CX377" s="1"/>
      <x:c r="CY377" s="1"/>
      <x:c r="CZ377" s="1"/>
      <x:c r="DA377" s="1"/>
      <x:c r="DB377" s="1"/>
      <x:c r="DC377" s="1"/>
      <x:c r="DD377" s="1"/>
      <x:c r="DE377" s="1"/>
      <x:c r="DF377" s="1"/>
      <x:c r="DG377" s="1"/>
      <x:c r="DH377" s="1"/>
      <x:c r="DI377" s="1"/>
      <x:c r="DJ377" s="1"/>
      <x:c r="DK377" s="1"/>
      <x:c r="DL377" s="1"/>
      <x:c r="DM377" s="1"/>
    </x:row>
    <x:row r="378" ht="23" customHeight="1">
      <x:c r="A378" s="1" t="n">
        <x:v>373</x:v>
      </x:c>
      <x:c r="B378" s="1" t="str">
        <x:v>（2，2-二乙氧基乙基）-苯</x:v>
      </x:c>
      <x:c r="C378" s="1"/>
      <x:c r="D378" s="1" t="n">
        <x:v>2706.87</x:v>
      </x:c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 t="n">
        <x:v>1.23</x:v>
      </x:c>
      <x:c r="AR378" s="1" t="n">
        <x:v>4.55</x:v>
      </x:c>
      <x:c r="AS378" s="1" t="n">
        <x:v>3.82</x:v>
      </x:c>
      <x:c r="AT378" s="1" t="n">
        <x:v>4.13</x:v>
      </x:c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  <x:c r="CA378" s="1"/>
      <x:c r="CB378" s="1"/>
      <x:c r="CC378" s="1"/>
      <x:c r="CD378" s="1"/>
      <x:c r="CE378" s="1"/>
      <x:c r="CF378" s="1"/>
      <x:c r="CG378" s="1"/>
      <x:c r="CH378" s="1"/>
      <x:c r="CI378" s="1"/>
      <x:c r="CJ378" s="1"/>
      <x:c r="CK378" s="1"/>
      <x:c r="CL378" s="1"/>
      <x:c r="CM378" s="1"/>
      <x:c r="CN378" s="1"/>
      <x:c r="CO378" s="1"/>
      <x:c r="CP378" s="1"/>
      <x:c r="CQ378" s="1"/>
      <x:c r="CR378" s="1"/>
      <x:c r="CS378" s="1"/>
      <x:c r="CT378" s="1"/>
      <x:c r="CU378" s="1"/>
      <x:c r="CV378" s="1"/>
      <x:c r="CW378" s="1"/>
      <x:c r="CX378" s="1"/>
      <x:c r="CY378" s="1"/>
      <x:c r="CZ378" s="1"/>
      <x:c r="DA378" s="1"/>
      <x:c r="DB378" s="1"/>
      <x:c r="DC378" s="1"/>
      <x:c r="DD378" s="1"/>
      <x:c r="DE378" s="1"/>
      <x:c r="DF378" s="1"/>
      <x:c r="DG378" s="1"/>
      <x:c r="DH378" s="1"/>
      <x:c r="DI378" s="1"/>
      <x:c r="DJ378" s="1"/>
      <x:c r="DK378" s="1"/>
      <x:c r="DL378" s="1"/>
      <x:c r="DM378" s="1"/>
    </x:row>
  </x:sheetData>
  <x:pageMargins left="0.7" right="0.7" top="0.75" bottom="0.75" header="0.3" footer="0.3"/>
</x:worksheet>
</file>