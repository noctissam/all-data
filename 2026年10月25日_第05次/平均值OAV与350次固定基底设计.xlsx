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8449ef6cc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b0c3a1e2b38c4761"/>
    <x:sheet xmlns:r="http://schemas.openxmlformats.org/officeDocument/2006/relationships" name="350次设计" sheetId="2" r:id="R5445cc922d204c2f"/>
    <x:sheet xmlns:r="http://schemas.openxmlformats.org/officeDocument/2006/relationships" name="浓度水平" sheetId="3" r:id="R9ceca4e02362403d"/>
    <x:sheet xmlns:r="http://schemas.openxmlformats.org/officeDocument/2006/relationships" name="模型检查" sheetId="4" r:id="Raf0ddbf92a194449"/>
    <x:sheet xmlns:r="http://schemas.openxmlformats.org/officeDocument/2006/relationships" name="平均值OAV_41" sheetId="5" r:id="R3553db6cca3143c2"/>
    <x:sheet xmlns:r="http://schemas.openxmlformats.org/officeDocument/2006/relationships" name="平均值OAV_全库" sheetId="6" r:id="R067f7ec0bc1d4226"/>
    <x:sheet xmlns:r="http://schemas.openxmlformats.org/officeDocument/2006/relationships" name="固定基底" sheetId="7" r:id="R699e77b330e6451a"/>
    <x:sheet xmlns:r="http://schemas.openxmlformats.org/officeDocument/2006/relationships" name="均值原始浓度" sheetId="8" r:id="R14ca63409f52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09c3d6b50439b" /><Relationship Type="http://schemas.openxmlformats.org/officeDocument/2006/relationships/theme" Target="/xl/theme/theme1.xml" Id="Rd4a72f12a8c842b8" /><Relationship Type="http://schemas.openxmlformats.org/officeDocument/2006/relationships/sharedStrings" Target="/xl/sharedStrings.xml" Id="R5723681a7ac24e69" /><Relationship Type="http://schemas.openxmlformats.org/officeDocument/2006/relationships/worksheet" Target="/xl/worksheets/sheet1.xml" Id="Rb0c3a1e2b38c4761" /><Relationship Type="http://schemas.openxmlformats.org/officeDocument/2006/relationships/worksheet" Target="/xl/worksheets/sheet2.xml" Id="R5445cc922d204c2f" /><Relationship Type="http://schemas.openxmlformats.org/officeDocument/2006/relationships/worksheet" Target="/xl/worksheets/sheet3.xml" Id="R9ceca4e02362403d" /><Relationship Type="http://schemas.openxmlformats.org/officeDocument/2006/relationships/worksheet" Target="/xl/worksheets/sheet4.xml" Id="Raf0ddbf92a194449" /><Relationship Type="http://schemas.openxmlformats.org/officeDocument/2006/relationships/worksheet" Target="/xl/worksheets/sheet5.xml" Id="R3553db6cca3143c2" /><Relationship Type="http://schemas.openxmlformats.org/officeDocument/2006/relationships/worksheet" Target="/xl/worksheets/sheet6.xml" Id="R067f7ec0bc1d4226" /><Relationship Type="http://schemas.openxmlformats.org/officeDocument/2006/relationships/worksheet" Target="/xl/worksheets/sheet7.xml" Id="R699e77b330e6451a" /><Relationship Type="http://schemas.openxmlformats.org/officeDocument/2006/relationships/worksheet" Target="/xl/worksheets/sheet8.xml" Id="R14ca63409f524035" /></Relationships>
</file>

<file path=xl/tables/table1.xml><?xml version="1.0" encoding="utf-8"?>
<x:table xmlns:x="http://schemas.openxmlformats.org/spreadsheetml/2006/main" id="4" name="DesignWithBase" displayName="DesignWithBase" ref="A5:AD355" headerRowCount="1" totalsRowCount="0" totalsRowShown="0">
  <x:tableColumns count="30">
    <x:tableColumn id="1" name="样本ID"/>
    <x:tableColumn id="2" name="组别"/>
    <x:tableColumn id="3" name="方法"/>
    <x:tableColumn id="4" name="用途"/>
    <x:tableColumn id="5" name="点位类型"/>
    <x:tableColumn id="6" name="重复对应ID"/>
    <x:tableColumn id="7" name="物质A"/>
    <x:tableColumn id="8" name="物质B"/>
    <x:tableColumn id="9" name="物质C"/>
    <x:tableColumn id="10" name="物质D"/>
    <x:tableColumn id="11" name="A水平"/>
    <x:tableColumn id="12" name="B水平"/>
    <x:tableColumn id="13" name="C水平"/>
    <x:tableColumn id="14" name="D水平"/>
    <x:tableColumn id="15" name="A浓度μg/L"/>
    <x:tableColumn id="16" name="B浓度μg/L"/>
    <x:tableColumn id="17" name="C浓度μg/L"/>
    <x:tableColumn id="18" name="D浓度μg/L"/>
    <x:tableColumn id="19" name="A的OAV"/>
    <x:tableColumn id="20" name="B的OAV"/>
    <x:tableColumn id="21" name="C的OAV"/>
    <x:tableColumn id="22" name="D的OAV"/>
    <x:tableColumn id="23" name="20mL中A质量μg"/>
    <x:tableColumn id="24" name="20mL中B质量μg"/>
    <x:tableColumn id="25" name="20mL中C质量μg"/>
    <x:tableColumn id="26" name="20mL中D质量μg"/>
    <x:tableColumn id="27" name="基底1-丙醇μg/L"/>
    <x:tableColumn id="28" name="基底异戊醇μg/L"/>
    <x:tableColumn id="29" name="每瓶基底1-丙醇μg"/>
    <x:tableColumn id="30" name="每瓶基底异戊醇μ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41" displayName="Levels41" ref="A5:L46" headerRowCount="1" totalsRowCount="0" totalsRowShown="0">
  <x:tableColumns count="12">
    <x:tableColumn id="1" name="Order ID"/>
    <x:tableColumn id="2" name="中文名称"/>
    <x:tableColumn id="3" name="CAS"/>
    <x:tableColumn id="4" name="实验分层"/>
    <x:tableColumn id="5" name="周表阈值"/>
    <x:tableColumn id="6" name="L暂定浓度"/>
    <x:tableColumn id="7" name="M中位浓度"/>
    <x:tableColumn id="8" name="H最大浓度"/>
    <x:tableColumn id="9" name="浓度档数"/>
    <x:tableColumn id="10" name="设定说明"/>
    <x:tableColumn id="11" name="组成组出现数"/>
    <x:tableColumn id="12" name="水平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anks" displayName="ModelRanks" ref="A5:H19" headerRowCount="1" totalsRowCount="0" totalsRowShown="0">
  <x:tableColumns count="8">
    <x:tableColumn id="1" name="组别"/>
    <x:tableColumn id="2" name="模型系数数"/>
    <x:tableColumn id="3" name="拟合次数"/>
    <x:tableColumn id="4" name="水平编码秩"/>
    <x:tableColumn id="5" name="实际log浓度秩"/>
    <x:tableColumn id="6" name="实际矩阵条件数"/>
    <x:tableColumn id="7" name="不同拟合配方数"/>
    <x:tableColumn id="8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lectedMeans" displayName="SelectedMeans" ref="A5:I46" headerRowCount="1" totalsRowCount="0" totalsRowShown="0">
  <x:tableColumns count="9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AllMeans" displayName="AllMeans" ref="A5:I378" headerRowCount="1" totalsRowCount="0" totalsRowShown="0">
  <x:tableColumns count="9">
    <x:tableColumn id="1" name="Order ID"/>
    <x:tableColumn id="2" name="中文名称"/>
    <x:tableColumn id="3" name="CAS"/>
    <x:tableColumn id="4" name="有效浓度数"/>
    <x:tableColumn id="5" name="周表阈值μg/L"/>
    <x:tableColumn id="6" name="平均浓度μg/L"/>
    <x:tableColumn id="7" name="平均浓度OAV"/>
    <x:tableColumn id="8" name="按平均OAV分配"/>
    <x:tableColumn id="9" name="是否本轮41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ad44a31c2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ad90a5f8104e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0909839eae43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406c640e146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7809a9f63844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21" hidden="0" customWidth="1"/>
    <x:col min="10" max="10" width="50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 t="str">
        <x:v>350次设计更新：39种可变候选+2种共同固定基底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 t="str">
        <x:v>项目</x:v>
      </x:c>
      <x:c r="B4" s="5" t="str">
        <x:v>数量或设定</x:v>
      </x:c>
      <x:c r="C4" s="5"/>
      <x:c r="D4" s="5"/>
      <x:c r="E4" s="5"/>
      <x:c r="F4" s="5"/>
      <x:c r="G4" s="5"/>
      <x:c r="H4" s="5"/>
      <x:c r="I4" s="5"/>
      <x:c r="J4" s="5"/>
    </x:row>
    <x:row r="5">
      <x:c r="A5" s="5" t="str">
        <x:v>配制实验次数</x:v>
      </x:c>
      <x:c r="B5" s="5" t="n">
        <x:v>350</x:v>
      </x:c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 t="str">
        <x:v>不同配方数（含1种空白）</x:v>
      </x:c>
      <x:c r="B6" s="5" t="n">
        <x:v>319</x:v>
      </x:c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 t="str">
        <x:v>覆盖化合物</x:v>
      </x:c>
      <x:c r="B7" s="5" t="n">
        <x:v>41</x:v>
      </x:c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 t="str">
        <x:v>三水平BBD组</x:v>
      </x:c>
      <x:c r="B8" s="5" t="n">
        <x:v>10</x:v>
      </x:c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 t="str">
        <x:v>两水平全因子组</x:v>
      </x:c>
      <x:c r="B9" s="5" t="n">
        <x:v>4</x:v>
      </x:c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 t="str">
        <x:v>独立验证</x:v>
      </x:c>
      <x:c r="B10" s="5" t="n">
        <x:v>4</x:v>
      </x:c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 t="str">
        <x:v>空白独立配制</x:v>
      </x:c>
      <x:c r="B11" s="5" t="n">
        <x:v>4</x:v>
      </x:c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 t="str">
        <x:v>18人各评价一次的记录数</x:v>
      </x:c>
      <x:c r="B12" s="5" t="n">
        <x:v>6300</x:v>
      </x:c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 t="str">
        <x:v>组别</x:v>
      </x:c>
      <x:c r="B14" s="5" t="str">
        <x:v>设计类型</x:v>
      </x:c>
      <x:c r="C14" s="5" t="str">
        <x:v>A</x:v>
      </x:c>
      <x:c r="D14" s="5" t="str">
        <x:v>B</x:v>
      </x:c>
      <x:c r="E14" s="5" t="str">
        <x:v>C</x:v>
      </x:c>
      <x:c r="F14" s="5" t="str">
        <x:v>D</x:v>
      </x:c>
      <x:c r="G14" s="5" t="str">
        <x:v>拟合次数</x:v>
      </x:c>
      <x:c r="H14" s="5" t="str">
        <x:v>验证次数</x:v>
      </x:c>
      <x:c r="I14" s="5" t="str">
        <x:v>合计</x:v>
      </x:c>
      <x:c r="J14" s="5" t="str">
        <x:v>选组理由（待感官验证）</x:v>
      </x:c>
    </x:row>
    <x:row r="15" ht="25" customHeight="1">
      <x:c r="A15" s="5" t="str">
        <x:v>G01</x:v>
      </x:c>
      <x:c r="B15" s="5" t="str">
        <x:v>BBD：24边点+3中心</x:v>
      </x:c>
      <x:c r="C15" s="5" t="str">
        <x:v>己酸乙酯</x:v>
      </x:c>
      <x:c r="D15" s="5" t="str">
        <x:v>丁酸乙酯</x:v>
      </x:c>
      <x:c r="E15" s="5" t="str">
        <x:v>异丁酸乙酯</x:v>
      </x:c>
      <x:c r="F15" s="5" t="str">
        <x:v>戊酸乙酯</x:v>
      </x:c>
      <x:c r="G15" s="5" t="n">
        <x:v>27</x:v>
      </x:c>
      <x:c r="H15" s="5" t="n">
        <x:v>1</x:v>
      </x:c>
      <x:c r="I15" s="5" t="n">
        <x:v>28</x:v>
      </x:c>
      <x:c r="J15" s="5" t="str">
        <x:v>同类酯组合；考察果香酯浓度变化</x:v>
      </x:c>
    </x:row>
    <x:row r="16" ht="25" customHeight="1">
      <x:c r="A16" s="5" t="str">
        <x:v>G02</x:v>
      </x:c>
      <x:c r="B16" s="5" t="str">
        <x:v>BBD：24边点+3中心</x:v>
      </x:c>
      <x:c r="C16" s="5" t="str">
        <x:v>己酸乙酯</x:v>
      </x:c>
      <x:c r="D16" s="5" t="str">
        <x:v>辛酸乙酯</x:v>
      </x:c>
      <x:c r="E16" s="5" t="str">
        <x:v>异戊酸乙酯（3-甲基丁酸乙酯）</x:v>
      </x:c>
      <x:c r="F16" s="5" t="str">
        <x:v>2-甲基丁酸乙酯</x:v>
      </x:c>
      <x:c r="G16" s="5" t="n">
        <x:v>27</x:v>
      </x:c>
      <x:c r="H16" s="5" t="n">
        <x:v>0</x:v>
      </x:c>
      <x:c r="I16" s="5" t="n">
        <x:v>27</x:v>
      </x:c>
      <x:c r="J16" s="5" t="str">
        <x:v>不同酯类交叉组合</x:v>
      </x:c>
    </x:row>
    <x:row r="17" ht="25" customHeight="1">
      <x:c r="A17" s="5" t="str">
        <x:v>G03</x:v>
      </x:c>
      <x:c r="B17" s="5" t="str">
        <x:v>BBD：24边点+3中心</x:v>
      </x:c>
      <x:c r="C17" s="5" t="str">
        <x:v>己酸乙酯</x:v>
      </x:c>
      <x:c r="D17" s="5" t="str">
        <x:v>己酸</x:v>
      </x:c>
      <x:c r="E17" s="5" t="str">
        <x:v>戊酸</x:v>
      </x:c>
      <x:c r="F17" s="5" t="str">
        <x:v>异戊酸/3-甲基丁酸</x:v>
      </x:c>
      <x:c r="G17" s="5" t="n">
        <x:v>27</x:v>
      </x:c>
      <x:c r="H17" s="5" t="n">
        <x:v>1</x:v>
      </x:c>
      <x:c r="I17" s="5" t="n">
        <x:v>28</x:v>
      </x:c>
      <x:c r="J17" s="5" t="str">
        <x:v>己酸乙酯与酸类的背景作用</x:v>
      </x:c>
    </x:row>
    <x:row r="18" ht="25" customHeight="1">
      <x:c r="A18" s="5" t="str">
        <x:v>G04</x:v>
      </x:c>
      <x:c r="B18" s="5" t="str">
        <x:v>BBD：24边点+3中心</x:v>
      </x:c>
      <x:c r="C18" s="5" t="str">
        <x:v>丁酸乙酯</x:v>
      </x:c>
      <x:c r="D18" s="5" t="str">
        <x:v>1-丁醇</x:v>
      </x:c>
      <x:c r="E18" s="5" t="str">
        <x:v>1-辛烯-3-醇</x:v>
      </x:c>
      <x:c r="F18" s="5" t="str">
        <x:v>己醛</x:v>
      </x:c>
      <x:c r="G18" s="5" t="n">
        <x:v>27</x:v>
      </x:c>
      <x:c r="H18" s="5" t="n">
        <x:v>0</x:v>
      </x:c>
      <x:c r="I18" s="5" t="n">
        <x:v>27</x:v>
      </x:c>
      <x:c r="J18" s="5" t="str">
        <x:v>丁酸乙酯与醇、醛组合</x:v>
      </x:c>
    </x:row>
    <x:row r="19" ht="25" customHeight="1">
      <x:c r="A19" s="5" t="str">
        <x:v>G05</x:v>
      </x:c>
      <x:c r="B19" s="5" t="str">
        <x:v>BBD：24边点+3中心</x:v>
      </x:c>
      <x:c r="C19" s="5" t="str">
        <x:v>己酸乙酯</x:v>
      </x:c>
      <x:c r="D19" s="5" t="str">
        <x:v>二甲基三硫醚</x:v>
      </x:c>
      <x:c r="E19" s="5" t="str">
        <x:v>β-大马酮</x:v>
      </x:c>
      <x:c r="F19" s="5" t="str">
        <x:v>对甲酚</x:v>
      </x:c>
      <x:c r="G19" s="5" t="n">
        <x:v>27</x:v>
      </x:c>
      <x:c r="H19" s="5" t="n">
        <x:v>1</x:v>
      </x:c>
      <x:c r="I19" s="5" t="n">
        <x:v>28</x:v>
      </x:c>
      <x:c r="J19" s="5" t="str">
        <x:v>核心酯与含硫、降异戊二烯及酚类调节</x:v>
      </x:c>
    </x:row>
    <x:row r="20" ht="25" customHeight="1">
      <x:c r="A20" s="5" t="str">
        <x:v>G06</x:v>
      </x:c>
      <x:c r="B20" s="5" t="str">
        <x:v>BBD：24边点+3中心</x:v>
      </x:c>
      <x:c r="C20" s="5" t="str">
        <x:v>丁酸乙酯</x:v>
      </x:c>
      <x:c r="D20" s="5" t="str">
        <x:v>2-甲基丙醛</x:v>
      </x:c>
      <x:c r="E20" s="5" t="str">
        <x:v>异戊醛</x:v>
      </x:c>
      <x:c r="F20" s="5" t="str">
        <x:v>苯乙醛</x:v>
      </x:c>
      <x:c r="G20" s="5" t="n">
        <x:v>27</x:v>
      </x:c>
      <x:c r="H20" s="5" t="n">
        <x:v>0</x:v>
      </x:c>
      <x:c r="I20" s="5" t="n">
        <x:v>27</x:v>
      </x:c>
      <x:c r="J20" s="5" t="str">
        <x:v>丁酸乙酯与不同醛类组合</x:v>
      </x:c>
    </x:row>
    <x:row r="21" ht="25" customHeight="1">
      <x:c r="A21" s="5" t="str">
        <x:v>G07</x:v>
      </x:c>
      <x:c r="B21" s="5" t="str">
        <x:v>BBD：24边点+3中心</x:v>
      </x:c>
      <x:c r="C21" s="5" t="str">
        <x:v>己酸乙酯</x:v>
      </x:c>
      <x:c r="D21" s="5" t="str">
        <x:v>苯乙酸乙酯</x:v>
      </x:c>
      <x:c r="E21" s="5" t="str">
        <x:v>乙酸异戊酯</x:v>
      </x:c>
      <x:c r="F21" s="5" t="str">
        <x:v>3-苯基丙酸乙酯</x:v>
      </x:c>
      <x:c r="G21" s="5" t="n">
        <x:v>27</x:v>
      </x:c>
      <x:c r="H21" s="5" t="n">
        <x:v>1</x:v>
      </x:c>
      <x:c r="I21" s="5" t="n">
        <x:v>28</x:v>
      </x:c>
      <x:c r="J21" s="5" t="str">
        <x:v>不同芳香酯和果香酯搭配</x:v>
      </x:c>
    </x:row>
    <x:row r="22" ht="25" customHeight="1">
      <x:c r="A22" s="5" t="str">
        <x:v>G08</x:v>
      </x:c>
      <x:c r="B22" s="5" t="str">
        <x:v>BBD：24边点+3中心</x:v>
      </x:c>
      <x:c r="C22" s="5" t="str">
        <x:v>戊酸乙酯</x:v>
      </x:c>
      <x:c r="D22" s="5" t="str">
        <x:v>辛酸</x:v>
      </x:c>
      <x:c r="E22" s="5" t="str">
        <x:v>己酸己酯</x:v>
      </x:c>
      <x:c r="F22" s="5" t="str">
        <x:v>2-甲基丁酸乙酯</x:v>
      </x:c>
      <x:c r="G22" s="5" t="n">
        <x:v>27</x:v>
      </x:c>
      <x:c r="H22" s="5" t="n">
        <x:v>0</x:v>
      </x:c>
      <x:c r="I22" s="5" t="n">
        <x:v>27</x:v>
      </x:c>
      <x:c r="J22" s="5" t="str">
        <x:v>戊酸乙酯、酸与其他酯组合</x:v>
      </x:c>
    </x:row>
    <x:row r="23" ht="25" customHeight="1">
      <x:c r="A23" s="5" t="str">
        <x:v>G09</x:v>
      </x:c>
      <x:c r="B23" s="5" t="str">
        <x:v>BBD：24边点+3中心</x:v>
      </x:c>
      <x:c r="C23" s="5" t="str">
        <x:v>异丁酸乙酯</x:v>
      </x:c>
      <x:c r="D23" s="5" t="str">
        <x:v>乙醛二乙缩醛</x:v>
      </x:c>
      <x:c r="E23" s="5" t="str">
        <x:v>异戊酸乙酯（3-甲基丁酸乙酯）</x:v>
      </x:c>
      <x:c r="F23" s="5" t="str">
        <x:v>己醛</x:v>
      </x:c>
      <x:c r="G23" s="5" t="n">
        <x:v>27</x:v>
      </x:c>
      <x:c r="H23" s="5" t="n">
        <x:v>0</x:v>
      </x:c>
      <x:c r="I23" s="5" t="n">
        <x:v>27</x:v>
      </x:c>
      <x:c r="J23" s="5" t="str">
        <x:v>支链酯与乙缩醛、己醛组合</x:v>
      </x:c>
    </x:row>
    <x:row r="24" ht="25" customHeight="1">
      <x:c r="A24" s="5" t="str">
        <x:v>G10</x:v>
      </x:c>
      <x:c r="B24" s="5" t="str">
        <x:v>BBD：24边点+3中心</x:v>
      </x:c>
      <x:c r="C24" s="5" t="str">
        <x:v>辛酸乙酯</x:v>
      </x:c>
      <x:c r="D24" s="5" t="str">
        <x:v>对甲酚</x:v>
      </x:c>
      <x:c r="E24" s="5" t="str">
        <x:v>苯乙醛</x:v>
      </x:c>
      <x:c r="F24" s="5" t="str">
        <x:v>β-大马酮</x:v>
      </x:c>
      <x:c r="G24" s="5" t="n">
        <x:v>27</x:v>
      </x:c>
      <x:c r="H24" s="5" t="n">
        <x:v>0</x:v>
      </x:c>
      <x:c r="I24" s="5" t="n">
        <x:v>27</x:v>
      </x:c>
      <x:c r="J24" s="5" t="str">
        <x:v>辛酸乙酯与跨类别物质组合</x:v>
      </x:c>
    </x:row>
    <x:row r="25" ht="25" customHeight="1">
      <x:c r="A25" s="5" t="str">
        <x:v>G11</x:v>
      </x:c>
      <x:c r="B25" s="5" t="str">
        <x:v>两水平：16全因子+2重复</x:v>
      </x:c>
      <x:c r="C25" s="5" t="str">
        <x:v>乙酸</x:v>
      </x:c>
      <x:c r="D25" s="5" t="str">
        <x:v>丁酸</x:v>
      </x:c>
      <x:c r="E25" s="5" t="str">
        <x:v>异丁酸</x:v>
      </x:c>
      <x:c r="F25" s="5" t="str">
        <x:v>异丁醇</x:v>
      </x:c>
      <x:c r="G25" s="5" t="n">
        <x:v>18</x:v>
      </x:c>
      <x:c r="H25" s="5" t="n">
        <x:v>0</x:v>
      </x:c>
      <x:c r="I25" s="5" t="n">
        <x:v>18</x:v>
      </x:c>
      <x:c r="J25" s="5" t="str">
        <x:v>移出低平均OAV物质后，以仍属两水平的物质替换；非PCA优化分组</x:v>
      </x:c>
    </x:row>
    <x:row r="26" ht="25" customHeight="1">
      <x:c r="A26" s="5" t="str">
        <x:v>G12</x:v>
      </x:c>
      <x:c r="B26" s="5" t="str">
        <x:v>两水平：16全因子+2重复</x:v>
      </x:c>
      <x:c r="C26" s="5" t="str">
        <x:v>乙酸</x:v>
      </x:c>
      <x:c r="D26" s="5" t="str">
        <x:v>异丁醇</x:v>
      </x:c>
      <x:c r="E26" s="5" t="str">
        <x:v>1-己醇</x:v>
      </x:c>
      <x:c r="F26" s="5" t="str">
        <x:v>1-辛醇</x:v>
      </x:c>
      <x:c r="G26" s="5" t="n">
        <x:v>18</x:v>
      </x:c>
      <x:c r="H26" s="5" t="n">
        <x:v>0</x:v>
      </x:c>
      <x:c r="I26" s="5" t="n">
        <x:v>18</x:v>
      </x:c>
      <x:c r="J26" s="5" t="str">
        <x:v>移出低平均OAV物质后，以仍属两水平的物质替换；非PCA优化分组</x:v>
      </x:c>
    </x:row>
    <x:row r="27" ht="25" customHeight="1">
      <x:c r="A27" s="5" t="str">
        <x:v>G13</x:v>
      </x:c>
      <x:c r="B27" s="5" t="str">
        <x:v>两水平：16全因子+2重复</x:v>
      </x:c>
      <x:c r="C27" s="5" t="str">
        <x:v>乙酸乙酯</x:v>
      </x:c>
      <x:c r="D27" s="5" t="str">
        <x:v>乙酸苯乙酯</x:v>
      </x:c>
      <x:c r="E27" s="5" t="str">
        <x:v>4-乙基苯酚</x:v>
      </x:c>
      <x:c r="F27" s="5" t="str">
        <x:v>乙酸丁酯</x:v>
      </x:c>
      <x:c r="G27" s="5" t="n">
        <x:v>18</x:v>
      </x:c>
      <x:c r="H27" s="5" t="n">
        <x:v>0</x:v>
      </x:c>
      <x:c r="I27" s="5" t="n">
        <x:v>18</x:v>
      </x:c>
      <x:c r="J27" s="5" t="str">
        <x:v>两水平：酯类与酚类组合</x:v>
      </x:c>
    </x:row>
    <x:row r="28" ht="25" customHeight="1">
      <x:c r="A28" s="5" t="str">
        <x:v>G14</x:v>
      </x:c>
      <x:c r="B28" s="5" t="str">
        <x:v>两水平：16全因子+2重复</x:v>
      </x:c>
      <x:c r="C28" s="5" t="str">
        <x:v>丁酸异戊酯</x:v>
      </x:c>
      <x:c r="D28" s="5" t="str">
        <x:v>庚酸乙酯</x:v>
      </x:c>
      <x:c r="E28" s="5" t="str">
        <x:v>癸酸乙酯</x:v>
      </x:c>
      <x:c r="F28" s="5" t="str">
        <x:v>己酸丁酯</x:v>
      </x:c>
      <x:c r="G28" s="5" t="n">
        <x:v>18</x:v>
      </x:c>
      <x:c r="H28" s="5" t="n">
        <x:v>0</x:v>
      </x:c>
      <x:c r="I28" s="5" t="n">
        <x:v>18</x:v>
      </x:c>
      <x:c r="J28" s="5" t="str">
        <x:v>两水平：不同链长酯类组合</x:v>
      </x:c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 ht="25" customHeight="1">
      <x:c r="A30" s="5" t="str">
        <x:v>使用前说明</x:v>
      </x:c>
      <x:c r="B30" s="5" t="str">
        <x:v>内容</x:v>
      </x:c>
      <x:c r="C30" s="5"/>
      <x:c r="D30" s="5"/>
      <x:c r="E30" s="5"/>
      <x:c r="F30" s="5"/>
      <x:c r="G30" s="5"/>
      <x:c r="H30" s="5"/>
      <x:c r="I30" s="5"/>
      <x:c r="J30" s="5"/>
    </x:row>
    <x:row r="31" ht="44" customHeight="1">
      <x:c r="A31" s="5" t="str">
        <x:v>范围</x:v>
      </x:c>
      <x:c r="B31" s="12" t="str">
        <x:v>350次仍为270 BBD+72两水平+4验证+4基底对照；不是350种不同配方。</x:v>
      </x:c>
      <x:c r="C31" s="5"/>
      <x:c r="D31" s="5"/>
      <x:c r="E31" s="5"/>
      <x:c r="F31" s="5"/>
      <x:c r="G31" s="5"/>
      <x:c r="H31" s="5"/>
      <x:c r="I31" s="5"/>
      <x:c r="J31" s="5"/>
    </x:row>
    <x:row r="32" ht="44" customHeight="1">
      <x:c r="A32" s="5" t="str">
        <x:v>基底</x:v>
      </x:c>
      <x:c r="B32" s="12" t="str">
        <x:v>1-丙醇、异戊醇按各自原始浓度算术均值，固定加入全部样品。</x:v>
      </x:c>
      <x:c r="C32" s="5"/>
      <x:c r="D32" s="5"/>
      <x:c r="E32" s="5"/>
      <x:c r="F32" s="5"/>
      <x:c r="G32" s="5"/>
      <x:c r="H32" s="5"/>
      <x:c r="I32" s="5"/>
      <x:c r="J32" s="5"/>
    </x:row>
    <x:row r="33" ht="44" customHeight="1">
      <x:c r="A33" s="5" t="str">
        <x:v>变量替换</x:v>
      </x:c>
      <x:c r="B33" s="12" t="str">
        <x:v>G11异戊醇→异丁醇；G12 1-丙醇→乙酸；其他可变组成保持。</x:v>
      </x:c>
      <x:c r="C33" s="5"/>
      <x:c r="D33" s="5"/>
      <x:c r="E33" s="5"/>
      <x:c r="F33" s="5"/>
      <x:c r="G33" s="5"/>
      <x:c r="H33" s="5"/>
      <x:c r="I33" s="5"/>
      <x:c r="J33" s="5"/>
    </x:row>
    <x:row r="34" ht="44" customHeight="1">
      <x:c r="A34" s="5" t="str">
        <x:v>档位</x:v>
      </x:c>
      <x:c r="B34" s="12" t="str">
        <x:v>变量仍沿用中位OAV的三档/两档规则；平均OAV只用于判定是否转入基底。</x:v>
      </x:c>
      <x:c r="C34" s="5"/>
      <x:c r="D34" s="5"/>
      <x:c r="E34" s="5"/>
      <x:c r="F34" s="5"/>
      <x:c r="G34" s="5"/>
      <x:c r="H34" s="5"/>
      <x:c r="I34" s="5"/>
      <x:c r="J34" s="5"/>
    </x:row>
    <x:row r="35" ht="44" customHeight="1">
      <x:c r="A35" s="5" t="str">
        <x:v>浓度</x:v>
      </x:c>
      <x:c r="B35" s="12" t="str">
        <x:v>三档L暂按2×阈值，M中位值、H最大值；未自动提高中档。</x:v>
      </x:c>
      <x:c r="C35" s="5"/>
      <x:c r="D35" s="5"/>
      <x:c r="E35" s="5"/>
      <x:c r="F35" s="5"/>
      <x:c r="G35" s="5"/>
      <x:c r="H35" s="5"/>
      <x:c r="I35" s="5"/>
      <x:c r="J35" s="5"/>
    </x:row>
    <x:row r="36" ht="44" customHeight="1">
      <x:c r="A36" s="5" t="str">
        <x:v>模型</x:v>
      </x:c>
      <x:c r="B36" s="12" t="str">
        <x:v>G11/G12替换后仍为满秩两水平全因子；基底固定，不能估计其独立效应。其余模型检查沿用原草案。</x:v>
      </x:c>
      <x:c r="C36" s="5"/>
      <x:c r="D36" s="5"/>
      <x:c r="E36" s="5"/>
      <x:c r="F36" s="5"/>
      <x:c r="G36" s="5"/>
      <x:c r="H36" s="5"/>
      <x:c r="I36" s="5"/>
      <x:c r="J36" s="5"/>
    </x:row>
    <x:row r="37" ht="44" customHeight="1">
      <x:c r="A37" s="5" t="str">
        <x:v>总体积</x:v>
      </x:c>
      <x:c r="B37" s="12" t="str">
        <x:v>每瓶体积在固定基底B4修改；350次设计的变量质量和基底质量均联动。</x:v>
      </x:c>
      <x:c r="C37" s="5"/>
      <x:c r="D37" s="5"/>
      <x:c r="E37" s="5"/>
      <x:c r="F37" s="5"/>
      <x:c r="G37" s="5"/>
      <x:c r="H37" s="5"/>
      <x:c r="I37" s="5"/>
      <x:c r="J37" s="5"/>
    </x:row>
    <x:row r="38" ht="44" customHeight="1">
      <x:c r="A38" s="5" t="str">
        <x:v>来源</x:v>
      </x:c>
      <x:c r="B38" s="12" t="str">
        <x:v>平均值取113浓度列的非空算术均值，真实零计入；周表阈值不变。全库62行低于1不等于本轮全加入。</x:v>
      </x:c>
      <x:c r="C38" s="5"/>
      <x:c r="D38" s="5"/>
      <x:c r="E38" s="5"/>
      <x:c r="F38" s="5"/>
      <x:c r="G38" s="5"/>
      <x:c r="H38" s="5"/>
      <x:c r="I38" s="5"/>
      <x:c r="J3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 t="str">
        <x:v>350次：所有样品含固定基底；普通样品另有4种可变物质。基底浓度为均值，L仍待校准。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42" customHeight="1">
      <x:c r="A5" s="9" t="str">
        <x:v>样本ID</x:v>
      </x:c>
      <x:c r="B5" s="9" t="str">
        <x:v>组别</x:v>
      </x:c>
      <x:c r="C5" s="9" t="str">
        <x:v>方法</x:v>
      </x:c>
      <x:c r="D5" s="9" t="str">
        <x:v>用途</x:v>
      </x:c>
      <x:c r="E5" s="9" t="str">
        <x:v>点位类型</x:v>
      </x:c>
      <x:c r="F5" s="9" t="str">
        <x:v>重复对应ID</x:v>
      </x:c>
      <x:c r="G5" s="9" t="str">
        <x:v>物质A</x:v>
      </x:c>
      <x:c r="H5" s="9" t="str">
        <x:v>物质B</x:v>
      </x:c>
      <x:c r="I5" s="9" t="str">
        <x:v>物质C</x:v>
      </x:c>
      <x:c r="J5" s="9" t="str">
        <x:v>物质D</x:v>
      </x:c>
      <x:c r="K5" s="9" t="str">
        <x:v>A水平</x:v>
      </x:c>
      <x:c r="L5" s="9" t="str">
        <x:v>B水平</x:v>
      </x:c>
      <x:c r="M5" s="9" t="str">
        <x:v>C水平</x:v>
      </x:c>
      <x:c r="N5" s="9" t="str">
        <x:v>D水平</x:v>
      </x:c>
      <x:c r="O5" s="9" t="str">
        <x:v>A浓度μg/L</x:v>
      </x:c>
      <x:c r="P5" s="9" t="str">
        <x:v>B浓度μg/L</x:v>
      </x:c>
      <x:c r="Q5" s="9" t="str">
        <x:v>C浓度μg/L</x:v>
      </x:c>
      <x:c r="R5" s="9" t="str">
        <x:v>D浓度μg/L</x:v>
      </x:c>
      <x:c r="S5" s="9" t="str">
        <x:v>A的OAV</x:v>
      </x:c>
      <x:c r="T5" s="9" t="str">
        <x:v>B的OAV</x:v>
      </x:c>
      <x:c r="U5" s="9" t="str">
        <x:v>C的OAV</x:v>
      </x:c>
      <x:c r="V5" s="9" t="str">
        <x:v>D的OAV</x:v>
      </x:c>
      <x:c r="W5" s="9" t="str">
        <x:v>20mL中A质量μg</x:v>
      </x:c>
      <x:c r="X5" s="9" t="str">
        <x:v>20mL中B质量μg</x:v>
      </x:c>
      <x:c r="Y5" s="9" t="str">
        <x:v>20mL中C质量μg</x:v>
      </x:c>
      <x:c r="Z5" s="9" t="str">
        <x:v>20mL中D质量μg</x:v>
      </x:c>
      <x:c r="AA5" s="14" t="str">
        <x:v>基底1-丙醇μg/L</x:v>
      </x:c>
      <x:c r="AB5" s="14" t="str">
        <x:v>基底异戊醇μg/L</x:v>
      </x:c>
      <x:c r="AC5" s="14" t="str">
        <x:v>每瓶基底1-丙醇μg</x:v>
      </x:c>
      <x:c r="AD5" s="14" t="str">
        <x:v>每瓶基底异戊醇μg</x:v>
      </x:c>
    </x:row>
    <x:row r="6" ht="25" customHeight="1">
      <x:c r="A6" s="5" t="str">
        <x:v>G01-01</x:v>
      </x:c>
      <x:c r="B6" s="5" t="str">
        <x:v>G01</x:v>
      </x:c>
      <x:c r="C6" s="5" t="str">
        <x:v>BBD</x:v>
      </x:c>
      <x:c r="D6" s="5" t="str">
        <x:v>拟合</x:v>
      </x:c>
      <x:c r="E6" s="5" t="str">
        <x:v>边点</x:v>
      </x:c>
      <x:c r="F6" s="5" t="str"/>
      <x:c r="G6" s="5" t="str">
        <x:v>己酸乙酯</x:v>
      </x:c>
      <x:c r="H6" s="5" t="str">
        <x:v>丁酸乙酯</x:v>
      </x:c>
      <x:c r="I6" s="5" t="str">
        <x:v>异丁酸乙酯</x:v>
      </x:c>
      <x:c r="J6" s="5" t="str">
        <x:v>戊酸乙酯</x:v>
      </x:c>
      <x:c r="K6" s="5" t="str">
        <x:v>L</x:v>
      </x:c>
      <x:c r="L6" s="5" t="str">
        <x:v>L</x:v>
      </x:c>
      <x:c r="M6" s="5" t="str">
        <x:v>M</x:v>
      </x:c>
      <x:c r="N6" s="5" t="str">
        <x:v>M</x:v>
      </x:c>
      <x:c r="O6" s="6" t="n">
        <x:f>'浓度水平'!F31</x:f>
        <x:v>110.6</x:v>
      </x:c>
      <x:c r="P6" s="6" t="n">
        <x:f>'浓度水平'!F16</x:f>
        <x:v>163</x:v>
      </x:c>
      <x:c r="Q6" s="6" t="n">
        <x:f>'浓度水平'!G13</x:f>
        <x:v>2894.4</x:v>
      </x:c>
      <x:c r="R6" s="6" t="n">
        <x:f>'浓度水平'!G38</x:f>
        <x:v>6665</x:v>
      </x:c>
      <x:c r="S6" s="6" t="n">
        <x:f>O6/'浓度水平'!E31</x:f>
        <x:v>2</x:v>
      </x:c>
      <x:c r="T6" s="6" t="n">
        <x:f>P6/'浓度水平'!E16</x:f>
        <x:v>2</x:v>
      </x:c>
      <x:c r="U6" s="6" t="n">
        <x:f>Q6/'浓度水平'!E13</x:f>
        <x:v>50.337391304347825</x:v>
      </x:c>
      <x:c r="V6" s="6" t="n">
        <x:f>R6/'浓度水平'!E38</x:f>
        <x:v>248.69402985074626</x:v>
      </x:c>
      <x:c r="W6" s="6" t="n">
        <x:f>O6*'固定基底'!$B$4/1000</x:f>
        <x:v>2.212</x:v>
      </x:c>
      <x:c r="X6" s="6" t="n">
        <x:f>P6*'固定基底'!$B$4/1000</x:f>
        <x:v>3.26</x:v>
      </x:c>
      <x:c r="Y6" s="6" t="n">
        <x:f>Q6*'固定基底'!$B$4/1000</x:f>
        <x:v>57.888</x:v>
      </x:c>
      <x:c r="Z6" s="6" t="n">
        <x:f>R6*'固定基底'!$B$4/1000</x:f>
        <x:v>133.3</x:v>
      </x:c>
      <x:c r="AA6" s="2" t="n">
        <x:f>'固定基底'!$C$7</x:f>
        <x:v>92796.92267241378</x:v>
      </x:c>
      <x:c r="AB6" s="2" t="n">
        <x:f>'固定基底'!$C$8</x:f>
        <x:v>104175.5097553192</x:v>
      </x:c>
      <x:c r="AC6" s="2" t="n">
        <x:f>'固定基底'!$E$7</x:f>
        <x:v>1855.9384534482756</x:v>
      </x:c>
      <x:c r="AD6" s="2" t="n">
        <x:f>'固定基底'!$E$8</x:f>
        <x:v>2083.510195106384</x:v>
      </x:c>
    </x:row>
    <x:row r="7" ht="25" customHeight="1">
      <x:c r="A7" s="5" t="str">
        <x:v>G01-02</x:v>
      </x:c>
      <x:c r="B7" s="5" t="str">
        <x:v>G01</x:v>
      </x:c>
      <x:c r="C7" s="5" t="str">
        <x:v>BBD</x:v>
      </x:c>
      <x:c r="D7" s="5" t="str">
        <x:v>拟合</x:v>
      </x:c>
      <x:c r="E7" s="5" t="str">
        <x:v>边点</x:v>
      </x:c>
      <x:c r="F7" s="5" t="str"/>
      <x:c r="G7" s="5" t="str">
        <x:v>己酸乙酯</x:v>
      </x:c>
      <x:c r="H7" s="5" t="str">
        <x:v>丁酸乙酯</x:v>
      </x:c>
      <x:c r="I7" s="5" t="str">
        <x:v>异丁酸乙酯</x:v>
      </x:c>
      <x:c r="J7" s="5" t="str">
        <x:v>戊酸乙酯</x:v>
      </x:c>
      <x:c r="K7" s="5" t="str">
        <x:v>L</x:v>
      </x:c>
      <x:c r="L7" s="5" t="str">
        <x:v>H</x:v>
      </x:c>
      <x:c r="M7" s="5" t="str">
        <x:v>M</x:v>
      </x:c>
      <x:c r="N7" s="5" t="str">
        <x:v>M</x:v>
      </x:c>
      <x:c r="O7" s="6" t="n">
        <x:f>'浓度水平'!F31</x:f>
        <x:v>110.6</x:v>
      </x:c>
      <x:c r="P7" s="6" t="n">
        <x:f>'浓度水平'!H16</x:f>
        <x:v>1290235</x:v>
      </x:c>
      <x:c r="Q7" s="6" t="n">
        <x:f>'浓度水平'!G13</x:f>
        <x:v>2894.4</x:v>
      </x:c>
      <x:c r="R7" s="6" t="n">
        <x:f>'浓度水平'!G38</x:f>
        <x:v>6665</x:v>
      </x:c>
      <x:c r="S7" s="6" t="n">
        <x:f>O7/'浓度水平'!E31</x:f>
        <x:v>2</x:v>
      </x:c>
      <x:c r="T7" s="6" t="n">
        <x:f>P7/'浓度水平'!E16</x:f>
        <x:v>15831.104294478528</x:v>
      </x:c>
      <x:c r="U7" s="6" t="n">
        <x:f>Q7/'浓度水平'!E13</x:f>
        <x:v>50.337391304347825</x:v>
      </x:c>
      <x:c r="V7" s="6" t="n">
        <x:f>R7/'浓度水平'!E38</x:f>
        <x:v>248.69402985074626</x:v>
      </x:c>
      <x:c r="W7" s="6" t="n">
        <x:f>O7*'固定基底'!$B$4/1000</x:f>
        <x:v>2.212</x:v>
      </x:c>
      <x:c r="X7" s="6" t="n">
        <x:f>P7*'固定基底'!$B$4/1000</x:f>
        <x:v>25804.7</x:v>
      </x:c>
      <x:c r="Y7" s="6" t="n">
        <x:f>Q7*'固定基底'!$B$4/1000</x:f>
        <x:v>57.888</x:v>
      </x:c>
      <x:c r="Z7" s="6" t="n">
        <x:f>R7*'固定基底'!$B$4/1000</x:f>
        <x:v>133.3</x:v>
      </x:c>
      <x:c r="AA7" s="2" t="n">
        <x:f>'固定基底'!$C$7</x:f>
        <x:v>92796.92267241378</x:v>
      </x:c>
      <x:c r="AB7" s="2" t="n">
        <x:f>'固定基底'!$C$8</x:f>
        <x:v>104175.5097553192</x:v>
      </x:c>
      <x:c r="AC7" s="2" t="n">
        <x:f>'固定基底'!$E$7</x:f>
        <x:v>1855.9384534482756</x:v>
      </x:c>
      <x:c r="AD7" s="2" t="n">
        <x:f>'固定基底'!$E$8</x:f>
        <x:v>2083.510195106384</x:v>
      </x:c>
    </x:row>
    <x:row r="8" ht="25" customHeight="1">
      <x:c r="A8" s="5" t="str">
        <x:v>G01-03</x:v>
      </x:c>
      <x:c r="B8" s="5" t="str">
        <x:v>G01</x:v>
      </x:c>
      <x:c r="C8" s="5" t="str">
        <x:v>BBD</x:v>
      </x:c>
      <x:c r="D8" s="5" t="str">
        <x:v>拟合</x:v>
      </x:c>
      <x:c r="E8" s="5" t="str">
        <x:v>边点</x:v>
      </x:c>
      <x:c r="F8" s="5" t="str"/>
      <x:c r="G8" s="5" t="str">
        <x:v>己酸乙酯</x:v>
      </x:c>
      <x:c r="H8" s="5" t="str">
        <x:v>丁酸乙酯</x:v>
      </x:c>
      <x:c r="I8" s="5" t="str">
        <x:v>异丁酸乙酯</x:v>
      </x:c>
      <x:c r="J8" s="5" t="str">
        <x:v>戊酸乙酯</x:v>
      </x:c>
      <x:c r="K8" s="5" t="str">
        <x:v>H</x:v>
      </x:c>
      <x:c r="L8" s="5" t="str">
        <x:v>L</x:v>
      </x:c>
      <x:c r="M8" s="5" t="str">
        <x:v>M</x:v>
      </x:c>
      <x:c r="N8" s="5" t="str">
        <x:v>M</x:v>
      </x:c>
      <x:c r="O8" s="6" t="n">
        <x:f>'浓度水平'!H31</x:f>
        <x:v>9622120</x:v>
      </x:c>
      <x:c r="P8" s="6" t="n">
        <x:f>'浓度水平'!F16</x:f>
        <x:v>163</x:v>
      </x:c>
      <x:c r="Q8" s="6" t="n">
        <x:f>'浓度水平'!G13</x:f>
        <x:v>2894.4</x:v>
      </x:c>
      <x:c r="R8" s="6" t="n">
        <x:f>'浓度水平'!G38</x:f>
        <x:v>6665</x:v>
      </x:c>
      <x:c r="S8" s="6" t="n">
        <x:f>O8/'浓度水平'!E31</x:f>
        <x:v>173998.5533453888</x:v>
      </x:c>
      <x:c r="T8" s="6" t="n">
        <x:f>P8/'浓度水平'!E16</x:f>
        <x:v>2</x:v>
      </x:c>
      <x:c r="U8" s="6" t="n">
        <x:f>Q8/'浓度水平'!E13</x:f>
        <x:v>50.337391304347825</x:v>
      </x:c>
      <x:c r="V8" s="6" t="n">
        <x:f>R8/'浓度水平'!E38</x:f>
        <x:v>248.69402985074626</x:v>
      </x:c>
      <x:c r="W8" s="6" t="n">
        <x:f>O8*'固定基底'!$B$4/1000</x:f>
        <x:v>192442.4</x:v>
      </x:c>
      <x:c r="X8" s="6" t="n">
        <x:f>P8*'固定基底'!$B$4/1000</x:f>
        <x:v>3.26</x:v>
      </x:c>
      <x:c r="Y8" s="6" t="n">
        <x:f>Q8*'固定基底'!$B$4/1000</x:f>
        <x:v>57.888</x:v>
      </x:c>
      <x:c r="Z8" s="6" t="n">
        <x:f>R8*'固定基底'!$B$4/1000</x:f>
        <x:v>133.3</x:v>
      </x:c>
      <x:c r="AA8" s="2" t="n">
        <x:f>'固定基底'!$C$7</x:f>
        <x:v>92796.92267241378</x:v>
      </x:c>
      <x:c r="AB8" s="2" t="n">
        <x:f>'固定基底'!$C$8</x:f>
        <x:v>104175.5097553192</x:v>
      </x:c>
      <x:c r="AC8" s="2" t="n">
        <x:f>'固定基底'!$E$7</x:f>
        <x:v>1855.9384534482756</x:v>
      </x:c>
      <x:c r="AD8" s="2" t="n">
        <x:f>'固定基底'!$E$8</x:f>
        <x:v>2083.510195106384</x:v>
      </x:c>
    </x:row>
    <x:row r="9" ht="25" customHeight="1">
      <x:c r="A9" s="5" t="str">
        <x:v>G01-04</x:v>
      </x:c>
      <x:c r="B9" s="5" t="str">
        <x:v>G01</x:v>
      </x:c>
      <x:c r="C9" s="5" t="str">
        <x:v>BBD</x:v>
      </x:c>
      <x:c r="D9" s="5" t="str">
        <x:v>拟合</x:v>
      </x:c>
      <x:c r="E9" s="5" t="str">
        <x:v>边点</x:v>
      </x:c>
      <x:c r="F9" s="5" t="str"/>
      <x:c r="G9" s="5" t="str">
        <x:v>己酸乙酯</x:v>
      </x:c>
      <x:c r="H9" s="5" t="str">
        <x:v>丁酸乙酯</x:v>
      </x:c>
      <x:c r="I9" s="5" t="str">
        <x:v>异丁酸乙酯</x:v>
      </x:c>
      <x:c r="J9" s="5" t="str">
        <x:v>戊酸乙酯</x:v>
      </x:c>
      <x:c r="K9" s="5" t="str">
        <x:v>H</x:v>
      </x:c>
      <x:c r="L9" s="5" t="str">
        <x:v>H</x:v>
      </x:c>
      <x:c r="M9" s="5" t="str">
        <x:v>M</x:v>
      </x:c>
      <x:c r="N9" s="5" t="str">
        <x:v>M</x:v>
      </x:c>
      <x:c r="O9" s="6" t="n">
        <x:f>'浓度水平'!H31</x:f>
        <x:v>9622120</x:v>
      </x:c>
      <x:c r="P9" s="6" t="n">
        <x:f>'浓度水平'!H16</x:f>
        <x:v>1290235</x:v>
      </x:c>
      <x:c r="Q9" s="6" t="n">
        <x:f>'浓度水平'!G13</x:f>
        <x:v>2894.4</x:v>
      </x:c>
      <x:c r="R9" s="6" t="n">
        <x:f>'浓度水平'!G38</x:f>
        <x:v>6665</x:v>
      </x:c>
      <x:c r="S9" s="6" t="n">
        <x:f>O9/'浓度水平'!E31</x:f>
        <x:v>173998.5533453888</x:v>
      </x:c>
      <x:c r="T9" s="6" t="n">
        <x:f>P9/'浓度水平'!E16</x:f>
        <x:v>15831.104294478528</x:v>
      </x:c>
      <x:c r="U9" s="6" t="n">
        <x:f>Q9/'浓度水平'!E13</x:f>
        <x:v>50.337391304347825</x:v>
      </x:c>
      <x:c r="V9" s="6" t="n">
        <x:f>R9/'浓度水平'!E38</x:f>
        <x:v>248.69402985074626</x:v>
      </x:c>
      <x:c r="W9" s="6" t="n">
        <x:f>O9*'固定基底'!$B$4/1000</x:f>
        <x:v>192442.4</x:v>
      </x:c>
      <x:c r="X9" s="6" t="n">
        <x:f>P9*'固定基底'!$B$4/1000</x:f>
        <x:v>25804.7</x:v>
      </x:c>
      <x:c r="Y9" s="6" t="n">
        <x:f>Q9*'固定基底'!$B$4/1000</x:f>
        <x:v>57.888</x:v>
      </x:c>
      <x:c r="Z9" s="6" t="n">
        <x:f>R9*'固定基底'!$B$4/1000</x:f>
        <x:v>133.3</x:v>
      </x:c>
      <x:c r="AA9" s="2" t="n">
        <x:f>'固定基底'!$C$7</x:f>
        <x:v>92796.92267241378</x:v>
      </x:c>
      <x:c r="AB9" s="2" t="n">
        <x:f>'固定基底'!$C$8</x:f>
        <x:v>104175.5097553192</x:v>
      </x:c>
      <x:c r="AC9" s="2" t="n">
        <x:f>'固定基底'!$E$7</x:f>
        <x:v>1855.9384534482756</x:v>
      </x:c>
      <x:c r="AD9" s="2" t="n">
        <x:f>'固定基底'!$E$8</x:f>
        <x:v>2083.510195106384</x:v>
      </x:c>
    </x:row>
    <x:row r="10" ht="25" customHeight="1">
      <x:c r="A10" s="5" t="str">
        <x:v>G01-05</x:v>
      </x:c>
      <x:c r="B10" s="5" t="str">
        <x:v>G01</x:v>
      </x:c>
      <x:c r="C10" s="5" t="str">
        <x:v>BBD</x:v>
      </x:c>
      <x:c r="D10" s="5" t="str">
        <x:v>拟合</x:v>
      </x:c>
      <x:c r="E10" s="5" t="str">
        <x:v>边点</x:v>
      </x:c>
      <x:c r="F10" s="5" t="str"/>
      <x:c r="G10" s="5" t="str">
        <x:v>己酸乙酯</x:v>
      </x:c>
      <x:c r="H10" s="5" t="str">
        <x:v>丁酸乙酯</x:v>
      </x:c>
      <x:c r="I10" s="5" t="str">
        <x:v>异丁酸乙酯</x:v>
      </x:c>
      <x:c r="J10" s="5" t="str">
        <x:v>戊酸乙酯</x:v>
      </x:c>
      <x:c r="K10" s="5" t="str">
        <x:v>L</x:v>
      </x:c>
      <x:c r="L10" s="5" t="str">
        <x:v>M</x:v>
      </x:c>
      <x:c r="M10" s="5" t="str">
        <x:v>L</x:v>
      </x:c>
      <x:c r="N10" s="5" t="str">
        <x:v>M</x:v>
      </x:c>
      <x:c r="O10" s="6" t="n">
        <x:f>'浓度水平'!F31</x:f>
        <x:v>110.6</x:v>
      </x:c>
      <x:c r="P10" s="6" t="n">
        <x:f>'浓度水平'!G16</x:f>
        <x:v>11516</x:v>
      </x:c>
      <x:c r="Q10" s="6" t="n">
        <x:f>'浓度水平'!F13</x:f>
        <x:v>115</x:v>
      </x:c>
      <x:c r="R10" s="6" t="n">
        <x:f>'浓度水平'!G38</x:f>
        <x:v>6665</x:v>
      </x:c>
      <x:c r="S10" s="6" t="n">
        <x:f>O10/'浓度水平'!E31</x:f>
        <x:v>2</x:v>
      </x:c>
      <x:c r="T10" s="6" t="n">
        <x:f>P10/'浓度水平'!E16</x:f>
        <x:v>141.30061349693253</x:v>
      </x:c>
      <x:c r="U10" s="6" t="n">
        <x:f>Q10/'浓度水平'!E13</x:f>
        <x:v>2</x:v>
      </x:c>
      <x:c r="V10" s="6" t="n">
        <x:f>R10/'浓度水平'!E38</x:f>
        <x:v>248.69402985074626</x:v>
      </x:c>
      <x:c r="W10" s="6" t="n">
        <x:f>O10*'固定基底'!$B$4/1000</x:f>
        <x:v>2.212</x:v>
      </x:c>
      <x:c r="X10" s="6" t="n">
        <x:f>P10*'固定基底'!$B$4/1000</x:f>
        <x:v>230.32</x:v>
      </x:c>
      <x:c r="Y10" s="6" t="n">
        <x:f>Q10*'固定基底'!$B$4/1000</x:f>
        <x:v>2.3</x:v>
      </x:c>
      <x:c r="Z10" s="6" t="n">
        <x:f>R10*'固定基底'!$B$4/1000</x:f>
        <x:v>133.3</x:v>
      </x:c>
      <x:c r="AA10" s="2" t="n">
        <x:f>'固定基底'!$C$7</x:f>
        <x:v>92796.92267241378</x:v>
      </x:c>
      <x:c r="AB10" s="2" t="n">
        <x:f>'固定基底'!$C$8</x:f>
        <x:v>104175.5097553192</x:v>
      </x:c>
      <x:c r="AC10" s="2" t="n">
        <x:f>'固定基底'!$E$7</x:f>
        <x:v>1855.9384534482756</x:v>
      </x:c>
      <x:c r="AD10" s="2" t="n">
        <x:f>'固定基底'!$E$8</x:f>
        <x:v>2083.510195106384</x:v>
      </x:c>
    </x:row>
    <x:row r="11" ht="25" customHeight="1">
      <x:c r="A11" s="5" t="str">
        <x:v>G01-06</x:v>
      </x:c>
      <x:c r="B11" s="5" t="str">
        <x:v>G01</x:v>
      </x:c>
      <x:c r="C11" s="5" t="str">
        <x:v>BBD</x:v>
      </x:c>
      <x:c r="D11" s="5" t="str">
        <x:v>拟合</x:v>
      </x:c>
      <x:c r="E11" s="5" t="str">
        <x:v>边点</x:v>
      </x:c>
      <x:c r="F11" s="5" t="str"/>
      <x:c r="G11" s="5" t="str">
        <x:v>己酸乙酯</x:v>
      </x:c>
      <x:c r="H11" s="5" t="str">
        <x:v>丁酸乙酯</x:v>
      </x:c>
      <x:c r="I11" s="5" t="str">
        <x:v>异丁酸乙酯</x:v>
      </x:c>
      <x:c r="J11" s="5" t="str">
        <x:v>戊酸乙酯</x:v>
      </x:c>
      <x:c r="K11" s="5" t="str">
        <x:v>L</x:v>
      </x:c>
      <x:c r="L11" s="5" t="str">
        <x:v>M</x:v>
      </x:c>
      <x:c r="M11" s="5" t="str">
        <x:v>H</x:v>
      </x:c>
      <x:c r="N11" s="5" t="str">
        <x:v>M</x:v>
      </x:c>
      <x:c r="O11" s="6" t="n">
        <x:f>'浓度水平'!F31</x:f>
        <x:v>110.6</x:v>
      </x:c>
      <x:c r="P11" s="6" t="n">
        <x:f>'浓度水平'!G16</x:f>
        <x:v>11516</x:v>
      </x:c>
      <x:c r="Q11" s="6" t="n">
        <x:f>'浓度水平'!H13</x:f>
        <x:v>37489</x:v>
      </x:c>
      <x:c r="R11" s="6" t="n">
        <x:f>'浓度水平'!G38</x:f>
        <x:v>6665</x:v>
      </x:c>
      <x:c r="S11" s="6" t="n">
        <x:f>O11/'浓度水平'!E31</x:f>
        <x:v>2</x:v>
      </x:c>
      <x:c r="T11" s="6" t="n">
        <x:f>P11/'浓度水平'!E16</x:f>
        <x:v>141.30061349693253</x:v>
      </x:c>
      <x:c r="U11" s="6" t="n">
        <x:f>Q11/'浓度水平'!E13</x:f>
        <x:v>651.9826086956522</x:v>
      </x:c>
      <x:c r="V11" s="6" t="n">
        <x:f>R11/'浓度水平'!E38</x:f>
        <x:v>248.69402985074626</x:v>
      </x:c>
      <x:c r="W11" s="6" t="n">
        <x:f>O11*'固定基底'!$B$4/1000</x:f>
        <x:v>2.212</x:v>
      </x:c>
      <x:c r="X11" s="6" t="n">
        <x:f>P11*'固定基底'!$B$4/1000</x:f>
        <x:v>230.32</x:v>
      </x:c>
      <x:c r="Y11" s="6" t="n">
        <x:f>Q11*'固定基底'!$B$4/1000</x:f>
        <x:v>749.78</x:v>
      </x:c>
      <x:c r="Z11" s="6" t="n">
        <x:f>R11*'固定基底'!$B$4/1000</x:f>
        <x:v>133.3</x:v>
      </x:c>
      <x:c r="AA11" s="2" t="n">
        <x:f>'固定基底'!$C$7</x:f>
        <x:v>92796.92267241378</x:v>
      </x:c>
      <x:c r="AB11" s="2" t="n">
        <x:f>'固定基底'!$C$8</x:f>
        <x:v>104175.5097553192</x:v>
      </x:c>
      <x:c r="AC11" s="2" t="n">
        <x:f>'固定基底'!$E$7</x:f>
        <x:v>1855.9384534482756</x:v>
      </x:c>
      <x:c r="AD11" s="2" t="n">
        <x:f>'固定基底'!$E$8</x:f>
        <x:v>2083.510195106384</x:v>
      </x:c>
    </x:row>
    <x:row r="12" ht="25" customHeight="1">
      <x:c r="A12" s="5" t="str">
        <x:v>G01-07</x:v>
      </x:c>
      <x:c r="B12" s="5" t="str">
        <x:v>G01</x:v>
      </x:c>
      <x:c r="C12" s="5" t="str">
        <x:v>BBD</x:v>
      </x:c>
      <x:c r="D12" s="5" t="str">
        <x:v>拟合</x:v>
      </x:c>
      <x:c r="E12" s="5" t="str">
        <x:v>边点</x:v>
      </x:c>
      <x:c r="F12" s="5" t="str"/>
      <x:c r="G12" s="5" t="str">
        <x:v>己酸乙酯</x:v>
      </x:c>
      <x:c r="H12" s="5" t="str">
        <x:v>丁酸乙酯</x:v>
      </x:c>
      <x:c r="I12" s="5" t="str">
        <x:v>异丁酸乙酯</x:v>
      </x:c>
      <x:c r="J12" s="5" t="str">
        <x:v>戊酸乙酯</x:v>
      </x:c>
      <x:c r="K12" s="5" t="str">
        <x:v>H</x:v>
      </x:c>
      <x:c r="L12" s="5" t="str">
        <x:v>M</x:v>
      </x:c>
      <x:c r="M12" s="5" t="str">
        <x:v>L</x:v>
      </x:c>
      <x:c r="N12" s="5" t="str">
        <x:v>M</x:v>
      </x:c>
      <x:c r="O12" s="6" t="n">
        <x:f>'浓度水平'!H31</x:f>
        <x:v>9622120</x:v>
      </x:c>
      <x:c r="P12" s="6" t="n">
        <x:f>'浓度水平'!G16</x:f>
        <x:v>11516</x:v>
      </x:c>
      <x:c r="Q12" s="6" t="n">
        <x:f>'浓度水平'!F13</x:f>
        <x:v>115</x:v>
      </x:c>
      <x:c r="R12" s="6" t="n">
        <x:f>'浓度水平'!G38</x:f>
        <x:v>6665</x:v>
      </x:c>
      <x:c r="S12" s="6" t="n">
        <x:f>O12/'浓度水平'!E31</x:f>
        <x:v>173998.5533453888</x:v>
      </x:c>
      <x:c r="T12" s="6" t="n">
        <x:f>P12/'浓度水平'!E16</x:f>
        <x:v>141.30061349693253</x:v>
      </x:c>
      <x:c r="U12" s="6" t="n">
        <x:f>Q12/'浓度水平'!E13</x:f>
        <x:v>2</x:v>
      </x:c>
      <x:c r="V12" s="6" t="n">
        <x:f>R12/'浓度水平'!E38</x:f>
        <x:v>248.69402985074626</x:v>
      </x:c>
      <x:c r="W12" s="6" t="n">
        <x:f>O12*'固定基底'!$B$4/1000</x:f>
        <x:v>192442.4</x:v>
      </x:c>
      <x:c r="X12" s="6" t="n">
        <x:f>P12*'固定基底'!$B$4/1000</x:f>
        <x:v>230.32</x:v>
      </x:c>
      <x:c r="Y12" s="6" t="n">
        <x:f>Q12*'固定基底'!$B$4/1000</x:f>
        <x:v>2.3</x:v>
      </x:c>
      <x:c r="Z12" s="6" t="n">
        <x:f>R12*'固定基底'!$B$4/1000</x:f>
        <x:v>133.3</x:v>
      </x:c>
      <x:c r="AA12" s="2" t="n">
        <x:f>'固定基底'!$C$7</x:f>
        <x:v>92796.92267241378</x:v>
      </x:c>
      <x:c r="AB12" s="2" t="n">
        <x:f>'固定基底'!$C$8</x:f>
        <x:v>104175.5097553192</x:v>
      </x:c>
      <x:c r="AC12" s="2" t="n">
        <x:f>'固定基底'!$E$7</x:f>
        <x:v>1855.9384534482756</x:v>
      </x:c>
      <x:c r="AD12" s="2" t="n">
        <x:f>'固定基底'!$E$8</x:f>
        <x:v>2083.510195106384</x:v>
      </x:c>
    </x:row>
    <x:row r="13" ht="25" customHeight="1">
      <x:c r="A13" s="5" t="str">
        <x:v>G01-08</x:v>
      </x:c>
      <x:c r="B13" s="5" t="str">
        <x:v>G01</x:v>
      </x:c>
      <x:c r="C13" s="5" t="str">
        <x:v>BBD</x:v>
      </x:c>
      <x:c r="D13" s="5" t="str">
        <x:v>拟合</x:v>
      </x:c>
      <x:c r="E13" s="5" t="str">
        <x:v>边点</x:v>
      </x:c>
      <x:c r="F13" s="5" t="str"/>
      <x:c r="G13" s="5" t="str">
        <x:v>己酸乙酯</x:v>
      </x:c>
      <x:c r="H13" s="5" t="str">
        <x:v>丁酸乙酯</x:v>
      </x:c>
      <x:c r="I13" s="5" t="str">
        <x:v>异丁酸乙酯</x:v>
      </x:c>
      <x:c r="J13" s="5" t="str">
        <x:v>戊酸乙酯</x:v>
      </x:c>
      <x:c r="K13" s="5" t="str">
        <x:v>H</x:v>
      </x:c>
      <x:c r="L13" s="5" t="str">
        <x:v>M</x:v>
      </x:c>
      <x:c r="M13" s="5" t="str">
        <x:v>H</x:v>
      </x:c>
      <x:c r="N13" s="5" t="str">
        <x:v>M</x:v>
      </x:c>
      <x:c r="O13" s="6" t="n">
        <x:f>'浓度水平'!H31</x:f>
        <x:v>9622120</x:v>
      </x:c>
      <x:c r="P13" s="6" t="n">
        <x:f>'浓度水平'!G16</x:f>
        <x:v>11516</x:v>
      </x:c>
      <x:c r="Q13" s="6" t="n">
        <x:f>'浓度水平'!H13</x:f>
        <x:v>37489</x:v>
      </x:c>
      <x:c r="R13" s="6" t="n">
        <x:f>'浓度水平'!G38</x:f>
        <x:v>6665</x:v>
      </x:c>
      <x:c r="S13" s="6" t="n">
        <x:f>O13/'浓度水平'!E31</x:f>
        <x:v>173998.5533453888</x:v>
      </x:c>
      <x:c r="T13" s="6" t="n">
        <x:f>P13/'浓度水平'!E16</x:f>
        <x:v>141.30061349693253</x:v>
      </x:c>
      <x:c r="U13" s="6" t="n">
        <x:f>Q13/'浓度水平'!E13</x:f>
        <x:v>651.9826086956522</x:v>
      </x:c>
      <x:c r="V13" s="6" t="n">
        <x:f>R13/'浓度水平'!E38</x:f>
        <x:v>248.69402985074626</x:v>
      </x:c>
      <x:c r="W13" s="6" t="n">
        <x:f>O13*'固定基底'!$B$4/1000</x:f>
        <x:v>192442.4</x:v>
      </x:c>
      <x:c r="X13" s="6" t="n">
        <x:f>P13*'固定基底'!$B$4/1000</x:f>
        <x:v>230.32</x:v>
      </x:c>
      <x:c r="Y13" s="6" t="n">
        <x:f>Q13*'固定基底'!$B$4/1000</x:f>
        <x:v>749.78</x:v>
      </x:c>
      <x:c r="Z13" s="6" t="n">
        <x:f>R13*'固定基底'!$B$4/1000</x:f>
        <x:v>133.3</x:v>
      </x:c>
      <x:c r="AA13" s="2" t="n">
        <x:f>'固定基底'!$C$7</x:f>
        <x:v>92796.92267241378</x:v>
      </x:c>
      <x:c r="AB13" s="2" t="n">
        <x:f>'固定基底'!$C$8</x:f>
        <x:v>104175.5097553192</x:v>
      </x:c>
      <x:c r="AC13" s="2" t="n">
        <x:f>'固定基底'!$E$7</x:f>
        <x:v>1855.9384534482756</x:v>
      </x:c>
      <x:c r="AD13" s="2" t="n">
        <x:f>'固定基底'!$E$8</x:f>
        <x:v>2083.510195106384</x:v>
      </x:c>
    </x:row>
    <x:row r="14" ht="25" customHeight="1">
      <x:c r="A14" s="5" t="str">
        <x:v>G01-09</x:v>
      </x:c>
      <x:c r="B14" s="5" t="str">
        <x:v>G01</x:v>
      </x:c>
      <x:c r="C14" s="5" t="str">
        <x:v>BBD</x:v>
      </x:c>
      <x:c r="D14" s="5" t="str">
        <x:v>拟合</x:v>
      </x:c>
      <x:c r="E14" s="5" t="str">
        <x:v>边点</x:v>
      </x:c>
      <x:c r="F14" s="5" t="str"/>
      <x:c r="G14" s="5" t="str">
        <x:v>己酸乙酯</x:v>
      </x:c>
      <x:c r="H14" s="5" t="str">
        <x:v>丁酸乙酯</x:v>
      </x:c>
      <x:c r="I14" s="5" t="str">
        <x:v>异丁酸乙酯</x:v>
      </x:c>
      <x:c r="J14" s="5" t="str">
        <x:v>戊酸乙酯</x:v>
      </x:c>
      <x:c r="K14" s="5" t="str">
        <x:v>L</x:v>
      </x:c>
      <x:c r="L14" s="5" t="str">
        <x:v>M</x:v>
      </x:c>
      <x:c r="M14" s="5" t="str">
        <x:v>M</x:v>
      </x:c>
      <x:c r="N14" s="5" t="str">
        <x:v>L</x:v>
      </x:c>
      <x:c r="O14" s="6" t="n">
        <x:f>'浓度水平'!F31</x:f>
        <x:v>110.6</x:v>
      </x:c>
      <x:c r="P14" s="6" t="n">
        <x:f>'浓度水平'!G16</x:f>
        <x:v>11516</x:v>
      </x:c>
      <x:c r="Q14" s="6" t="n">
        <x:f>'浓度水平'!G13</x:f>
        <x:v>2894.4</x:v>
      </x:c>
      <x:c r="R14" s="6" t="n">
        <x:f>'浓度水平'!F38</x:f>
        <x:v>53.6</x:v>
      </x:c>
      <x:c r="S14" s="6" t="n">
        <x:f>O14/'浓度水平'!E31</x:f>
        <x:v>2</x:v>
      </x:c>
      <x:c r="T14" s="6" t="n">
        <x:f>P14/'浓度水平'!E16</x:f>
        <x:v>141.30061349693253</x:v>
      </x:c>
      <x:c r="U14" s="6" t="n">
        <x:f>Q14/'浓度水平'!E13</x:f>
        <x:v>50.337391304347825</x:v>
      </x:c>
      <x:c r="V14" s="6" t="n">
        <x:f>R14/'浓度水平'!E38</x:f>
        <x:v>2</x:v>
      </x:c>
      <x:c r="W14" s="6" t="n">
        <x:f>O14*'固定基底'!$B$4/1000</x:f>
        <x:v>2.212</x:v>
      </x:c>
      <x:c r="X14" s="6" t="n">
        <x:f>P14*'固定基底'!$B$4/1000</x:f>
        <x:v>230.32</x:v>
      </x:c>
      <x:c r="Y14" s="6" t="n">
        <x:f>Q14*'固定基底'!$B$4/1000</x:f>
        <x:v>57.888</x:v>
      </x:c>
      <x:c r="Z14" s="6" t="n">
        <x:f>R14*'固定基底'!$B$4/1000</x:f>
        <x:v>1.072</x:v>
      </x:c>
      <x:c r="AA14" s="2" t="n">
        <x:f>'固定基底'!$C$7</x:f>
        <x:v>92796.92267241378</x:v>
      </x:c>
      <x:c r="AB14" s="2" t="n">
        <x:f>'固定基底'!$C$8</x:f>
        <x:v>104175.5097553192</x:v>
      </x:c>
      <x:c r="AC14" s="2" t="n">
        <x:f>'固定基底'!$E$7</x:f>
        <x:v>1855.9384534482756</x:v>
      </x:c>
      <x:c r="AD14" s="2" t="n">
        <x:f>'固定基底'!$E$8</x:f>
        <x:v>2083.510195106384</x:v>
      </x:c>
    </x:row>
    <x:row r="15" ht="25" customHeight="1">
      <x:c r="A15" s="5" t="str">
        <x:v>G01-10</x:v>
      </x:c>
      <x:c r="B15" s="5" t="str">
        <x:v>G01</x:v>
      </x:c>
      <x:c r="C15" s="5" t="str">
        <x:v>BBD</x:v>
      </x:c>
      <x:c r="D15" s="5" t="str">
        <x:v>拟合</x:v>
      </x:c>
      <x:c r="E15" s="5" t="str">
        <x:v>边点</x:v>
      </x:c>
      <x:c r="F15" s="5" t="str"/>
      <x:c r="G15" s="5" t="str">
        <x:v>己酸乙酯</x:v>
      </x:c>
      <x:c r="H15" s="5" t="str">
        <x:v>丁酸乙酯</x:v>
      </x:c>
      <x:c r="I15" s="5" t="str">
        <x:v>异丁酸乙酯</x:v>
      </x:c>
      <x:c r="J15" s="5" t="str">
        <x:v>戊酸乙酯</x:v>
      </x:c>
      <x:c r="K15" s="5" t="str">
        <x:v>L</x:v>
      </x:c>
      <x:c r="L15" s="5" t="str">
        <x:v>M</x:v>
      </x:c>
      <x:c r="M15" s="5" t="str">
        <x:v>M</x:v>
      </x:c>
      <x:c r="N15" s="5" t="str">
        <x:v>H</x:v>
      </x:c>
      <x:c r="O15" s="6" t="n">
        <x:f>'浓度水平'!F31</x:f>
        <x:v>110.6</x:v>
      </x:c>
      <x:c r="P15" s="6" t="n">
        <x:f>'浓度水平'!G16</x:f>
        <x:v>11516</x:v>
      </x:c>
      <x:c r="Q15" s="6" t="n">
        <x:f>'浓度水平'!G13</x:f>
        <x:v>2894.4</x:v>
      </x:c>
      <x:c r="R15" s="6" t="n">
        <x:f>'浓度水平'!H38</x:f>
        <x:v>1039840</x:v>
      </x:c>
      <x:c r="S15" s="6" t="n">
        <x:f>O15/'浓度水平'!E31</x:f>
        <x:v>2</x:v>
      </x:c>
      <x:c r="T15" s="6" t="n">
        <x:f>P15/'浓度水平'!E16</x:f>
        <x:v>141.30061349693253</x:v>
      </x:c>
      <x:c r="U15" s="6" t="n">
        <x:f>Q15/'浓度水平'!E13</x:f>
        <x:v>50.337391304347825</x:v>
      </x:c>
      <x:c r="V15" s="6" t="n">
        <x:f>R15/'浓度水平'!E38</x:f>
        <x:v>38800</x:v>
      </x:c>
      <x:c r="W15" s="6" t="n">
        <x:f>O15*'固定基底'!$B$4/1000</x:f>
        <x:v>2.212</x:v>
      </x:c>
      <x:c r="X15" s="6" t="n">
        <x:f>P15*'固定基底'!$B$4/1000</x:f>
        <x:v>230.32</x:v>
      </x:c>
      <x:c r="Y15" s="6" t="n">
        <x:f>Q15*'固定基底'!$B$4/1000</x:f>
        <x:v>57.888</x:v>
      </x:c>
      <x:c r="Z15" s="6" t="n">
        <x:f>R15*'固定基底'!$B$4/1000</x:f>
        <x:v>20796.8</x:v>
      </x:c>
      <x:c r="AA15" s="2" t="n">
        <x:f>'固定基底'!$C$7</x:f>
        <x:v>92796.92267241378</x:v>
      </x:c>
      <x:c r="AB15" s="2" t="n">
        <x:f>'固定基底'!$C$8</x:f>
        <x:v>104175.5097553192</x:v>
      </x:c>
      <x:c r="AC15" s="2" t="n">
        <x:f>'固定基底'!$E$7</x:f>
        <x:v>1855.9384534482756</x:v>
      </x:c>
      <x:c r="AD15" s="2" t="n">
        <x:f>'固定基底'!$E$8</x:f>
        <x:v>2083.510195106384</x:v>
      </x:c>
    </x:row>
    <x:row r="16" ht="25" customHeight="1">
      <x:c r="A16" s="5" t="str">
        <x:v>G01-11</x:v>
      </x:c>
      <x:c r="B16" s="5" t="str">
        <x:v>G01</x:v>
      </x:c>
      <x:c r="C16" s="5" t="str">
        <x:v>BBD</x:v>
      </x:c>
      <x:c r="D16" s="5" t="str">
        <x:v>拟合</x:v>
      </x:c>
      <x:c r="E16" s="5" t="str">
        <x:v>边点</x:v>
      </x:c>
      <x:c r="F16" s="5" t="str"/>
      <x:c r="G16" s="5" t="str">
        <x:v>己酸乙酯</x:v>
      </x:c>
      <x:c r="H16" s="5" t="str">
        <x:v>丁酸乙酯</x:v>
      </x:c>
      <x:c r="I16" s="5" t="str">
        <x:v>异丁酸乙酯</x:v>
      </x:c>
      <x:c r="J16" s="5" t="str">
        <x:v>戊酸乙酯</x:v>
      </x:c>
      <x:c r="K16" s="5" t="str">
        <x:v>H</x:v>
      </x:c>
      <x:c r="L16" s="5" t="str">
        <x:v>M</x:v>
      </x:c>
      <x:c r="M16" s="5" t="str">
        <x:v>M</x:v>
      </x:c>
      <x:c r="N16" s="5" t="str">
        <x:v>L</x:v>
      </x:c>
      <x:c r="O16" s="6" t="n">
        <x:f>'浓度水平'!H31</x:f>
        <x:v>9622120</x:v>
      </x:c>
      <x:c r="P16" s="6" t="n">
        <x:f>'浓度水平'!G16</x:f>
        <x:v>11516</x:v>
      </x:c>
      <x:c r="Q16" s="6" t="n">
        <x:f>'浓度水平'!G13</x:f>
        <x:v>2894.4</x:v>
      </x:c>
      <x:c r="R16" s="6" t="n">
        <x:f>'浓度水平'!F38</x:f>
        <x:v>53.6</x:v>
      </x:c>
      <x:c r="S16" s="6" t="n">
        <x:f>O16/'浓度水平'!E31</x:f>
        <x:v>173998.5533453888</x:v>
      </x:c>
      <x:c r="T16" s="6" t="n">
        <x:f>P16/'浓度水平'!E16</x:f>
        <x:v>141.30061349693253</x:v>
      </x:c>
      <x:c r="U16" s="6" t="n">
        <x:f>Q16/'浓度水平'!E13</x:f>
        <x:v>50.337391304347825</x:v>
      </x:c>
      <x:c r="V16" s="6" t="n">
        <x:f>R16/'浓度水平'!E38</x:f>
        <x:v>2</x:v>
      </x:c>
      <x:c r="W16" s="6" t="n">
        <x:f>O16*'固定基底'!$B$4/1000</x:f>
        <x:v>192442.4</x:v>
      </x:c>
      <x:c r="X16" s="6" t="n">
        <x:f>P16*'固定基底'!$B$4/1000</x:f>
        <x:v>230.32</x:v>
      </x:c>
      <x:c r="Y16" s="6" t="n">
        <x:f>Q16*'固定基底'!$B$4/1000</x:f>
        <x:v>57.888</x:v>
      </x:c>
      <x:c r="Z16" s="6" t="n">
        <x:f>R16*'固定基底'!$B$4/1000</x:f>
        <x:v>1.072</x:v>
      </x:c>
      <x:c r="AA16" s="2" t="n">
        <x:f>'固定基底'!$C$7</x:f>
        <x:v>92796.92267241378</x:v>
      </x:c>
      <x:c r="AB16" s="2" t="n">
        <x:f>'固定基底'!$C$8</x:f>
        <x:v>104175.5097553192</x:v>
      </x:c>
      <x:c r="AC16" s="2" t="n">
        <x:f>'固定基底'!$E$7</x:f>
        <x:v>1855.9384534482756</x:v>
      </x:c>
      <x:c r="AD16" s="2" t="n">
        <x:f>'固定基底'!$E$8</x:f>
        <x:v>2083.510195106384</x:v>
      </x:c>
    </x:row>
    <x:row r="17" ht="25" customHeight="1">
      <x:c r="A17" s="5" t="str">
        <x:v>G01-12</x:v>
      </x:c>
      <x:c r="B17" s="5" t="str">
        <x:v>G01</x:v>
      </x:c>
      <x:c r="C17" s="5" t="str">
        <x:v>BBD</x:v>
      </x:c>
      <x:c r="D17" s="5" t="str">
        <x:v>拟合</x:v>
      </x:c>
      <x:c r="E17" s="5" t="str">
        <x:v>边点</x:v>
      </x:c>
      <x:c r="F17" s="5" t="str"/>
      <x:c r="G17" s="5" t="str">
        <x:v>己酸乙酯</x:v>
      </x:c>
      <x:c r="H17" s="5" t="str">
        <x:v>丁酸乙酯</x:v>
      </x:c>
      <x:c r="I17" s="5" t="str">
        <x:v>异丁酸乙酯</x:v>
      </x:c>
      <x:c r="J17" s="5" t="str">
        <x:v>戊酸乙酯</x:v>
      </x:c>
      <x:c r="K17" s="5" t="str">
        <x:v>H</x:v>
      </x:c>
      <x:c r="L17" s="5" t="str">
        <x:v>M</x:v>
      </x:c>
      <x:c r="M17" s="5" t="str">
        <x:v>M</x:v>
      </x:c>
      <x:c r="N17" s="5" t="str">
        <x:v>H</x:v>
      </x:c>
      <x:c r="O17" s="6" t="n">
        <x:f>'浓度水平'!H31</x:f>
        <x:v>9622120</x:v>
      </x:c>
      <x:c r="P17" s="6" t="n">
        <x:f>'浓度水平'!G16</x:f>
        <x:v>11516</x:v>
      </x:c>
      <x:c r="Q17" s="6" t="n">
        <x:f>'浓度水平'!G13</x:f>
        <x:v>2894.4</x:v>
      </x:c>
      <x:c r="R17" s="6" t="n">
        <x:f>'浓度水平'!H38</x:f>
        <x:v>1039840</x:v>
      </x:c>
      <x:c r="S17" s="6" t="n">
        <x:f>O17/'浓度水平'!E31</x:f>
        <x:v>173998.5533453888</x:v>
      </x:c>
      <x:c r="T17" s="6" t="n">
        <x:f>P17/'浓度水平'!E16</x:f>
        <x:v>141.30061349693253</x:v>
      </x:c>
      <x:c r="U17" s="6" t="n">
        <x:f>Q17/'浓度水平'!E13</x:f>
        <x:v>50.337391304347825</x:v>
      </x:c>
      <x:c r="V17" s="6" t="n">
        <x:f>R17/'浓度水平'!E38</x:f>
        <x:v>38800</x:v>
      </x:c>
      <x:c r="W17" s="6" t="n">
        <x:f>O17*'固定基底'!$B$4/1000</x:f>
        <x:v>192442.4</x:v>
      </x:c>
      <x:c r="X17" s="6" t="n">
        <x:f>P17*'固定基底'!$B$4/1000</x:f>
        <x:v>230.32</x:v>
      </x:c>
      <x:c r="Y17" s="6" t="n">
        <x:f>Q17*'固定基底'!$B$4/1000</x:f>
        <x:v>57.888</x:v>
      </x:c>
      <x:c r="Z17" s="6" t="n">
        <x:f>R17*'固定基底'!$B$4/1000</x:f>
        <x:v>20796.8</x:v>
      </x:c>
      <x:c r="AA17" s="2" t="n">
        <x:f>'固定基底'!$C$7</x:f>
        <x:v>92796.92267241378</x:v>
      </x:c>
      <x:c r="AB17" s="2" t="n">
        <x:f>'固定基底'!$C$8</x:f>
        <x:v>104175.5097553192</x:v>
      </x:c>
      <x:c r="AC17" s="2" t="n">
        <x:f>'固定基底'!$E$7</x:f>
        <x:v>1855.9384534482756</x:v>
      </x:c>
      <x:c r="AD17" s="2" t="n">
        <x:f>'固定基底'!$E$8</x:f>
        <x:v>2083.510195106384</x:v>
      </x:c>
    </x:row>
    <x:row r="18" ht="25" customHeight="1">
      <x:c r="A18" s="5" t="str">
        <x:v>G01-13</x:v>
      </x:c>
      <x:c r="B18" s="5" t="str">
        <x:v>G01</x:v>
      </x:c>
      <x:c r="C18" s="5" t="str">
        <x:v>BBD</x:v>
      </x:c>
      <x:c r="D18" s="5" t="str">
        <x:v>拟合</x:v>
      </x:c>
      <x:c r="E18" s="5" t="str">
        <x:v>边点</x:v>
      </x:c>
      <x:c r="F18" s="5" t="str"/>
      <x:c r="G18" s="5" t="str">
        <x:v>己酸乙酯</x:v>
      </x:c>
      <x:c r="H18" s="5" t="str">
        <x:v>丁酸乙酯</x:v>
      </x:c>
      <x:c r="I18" s="5" t="str">
        <x:v>异丁酸乙酯</x:v>
      </x:c>
      <x:c r="J18" s="5" t="str">
        <x:v>戊酸乙酯</x:v>
      </x:c>
      <x:c r="K18" s="5" t="str">
        <x:v>M</x:v>
      </x:c>
      <x:c r="L18" s="5" t="str">
        <x:v>L</x:v>
      </x:c>
      <x:c r="M18" s="5" t="str">
        <x:v>L</x:v>
      </x:c>
      <x:c r="N18" s="5" t="str">
        <x:v>M</x:v>
      </x:c>
      <x:c r="O18" s="6" t="n">
        <x:f>'浓度水平'!G31</x:f>
        <x:v>215340</x:v>
      </x:c>
      <x:c r="P18" s="6" t="n">
        <x:f>'浓度水平'!F16</x:f>
        <x:v>163</x:v>
      </x:c>
      <x:c r="Q18" s="6" t="n">
        <x:f>'浓度水平'!F13</x:f>
        <x:v>115</x:v>
      </x:c>
      <x:c r="R18" s="6" t="n">
        <x:f>'浓度水平'!G38</x:f>
        <x:v>6665</x:v>
      </x:c>
      <x:c r="S18" s="6" t="n">
        <x:f>O18/'浓度水平'!E31</x:f>
        <x:v>3894.0325497287527</x:v>
      </x:c>
      <x:c r="T18" s="6" t="n">
        <x:f>P18/'浓度水平'!E16</x:f>
        <x:v>2</x:v>
      </x:c>
      <x:c r="U18" s="6" t="n">
        <x:f>Q18/'浓度水平'!E13</x:f>
        <x:v>2</x:v>
      </x:c>
      <x:c r="V18" s="6" t="n">
        <x:f>R18/'浓度水平'!E38</x:f>
        <x:v>248.69402985074626</x:v>
      </x:c>
      <x:c r="W18" s="6" t="n">
        <x:f>O18*'固定基底'!$B$4/1000</x:f>
        <x:v>4306.8</x:v>
      </x:c>
      <x:c r="X18" s="6" t="n">
        <x:f>P18*'固定基底'!$B$4/1000</x:f>
        <x:v>3.26</x:v>
      </x:c>
      <x:c r="Y18" s="6" t="n">
        <x:f>Q18*'固定基底'!$B$4/1000</x:f>
        <x:v>2.3</x:v>
      </x:c>
      <x:c r="Z18" s="6" t="n">
        <x:f>R18*'固定基底'!$B$4/1000</x:f>
        <x:v>133.3</x:v>
      </x:c>
      <x:c r="AA18" s="2" t="n">
        <x:f>'固定基底'!$C$7</x:f>
        <x:v>92796.92267241378</x:v>
      </x:c>
      <x:c r="AB18" s="2" t="n">
        <x:f>'固定基底'!$C$8</x:f>
        <x:v>104175.5097553192</x:v>
      </x:c>
      <x:c r="AC18" s="2" t="n">
        <x:f>'固定基底'!$E$7</x:f>
        <x:v>1855.9384534482756</x:v>
      </x:c>
      <x:c r="AD18" s="2" t="n">
        <x:f>'固定基底'!$E$8</x:f>
        <x:v>2083.510195106384</x:v>
      </x:c>
    </x:row>
    <x:row r="19" ht="25" customHeight="1">
      <x:c r="A19" s="5" t="str">
        <x:v>G01-14</x:v>
      </x:c>
      <x:c r="B19" s="5" t="str">
        <x:v>G01</x:v>
      </x:c>
      <x:c r="C19" s="5" t="str">
        <x:v>BBD</x:v>
      </x:c>
      <x:c r="D19" s="5" t="str">
        <x:v>拟合</x:v>
      </x:c>
      <x:c r="E19" s="5" t="str">
        <x:v>边点</x:v>
      </x:c>
      <x:c r="F19" s="5" t="str"/>
      <x:c r="G19" s="5" t="str">
        <x:v>己酸乙酯</x:v>
      </x:c>
      <x:c r="H19" s="5" t="str">
        <x:v>丁酸乙酯</x:v>
      </x:c>
      <x:c r="I19" s="5" t="str">
        <x:v>异丁酸乙酯</x:v>
      </x:c>
      <x:c r="J19" s="5" t="str">
        <x:v>戊酸乙酯</x:v>
      </x:c>
      <x:c r="K19" s="5" t="str">
        <x:v>M</x:v>
      </x:c>
      <x:c r="L19" s="5" t="str">
        <x:v>L</x:v>
      </x:c>
      <x:c r="M19" s="5" t="str">
        <x:v>H</x:v>
      </x:c>
      <x:c r="N19" s="5" t="str">
        <x:v>M</x:v>
      </x:c>
      <x:c r="O19" s="6" t="n">
        <x:f>'浓度水平'!G31</x:f>
        <x:v>215340</x:v>
      </x:c>
      <x:c r="P19" s="6" t="n">
        <x:f>'浓度水平'!F16</x:f>
        <x:v>163</x:v>
      </x:c>
      <x:c r="Q19" s="6" t="n">
        <x:f>'浓度水平'!H13</x:f>
        <x:v>37489</x:v>
      </x:c>
      <x:c r="R19" s="6" t="n">
        <x:f>'浓度水平'!G38</x:f>
        <x:v>6665</x:v>
      </x:c>
      <x:c r="S19" s="6" t="n">
        <x:f>O19/'浓度水平'!E31</x:f>
        <x:v>3894.0325497287527</x:v>
      </x:c>
      <x:c r="T19" s="6" t="n">
        <x:f>P19/'浓度水平'!E16</x:f>
        <x:v>2</x:v>
      </x:c>
      <x:c r="U19" s="6" t="n">
        <x:f>Q19/'浓度水平'!E13</x:f>
        <x:v>651.9826086956522</x:v>
      </x:c>
      <x:c r="V19" s="6" t="n">
        <x:f>R19/'浓度水平'!E38</x:f>
        <x:v>248.69402985074626</x:v>
      </x:c>
      <x:c r="W19" s="6" t="n">
        <x:f>O19*'固定基底'!$B$4/1000</x:f>
        <x:v>4306.8</x:v>
      </x:c>
      <x:c r="X19" s="6" t="n">
        <x:f>P19*'固定基底'!$B$4/1000</x:f>
        <x:v>3.26</x:v>
      </x:c>
      <x:c r="Y19" s="6" t="n">
        <x:f>Q19*'固定基底'!$B$4/1000</x:f>
        <x:v>749.78</x:v>
      </x:c>
      <x:c r="Z19" s="6" t="n">
        <x:f>R19*'固定基底'!$B$4/1000</x:f>
        <x:v>133.3</x:v>
      </x:c>
      <x:c r="AA19" s="2" t="n">
        <x:f>'固定基底'!$C$7</x:f>
        <x:v>92796.92267241378</x:v>
      </x:c>
      <x:c r="AB19" s="2" t="n">
        <x:f>'固定基底'!$C$8</x:f>
        <x:v>104175.5097553192</x:v>
      </x:c>
      <x:c r="AC19" s="2" t="n">
        <x:f>'固定基底'!$E$7</x:f>
        <x:v>1855.9384534482756</x:v>
      </x:c>
      <x:c r="AD19" s="2" t="n">
        <x:f>'固定基底'!$E$8</x:f>
        <x:v>2083.510195106384</x:v>
      </x:c>
    </x:row>
    <x:row r="20" ht="25" customHeight="1">
      <x:c r="A20" s="5" t="str">
        <x:v>G01-15</x:v>
      </x:c>
      <x:c r="B20" s="5" t="str">
        <x:v>G01</x:v>
      </x:c>
      <x:c r="C20" s="5" t="str">
        <x:v>BBD</x:v>
      </x:c>
      <x:c r="D20" s="5" t="str">
        <x:v>拟合</x:v>
      </x:c>
      <x:c r="E20" s="5" t="str">
        <x:v>边点</x:v>
      </x:c>
      <x:c r="F20" s="5" t="str"/>
      <x:c r="G20" s="5" t="str">
        <x:v>己酸乙酯</x:v>
      </x:c>
      <x:c r="H20" s="5" t="str">
        <x:v>丁酸乙酯</x:v>
      </x:c>
      <x:c r="I20" s="5" t="str">
        <x:v>异丁酸乙酯</x:v>
      </x:c>
      <x:c r="J20" s="5" t="str">
        <x:v>戊酸乙酯</x:v>
      </x:c>
      <x:c r="K20" s="5" t="str">
        <x:v>M</x:v>
      </x:c>
      <x:c r="L20" s="5" t="str">
        <x:v>H</x:v>
      </x:c>
      <x:c r="M20" s="5" t="str">
        <x:v>L</x:v>
      </x:c>
      <x:c r="N20" s="5" t="str">
        <x:v>M</x:v>
      </x:c>
      <x:c r="O20" s="6" t="n">
        <x:f>'浓度水平'!G31</x:f>
        <x:v>215340</x:v>
      </x:c>
      <x:c r="P20" s="6" t="n">
        <x:f>'浓度水平'!H16</x:f>
        <x:v>1290235</x:v>
      </x:c>
      <x:c r="Q20" s="6" t="n">
        <x:f>'浓度水平'!F13</x:f>
        <x:v>115</x:v>
      </x:c>
      <x:c r="R20" s="6" t="n">
        <x:f>'浓度水平'!G38</x:f>
        <x:v>6665</x:v>
      </x:c>
      <x:c r="S20" s="6" t="n">
        <x:f>O20/'浓度水平'!E31</x:f>
        <x:v>3894.0325497287527</x:v>
      </x:c>
      <x:c r="T20" s="6" t="n">
        <x:f>P20/'浓度水平'!E16</x:f>
        <x:v>15831.104294478528</x:v>
      </x:c>
      <x:c r="U20" s="6" t="n">
        <x:f>Q20/'浓度水平'!E13</x:f>
        <x:v>2</x:v>
      </x:c>
      <x:c r="V20" s="6" t="n">
        <x:f>R20/'浓度水平'!E38</x:f>
        <x:v>248.69402985074626</x:v>
      </x:c>
      <x:c r="W20" s="6" t="n">
        <x:f>O20*'固定基底'!$B$4/1000</x:f>
        <x:v>4306.8</x:v>
      </x:c>
      <x:c r="X20" s="6" t="n">
        <x:f>P20*'固定基底'!$B$4/1000</x:f>
        <x:v>25804.7</x:v>
      </x:c>
      <x:c r="Y20" s="6" t="n">
        <x:f>Q20*'固定基底'!$B$4/1000</x:f>
        <x:v>2.3</x:v>
      </x:c>
      <x:c r="Z20" s="6" t="n">
        <x:f>R20*'固定基底'!$B$4/1000</x:f>
        <x:v>133.3</x:v>
      </x:c>
      <x:c r="AA20" s="2" t="n">
        <x:f>'固定基底'!$C$7</x:f>
        <x:v>92796.92267241378</x:v>
      </x:c>
      <x:c r="AB20" s="2" t="n">
        <x:f>'固定基底'!$C$8</x:f>
        <x:v>104175.5097553192</x:v>
      </x:c>
      <x:c r="AC20" s="2" t="n">
        <x:f>'固定基底'!$E$7</x:f>
        <x:v>1855.9384534482756</x:v>
      </x:c>
      <x:c r="AD20" s="2" t="n">
        <x:f>'固定基底'!$E$8</x:f>
        <x:v>2083.510195106384</x:v>
      </x:c>
    </x:row>
    <x:row r="21" ht="25" customHeight="1">
      <x:c r="A21" s="5" t="str">
        <x:v>G01-16</x:v>
      </x:c>
      <x:c r="B21" s="5" t="str">
        <x:v>G01</x:v>
      </x:c>
      <x:c r="C21" s="5" t="str">
        <x:v>BBD</x:v>
      </x:c>
      <x:c r="D21" s="5" t="str">
        <x:v>拟合</x:v>
      </x:c>
      <x:c r="E21" s="5" t="str">
        <x:v>边点</x:v>
      </x:c>
      <x:c r="F21" s="5" t="str"/>
      <x:c r="G21" s="5" t="str">
        <x:v>己酸乙酯</x:v>
      </x:c>
      <x:c r="H21" s="5" t="str">
        <x:v>丁酸乙酯</x:v>
      </x:c>
      <x:c r="I21" s="5" t="str">
        <x:v>异丁酸乙酯</x:v>
      </x:c>
      <x:c r="J21" s="5" t="str">
        <x:v>戊酸乙酯</x:v>
      </x:c>
      <x:c r="K21" s="5" t="str">
        <x:v>M</x:v>
      </x:c>
      <x:c r="L21" s="5" t="str">
        <x:v>H</x:v>
      </x:c>
      <x:c r="M21" s="5" t="str">
        <x:v>H</x:v>
      </x:c>
      <x:c r="N21" s="5" t="str">
        <x:v>M</x:v>
      </x:c>
      <x:c r="O21" s="6" t="n">
        <x:f>'浓度水平'!G31</x:f>
        <x:v>215340</x:v>
      </x:c>
      <x:c r="P21" s="6" t="n">
        <x:f>'浓度水平'!H16</x:f>
        <x:v>1290235</x:v>
      </x:c>
      <x:c r="Q21" s="6" t="n">
        <x:f>'浓度水平'!H13</x:f>
        <x:v>37489</x:v>
      </x:c>
      <x:c r="R21" s="6" t="n">
        <x:f>'浓度水平'!G38</x:f>
        <x:v>6665</x:v>
      </x:c>
      <x:c r="S21" s="6" t="n">
        <x:f>O21/'浓度水平'!E31</x:f>
        <x:v>3894.0325497287527</x:v>
      </x:c>
      <x:c r="T21" s="6" t="n">
        <x:f>P21/'浓度水平'!E16</x:f>
        <x:v>15831.104294478528</x:v>
      </x:c>
      <x:c r="U21" s="6" t="n">
        <x:f>Q21/'浓度水平'!E13</x:f>
        <x:v>651.9826086956522</x:v>
      </x:c>
      <x:c r="V21" s="6" t="n">
        <x:f>R21/'浓度水平'!E38</x:f>
        <x:v>248.69402985074626</x:v>
      </x:c>
      <x:c r="W21" s="6" t="n">
        <x:f>O21*'固定基底'!$B$4/1000</x:f>
        <x:v>4306.8</x:v>
      </x:c>
      <x:c r="X21" s="6" t="n">
        <x:f>P21*'固定基底'!$B$4/1000</x:f>
        <x:v>25804.7</x:v>
      </x:c>
      <x:c r="Y21" s="6" t="n">
        <x:f>Q21*'固定基底'!$B$4/1000</x:f>
        <x:v>749.78</x:v>
      </x:c>
      <x:c r="Z21" s="6" t="n">
        <x:f>R21*'固定基底'!$B$4/1000</x:f>
        <x:v>133.3</x:v>
      </x:c>
      <x:c r="AA21" s="2" t="n">
        <x:f>'固定基底'!$C$7</x:f>
        <x:v>92796.92267241378</x:v>
      </x:c>
      <x:c r="AB21" s="2" t="n">
        <x:f>'固定基底'!$C$8</x:f>
        <x:v>104175.5097553192</x:v>
      </x:c>
      <x:c r="AC21" s="2" t="n">
        <x:f>'固定基底'!$E$7</x:f>
        <x:v>1855.9384534482756</x:v>
      </x:c>
      <x:c r="AD21" s="2" t="n">
        <x:f>'固定基底'!$E$8</x:f>
        <x:v>2083.510195106384</x:v>
      </x:c>
    </x:row>
    <x:row r="22" ht="25" customHeight="1">
      <x:c r="A22" s="5" t="str">
        <x:v>G01-17</x:v>
      </x:c>
      <x:c r="B22" s="5" t="str">
        <x:v>G01</x:v>
      </x:c>
      <x:c r="C22" s="5" t="str">
        <x:v>BBD</x:v>
      </x:c>
      <x:c r="D22" s="5" t="str">
        <x:v>拟合</x:v>
      </x:c>
      <x:c r="E22" s="5" t="str">
        <x:v>边点</x:v>
      </x:c>
      <x:c r="F22" s="5" t="str"/>
      <x:c r="G22" s="5" t="str">
        <x:v>己酸乙酯</x:v>
      </x:c>
      <x:c r="H22" s="5" t="str">
        <x:v>丁酸乙酯</x:v>
      </x:c>
      <x:c r="I22" s="5" t="str">
        <x:v>异丁酸乙酯</x:v>
      </x:c>
      <x:c r="J22" s="5" t="str">
        <x:v>戊酸乙酯</x:v>
      </x:c>
      <x:c r="K22" s="5" t="str">
        <x:v>M</x:v>
      </x:c>
      <x:c r="L22" s="5" t="str">
        <x:v>L</x:v>
      </x:c>
      <x:c r="M22" s="5" t="str">
        <x:v>M</x:v>
      </x:c>
      <x:c r="N22" s="5" t="str">
        <x:v>L</x:v>
      </x:c>
      <x:c r="O22" s="6" t="n">
        <x:f>'浓度水平'!G31</x:f>
        <x:v>215340</x:v>
      </x:c>
      <x:c r="P22" s="6" t="n">
        <x:f>'浓度水平'!F16</x:f>
        <x:v>163</x:v>
      </x:c>
      <x:c r="Q22" s="6" t="n">
        <x:f>'浓度水平'!G13</x:f>
        <x:v>2894.4</x:v>
      </x:c>
      <x:c r="R22" s="6" t="n">
        <x:f>'浓度水平'!F38</x:f>
        <x:v>53.6</x:v>
      </x:c>
      <x:c r="S22" s="6" t="n">
        <x:f>O22/'浓度水平'!E31</x:f>
        <x:v>3894.0325497287527</x:v>
      </x:c>
      <x:c r="T22" s="6" t="n">
        <x:f>P22/'浓度水平'!E16</x:f>
        <x:v>2</x:v>
      </x:c>
      <x:c r="U22" s="6" t="n">
        <x:f>Q22/'浓度水平'!E13</x:f>
        <x:v>50.337391304347825</x:v>
      </x:c>
      <x:c r="V22" s="6" t="n">
        <x:f>R22/'浓度水平'!E38</x:f>
        <x:v>2</x:v>
      </x:c>
      <x:c r="W22" s="6" t="n">
        <x:f>O22*'固定基底'!$B$4/1000</x:f>
        <x:v>4306.8</x:v>
      </x:c>
      <x:c r="X22" s="6" t="n">
        <x:f>P22*'固定基底'!$B$4/1000</x:f>
        <x:v>3.26</x:v>
      </x:c>
      <x:c r="Y22" s="6" t="n">
        <x:f>Q22*'固定基底'!$B$4/1000</x:f>
        <x:v>57.888</x:v>
      </x:c>
      <x:c r="Z22" s="6" t="n">
        <x:f>R22*'固定基底'!$B$4/1000</x:f>
        <x:v>1.072</x:v>
      </x:c>
      <x:c r="AA22" s="2" t="n">
        <x:f>'固定基底'!$C$7</x:f>
        <x:v>92796.92267241378</x:v>
      </x:c>
      <x:c r="AB22" s="2" t="n">
        <x:f>'固定基底'!$C$8</x:f>
        <x:v>104175.5097553192</x:v>
      </x:c>
      <x:c r="AC22" s="2" t="n">
        <x:f>'固定基底'!$E$7</x:f>
        <x:v>1855.9384534482756</x:v>
      </x:c>
      <x:c r="AD22" s="2" t="n">
        <x:f>'固定基底'!$E$8</x:f>
        <x:v>2083.510195106384</x:v>
      </x:c>
    </x:row>
    <x:row r="23" ht="25" customHeight="1">
      <x:c r="A23" s="5" t="str">
        <x:v>G01-18</x:v>
      </x:c>
      <x:c r="B23" s="5" t="str">
        <x:v>G01</x:v>
      </x:c>
      <x:c r="C23" s="5" t="str">
        <x:v>BBD</x:v>
      </x:c>
      <x:c r="D23" s="5" t="str">
        <x:v>拟合</x:v>
      </x:c>
      <x:c r="E23" s="5" t="str">
        <x:v>边点</x:v>
      </x:c>
      <x:c r="F23" s="5" t="str"/>
      <x:c r="G23" s="5" t="str">
        <x:v>己酸乙酯</x:v>
      </x:c>
      <x:c r="H23" s="5" t="str">
        <x:v>丁酸乙酯</x:v>
      </x:c>
      <x:c r="I23" s="5" t="str">
        <x:v>异丁酸乙酯</x:v>
      </x:c>
      <x:c r="J23" s="5" t="str">
        <x:v>戊酸乙酯</x:v>
      </x:c>
      <x:c r="K23" s="5" t="str">
        <x:v>M</x:v>
      </x:c>
      <x:c r="L23" s="5" t="str">
        <x:v>L</x:v>
      </x:c>
      <x:c r="M23" s="5" t="str">
        <x:v>M</x:v>
      </x:c>
      <x:c r="N23" s="5" t="str">
        <x:v>H</x:v>
      </x:c>
      <x:c r="O23" s="6" t="n">
        <x:f>'浓度水平'!G31</x:f>
        <x:v>215340</x:v>
      </x:c>
      <x:c r="P23" s="6" t="n">
        <x:f>'浓度水平'!F16</x:f>
        <x:v>163</x:v>
      </x:c>
      <x:c r="Q23" s="6" t="n">
        <x:f>'浓度水平'!G13</x:f>
        <x:v>2894.4</x:v>
      </x:c>
      <x:c r="R23" s="6" t="n">
        <x:f>'浓度水平'!H38</x:f>
        <x:v>1039840</x:v>
      </x:c>
      <x:c r="S23" s="6" t="n">
        <x:f>O23/'浓度水平'!E31</x:f>
        <x:v>3894.0325497287527</x:v>
      </x:c>
      <x:c r="T23" s="6" t="n">
        <x:f>P23/'浓度水平'!E16</x:f>
        <x:v>2</x:v>
      </x:c>
      <x:c r="U23" s="6" t="n">
        <x:f>Q23/'浓度水平'!E13</x:f>
        <x:v>50.337391304347825</x:v>
      </x:c>
      <x:c r="V23" s="6" t="n">
        <x:f>R23/'浓度水平'!E38</x:f>
        <x:v>38800</x:v>
      </x:c>
      <x:c r="W23" s="6" t="n">
        <x:f>O23*'固定基底'!$B$4/1000</x:f>
        <x:v>4306.8</x:v>
      </x:c>
      <x:c r="X23" s="6" t="n">
        <x:f>P23*'固定基底'!$B$4/1000</x:f>
        <x:v>3.26</x:v>
      </x:c>
      <x:c r="Y23" s="6" t="n">
        <x:f>Q23*'固定基底'!$B$4/1000</x:f>
        <x:v>57.888</x:v>
      </x:c>
      <x:c r="Z23" s="6" t="n">
        <x:f>R23*'固定基底'!$B$4/1000</x:f>
        <x:v>20796.8</x:v>
      </x:c>
      <x:c r="AA23" s="2" t="n">
        <x:f>'固定基底'!$C$7</x:f>
        <x:v>92796.92267241378</x:v>
      </x:c>
      <x:c r="AB23" s="2" t="n">
        <x:f>'固定基底'!$C$8</x:f>
        <x:v>104175.5097553192</x:v>
      </x:c>
      <x:c r="AC23" s="2" t="n">
        <x:f>'固定基底'!$E$7</x:f>
        <x:v>1855.9384534482756</x:v>
      </x:c>
      <x:c r="AD23" s="2" t="n">
        <x:f>'固定基底'!$E$8</x:f>
        <x:v>2083.510195106384</x:v>
      </x:c>
    </x:row>
    <x:row r="24" ht="25" customHeight="1">
      <x:c r="A24" s="5" t="str">
        <x:v>G01-19</x:v>
      </x:c>
      <x:c r="B24" s="5" t="str">
        <x:v>G01</x:v>
      </x:c>
      <x:c r="C24" s="5" t="str">
        <x:v>BBD</x:v>
      </x:c>
      <x:c r="D24" s="5" t="str">
        <x:v>拟合</x:v>
      </x:c>
      <x:c r="E24" s="5" t="str">
        <x:v>边点</x:v>
      </x:c>
      <x:c r="F24" s="5" t="str"/>
      <x:c r="G24" s="5" t="str">
        <x:v>己酸乙酯</x:v>
      </x:c>
      <x:c r="H24" s="5" t="str">
        <x:v>丁酸乙酯</x:v>
      </x:c>
      <x:c r="I24" s="5" t="str">
        <x:v>异丁酸乙酯</x:v>
      </x:c>
      <x:c r="J24" s="5" t="str">
        <x:v>戊酸乙酯</x:v>
      </x:c>
      <x:c r="K24" s="5" t="str">
        <x:v>M</x:v>
      </x:c>
      <x:c r="L24" s="5" t="str">
        <x:v>H</x:v>
      </x:c>
      <x:c r="M24" s="5" t="str">
        <x:v>M</x:v>
      </x:c>
      <x:c r="N24" s="5" t="str">
        <x:v>L</x:v>
      </x:c>
      <x:c r="O24" s="6" t="n">
        <x:f>'浓度水平'!G31</x:f>
        <x:v>215340</x:v>
      </x:c>
      <x:c r="P24" s="6" t="n">
        <x:f>'浓度水平'!H16</x:f>
        <x:v>1290235</x:v>
      </x:c>
      <x:c r="Q24" s="6" t="n">
        <x:f>'浓度水平'!G13</x:f>
        <x:v>2894.4</x:v>
      </x:c>
      <x:c r="R24" s="6" t="n">
        <x:f>'浓度水平'!F38</x:f>
        <x:v>53.6</x:v>
      </x:c>
      <x:c r="S24" s="6" t="n">
        <x:f>O24/'浓度水平'!E31</x:f>
        <x:v>3894.0325497287527</x:v>
      </x:c>
      <x:c r="T24" s="6" t="n">
        <x:f>P24/'浓度水平'!E16</x:f>
        <x:v>15831.104294478528</x:v>
      </x:c>
      <x:c r="U24" s="6" t="n">
        <x:f>Q24/'浓度水平'!E13</x:f>
        <x:v>50.337391304347825</x:v>
      </x:c>
      <x:c r="V24" s="6" t="n">
        <x:f>R24/'浓度水平'!E38</x:f>
        <x:v>2</x:v>
      </x:c>
      <x:c r="W24" s="6" t="n">
        <x:f>O24*'固定基底'!$B$4/1000</x:f>
        <x:v>4306.8</x:v>
      </x:c>
      <x:c r="X24" s="6" t="n">
        <x:f>P24*'固定基底'!$B$4/1000</x:f>
        <x:v>25804.7</x:v>
      </x:c>
      <x:c r="Y24" s="6" t="n">
        <x:f>Q24*'固定基底'!$B$4/1000</x:f>
        <x:v>57.888</x:v>
      </x:c>
      <x:c r="Z24" s="6" t="n">
        <x:f>R24*'固定基底'!$B$4/1000</x:f>
        <x:v>1.072</x:v>
      </x:c>
      <x:c r="AA24" s="2" t="n">
        <x:f>'固定基底'!$C$7</x:f>
        <x:v>92796.92267241378</x:v>
      </x:c>
      <x:c r="AB24" s="2" t="n">
        <x:f>'固定基底'!$C$8</x:f>
        <x:v>104175.5097553192</x:v>
      </x:c>
      <x:c r="AC24" s="2" t="n">
        <x:f>'固定基底'!$E$7</x:f>
        <x:v>1855.9384534482756</x:v>
      </x:c>
      <x:c r="AD24" s="2" t="n">
        <x:f>'固定基底'!$E$8</x:f>
        <x:v>2083.510195106384</x:v>
      </x:c>
    </x:row>
    <x:row r="25" ht="25" customHeight="1">
      <x:c r="A25" s="5" t="str">
        <x:v>G01-20</x:v>
      </x:c>
      <x:c r="B25" s="5" t="str">
        <x:v>G01</x:v>
      </x:c>
      <x:c r="C25" s="5" t="str">
        <x:v>BBD</x:v>
      </x:c>
      <x:c r="D25" s="5" t="str">
        <x:v>拟合</x:v>
      </x:c>
      <x:c r="E25" s="5" t="str">
        <x:v>边点</x:v>
      </x:c>
      <x:c r="F25" s="5" t="str"/>
      <x:c r="G25" s="5" t="str">
        <x:v>己酸乙酯</x:v>
      </x:c>
      <x:c r="H25" s="5" t="str">
        <x:v>丁酸乙酯</x:v>
      </x:c>
      <x:c r="I25" s="5" t="str">
        <x:v>异丁酸乙酯</x:v>
      </x:c>
      <x:c r="J25" s="5" t="str">
        <x:v>戊酸乙酯</x:v>
      </x:c>
      <x:c r="K25" s="5" t="str">
        <x:v>M</x:v>
      </x:c>
      <x:c r="L25" s="5" t="str">
        <x:v>H</x:v>
      </x:c>
      <x:c r="M25" s="5" t="str">
        <x:v>M</x:v>
      </x:c>
      <x:c r="N25" s="5" t="str">
        <x:v>H</x:v>
      </x:c>
      <x:c r="O25" s="6" t="n">
        <x:f>'浓度水平'!G31</x:f>
        <x:v>215340</x:v>
      </x:c>
      <x:c r="P25" s="6" t="n">
        <x:f>'浓度水平'!H16</x:f>
        <x:v>1290235</x:v>
      </x:c>
      <x:c r="Q25" s="6" t="n">
        <x:f>'浓度水平'!G13</x:f>
        <x:v>2894.4</x:v>
      </x:c>
      <x:c r="R25" s="6" t="n">
        <x:f>'浓度水平'!H38</x:f>
        <x:v>1039840</x:v>
      </x:c>
      <x:c r="S25" s="6" t="n">
        <x:f>O25/'浓度水平'!E31</x:f>
        <x:v>3894.0325497287527</x:v>
      </x:c>
      <x:c r="T25" s="6" t="n">
        <x:f>P25/'浓度水平'!E16</x:f>
        <x:v>15831.104294478528</x:v>
      </x:c>
      <x:c r="U25" s="6" t="n">
        <x:f>Q25/'浓度水平'!E13</x:f>
        <x:v>50.337391304347825</x:v>
      </x:c>
      <x:c r="V25" s="6" t="n">
        <x:f>R25/'浓度水平'!E38</x:f>
        <x:v>38800</x:v>
      </x:c>
      <x:c r="W25" s="6" t="n">
        <x:f>O25*'固定基底'!$B$4/1000</x:f>
        <x:v>4306.8</x:v>
      </x:c>
      <x:c r="X25" s="6" t="n">
        <x:f>P25*'固定基底'!$B$4/1000</x:f>
        <x:v>25804.7</x:v>
      </x:c>
      <x:c r="Y25" s="6" t="n">
        <x:f>Q25*'固定基底'!$B$4/1000</x:f>
        <x:v>57.888</x:v>
      </x:c>
      <x:c r="Z25" s="6" t="n">
        <x:f>R25*'固定基底'!$B$4/1000</x:f>
        <x:v>20796.8</x:v>
      </x:c>
      <x:c r="AA25" s="2" t="n">
        <x:f>'固定基底'!$C$7</x:f>
        <x:v>92796.92267241378</x:v>
      </x:c>
      <x:c r="AB25" s="2" t="n">
        <x:f>'固定基底'!$C$8</x:f>
        <x:v>104175.5097553192</x:v>
      </x:c>
      <x:c r="AC25" s="2" t="n">
        <x:f>'固定基底'!$E$7</x:f>
        <x:v>1855.9384534482756</x:v>
      </x:c>
      <x:c r="AD25" s="2" t="n">
        <x:f>'固定基底'!$E$8</x:f>
        <x:v>2083.510195106384</x:v>
      </x:c>
    </x:row>
    <x:row r="26" ht="25" customHeight="1">
      <x:c r="A26" s="5" t="str">
        <x:v>G01-21</x:v>
      </x:c>
      <x:c r="B26" s="5" t="str">
        <x:v>G01</x:v>
      </x:c>
      <x:c r="C26" s="5" t="str">
        <x:v>BBD</x:v>
      </x:c>
      <x:c r="D26" s="5" t="str">
        <x:v>拟合</x:v>
      </x:c>
      <x:c r="E26" s="5" t="str">
        <x:v>边点</x:v>
      </x:c>
      <x:c r="F26" s="5" t="str"/>
      <x:c r="G26" s="5" t="str">
        <x:v>己酸乙酯</x:v>
      </x:c>
      <x:c r="H26" s="5" t="str">
        <x:v>丁酸乙酯</x:v>
      </x:c>
      <x:c r="I26" s="5" t="str">
        <x:v>异丁酸乙酯</x:v>
      </x:c>
      <x:c r="J26" s="5" t="str">
        <x:v>戊酸乙酯</x:v>
      </x:c>
      <x:c r="K26" s="5" t="str">
        <x:v>M</x:v>
      </x:c>
      <x:c r="L26" s="5" t="str">
        <x:v>M</x:v>
      </x:c>
      <x:c r="M26" s="5" t="str">
        <x:v>L</x:v>
      </x:c>
      <x:c r="N26" s="5" t="str">
        <x:v>L</x:v>
      </x:c>
      <x:c r="O26" s="6" t="n">
        <x:f>'浓度水平'!G31</x:f>
        <x:v>215340</x:v>
      </x:c>
      <x:c r="P26" s="6" t="n">
        <x:f>'浓度水平'!G16</x:f>
        <x:v>11516</x:v>
      </x:c>
      <x:c r="Q26" s="6" t="n">
        <x:f>'浓度水平'!F13</x:f>
        <x:v>115</x:v>
      </x:c>
      <x:c r="R26" s="6" t="n">
        <x:f>'浓度水平'!F38</x:f>
        <x:v>53.6</x:v>
      </x:c>
      <x:c r="S26" s="6" t="n">
        <x:f>O26/'浓度水平'!E31</x:f>
        <x:v>3894.0325497287527</x:v>
      </x:c>
      <x:c r="T26" s="6" t="n">
        <x:f>P26/'浓度水平'!E16</x:f>
        <x:v>141.30061349693253</x:v>
      </x:c>
      <x:c r="U26" s="6" t="n">
        <x:f>Q26/'浓度水平'!E13</x:f>
        <x:v>2</x:v>
      </x:c>
      <x:c r="V26" s="6" t="n">
        <x:f>R26/'浓度水平'!E38</x:f>
        <x:v>2</x:v>
      </x:c>
      <x:c r="W26" s="6" t="n">
        <x:f>O26*'固定基底'!$B$4/1000</x:f>
        <x:v>4306.8</x:v>
      </x:c>
      <x:c r="X26" s="6" t="n">
        <x:f>P26*'固定基底'!$B$4/1000</x:f>
        <x:v>230.32</x:v>
      </x:c>
      <x:c r="Y26" s="6" t="n">
        <x:f>Q26*'固定基底'!$B$4/1000</x:f>
        <x:v>2.3</x:v>
      </x:c>
      <x:c r="Z26" s="6" t="n">
        <x:f>R26*'固定基底'!$B$4/1000</x:f>
        <x:v>1.072</x:v>
      </x:c>
      <x:c r="AA26" s="2" t="n">
        <x:f>'固定基底'!$C$7</x:f>
        <x:v>92796.92267241378</x:v>
      </x:c>
      <x:c r="AB26" s="2" t="n">
        <x:f>'固定基底'!$C$8</x:f>
        <x:v>104175.5097553192</x:v>
      </x:c>
      <x:c r="AC26" s="2" t="n">
        <x:f>'固定基底'!$E$7</x:f>
        <x:v>1855.9384534482756</x:v>
      </x:c>
      <x:c r="AD26" s="2" t="n">
        <x:f>'固定基底'!$E$8</x:f>
        <x:v>2083.510195106384</x:v>
      </x:c>
    </x:row>
    <x:row r="27" ht="25" customHeight="1">
      <x:c r="A27" s="5" t="str">
        <x:v>G01-22</x:v>
      </x:c>
      <x:c r="B27" s="5" t="str">
        <x:v>G01</x:v>
      </x:c>
      <x:c r="C27" s="5" t="str">
        <x:v>BBD</x:v>
      </x:c>
      <x:c r="D27" s="5" t="str">
        <x:v>拟合</x:v>
      </x:c>
      <x:c r="E27" s="5" t="str">
        <x:v>边点</x:v>
      </x:c>
      <x:c r="F27" s="5" t="str"/>
      <x:c r="G27" s="5" t="str">
        <x:v>己酸乙酯</x:v>
      </x:c>
      <x:c r="H27" s="5" t="str">
        <x:v>丁酸乙酯</x:v>
      </x:c>
      <x:c r="I27" s="5" t="str">
        <x:v>异丁酸乙酯</x:v>
      </x:c>
      <x:c r="J27" s="5" t="str">
        <x:v>戊酸乙酯</x:v>
      </x:c>
      <x:c r="K27" s="5" t="str">
        <x:v>M</x:v>
      </x:c>
      <x:c r="L27" s="5" t="str">
        <x:v>M</x:v>
      </x:c>
      <x:c r="M27" s="5" t="str">
        <x:v>L</x:v>
      </x:c>
      <x:c r="N27" s="5" t="str">
        <x:v>H</x:v>
      </x:c>
      <x:c r="O27" s="6" t="n">
        <x:f>'浓度水平'!G31</x:f>
        <x:v>215340</x:v>
      </x:c>
      <x:c r="P27" s="6" t="n">
        <x:f>'浓度水平'!G16</x:f>
        <x:v>11516</x:v>
      </x:c>
      <x:c r="Q27" s="6" t="n">
        <x:f>'浓度水平'!F13</x:f>
        <x:v>115</x:v>
      </x:c>
      <x:c r="R27" s="6" t="n">
        <x:f>'浓度水平'!H38</x:f>
        <x:v>1039840</x:v>
      </x:c>
      <x:c r="S27" s="6" t="n">
        <x:f>O27/'浓度水平'!E31</x:f>
        <x:v>3894.0325497287527</x:v>
      </x:c>
      <x:c r="T27" s="6" t="n">
        <x:f>P27/'浓度水平'!E16</x:f>
        <x:v>141.30061349693253</x:v>
      </x:c>
      <x:c r="U27" s="6" t="n">
        <x:f>Q27/'浓度水平'!E13</x:f>
        <x:v>2</x:v>
      </x:c>
      <x:c r="V27" s="6" t="n">
        <x:f>R27/'浓度水平'!E38</x:f>
        <x:v>38800</x:v>
      </x:c>
      <x:c r="W27" s="6" t="n">
        <x:f>O27*'固定基底'!$B$4/1000</x:f>
        <x:v>4306.8</x:v>
      </x:c>
      <x:c r="X27" s="6" t="n">
        <x:f>P27*'固定基底'!$B$4/1000</x:f>
        <x:v>230.32</x:v>
      </x:c>
      <x:c r="Y27" s="6" t="n">
        <x:f>Q27*'固定基底'!$B$4/1000</x:f>
        <x:v>2.3</x:v>
      </x:c>
      <x:c r="Z27" s="6" t="n">
        <x:f>R27*'固定基底'!$B$4/1000</x:f>
        <x:v>20796.8</x:v>
      </x:c>
      <x:c r="AA27" s="2" t="n">
        <x:f>'固定基底'!$C$7</x:f>
        <x:v>92796.92267241378</x:v>
      </x:c>
      <x:c r="AB27" s="2" t="n">
        <x:f>'固定基底'!$C$8</x:f>
        <x:v>104175.5097553192</x:v>
      </x:c>
      <x:c r="AC27" s="2" t="n">
        <x:f>'固定基底'!$E$7</x:f>
        <x:v>1855.9384534482756</x:v>
      </x:c>
      <x:c r="AD27" s="2" t="n">
        <x:f>'固定基底'!$E$8</x:f>
        <x:v>2083.510195106384</x:v>
      </x:c>
    </x:row>
    <x:row r="28" ht="25" customHeight="1">
      <x:c r="A28" s="5" t="str">
        <x:v>G01-23</x:v>
      </x:c>
      <x:c r="B28" s="5" t="str">
        <x:v>G01</x:v>
      </x:c>
      <x:c r="C28" s="5" t="str">
        <x:v>BBD</x:v>
      </x:c>
      <x:c r="D28" s="5" t="str">
        <x:v>拟合</x:v>
      </x:c>
      <x:c r="E28" s="5" t="str">
        <x:v>边点</x:v>
      </x:c>
      <x:c r="F28" s="5" t="str"/>
      <x:c r="G28" s="5" t="str">
        <x:v>己酸乙酯</x:v>
      </x:c>
      <x:c r="H28" s="5" t="str">
        <x:v>丁酸乙酯</x:v>
      </x:c>
      <x:c r="I28" s="5" t="str">
        <x:v>异丁酸乙酯</x:v>
      </x:c>
      <x:c r="J28" s="5" t="str">
        <x:v>戊酸乙酯</x:v>
      </x:c>
      <x:c r="K28" s="5" t="str">
        <x:v>M</x:v>
      </x:c>
      <x:c r="L28" s="5" t="str">
        <x:v>M</x:v>
      </x:c>
      <x:c r="M28" s="5" t="str">
        <x:v>H</x:v>
      </x:c>
      <x:c r="N28" s="5" t="str">
        <x:v>L</x:v>
      </x:c>
      <x:c r="O28" s="6" t="n">
        <x:f>'浓度水平'!G31</x:f>
        <x:v>215340</x:v>
      </x:c>
      <x:c r="P28" s="6" t="n">
        <x:f>'浓度水平'!G16</x:f>
        <x:v>11516</x:v>
      </x:c>
      <x:c r="Q28" s="6" t="n">
        <x:f>'浓度水平'!H13</x:f>
        <x:v>37489</x:v>
      </x:c>
      <x:c r="R28" s="6" t="n">
        <x:f>'浓度水平'!F38</x:f>
        <x:v>53.6</x:v>
      </x:c>
      <x:c r="S28" s="6" t="n">
        <x:f>O28/'浓度水平'!E31</x:f>
        <x:v>3894.0325497287527</x:v>
      </x:c>
      <x:c r="T28" s="6" t="n">
        <x:f>P28/'浓度水平'!E16</x:f>
        <x:v>141.30061349693253</x:v>
      </x:c>
      <x:c r="U28" s="6" t="n">
        <x:f>Q28/'浓度水平'!E13</x:f>
        <x:v>651.9826086956522</x:v>
      </x:c>
      <x:c r="V28" s="6" t="n">
        <x:f>R28/'浓度水平'!E38</x:f>
        <x:v>2</x:v>
      </x:c>
      <x:c r="W28" s="6" t="n">
        <x:f>O28*'固定基底'!$B$4/1000</x:f>
        <x:v>4306.8</x:v>
      </x:c>
      <x:c r="X28" s="6" t="n">
        <x:f>P28*'固定基底'!$B$4/1000</x:f>
        <x:v>230.32</x:v>
      </x:c>
      <x:c r="Y28" s="6" t="n">
        <x:f>Q28*'固定基底'!$B$4/1000</x:f>
        <x:v>749.78</x:v>
      </x:c>
      <x:c r="Z28" s="6" t="n">
        <x:f>R28*'固定基底'!$B$4/1000</x:f>
        <x:v>1.072</x:v>
      </x:c>
      <x:c r="AA28" s="2" t="n">
        <x:f>'固定基底'!$C$7</x:f>
        <x:v>92796.92267241378</x:v>
      </x:c>
      <x:c r="AB28" s="2" t="n">
        <x:f>'固定基底'!$C$8</x:f>
        <x:v>104175.5097553192</x:v>
      </x:c>
      <x:c r="AC28" s="2" t="n">
        <x:f>'固定基底'!$E$7</x:f>
        <x:v>1855.9384534482756</x:v>
      </x:c>
      <x:c r="AD28" s="2" t="n">
        <x:f>'固定基底'!$E$8</x:f>
        <x:v>2083.510195106384</x:v>
      </x:c>
    </x:row>
    <x:row r="29" ht="25" customHeight="1">
      <x:c r="A29" s="5" t="str">
        <x:v>G01-24</x:v>
      </x:c>
      <x:c r="B29" s="5" t="str">
        <x:v>G01</x:v>
      </x:c>
      <x:c r="C29" s="5" t="str">
        <x:v>BBD</x:v>
      </x:c>
      <x:c r="D29" s="5" t="str">
        <x:v>拟合</x:v>
      </x:c>
      <x:c r="E29" s="5" t="str">
        <x:v>边点</x:v>
      </x:c>
      <x:c r="F29" s="5" t="str"/>
      <x:c r="G29" s="5" t="str">
        <x:v>己酸乙酯</x:v>
      </x:c>
      <x:c r="H29" s="5" t="str">
        <x:v>丁酸乙酯</x:v>
      </x:c>
      <x:c r="I29" s="5" t="str">
        <x:v>异丁酸乙酯</x:v>
      </x:c>
      <x:c r="J29" s="5" t="str">
        <x:v>戊酸乙酯</x:v>
      </x:c>
      <x:c r="K29" s="5" t="str">
        <x:v>M</x:v>
      </x:c>
      <x:c r="L29" s="5" t="str">
        <x:v>M</x:v>
      </x:c>
      <x:c r="M29" s="5" t="str">
        <x:v>H</x:v>
      </x:c>
      <x:c r="N29" s="5" t="str">
        <x:v>H</x:v>
      </x:c>
      <x:c r="O29" s="6" t="n">
        <x:f>'浓度水平'!G31</x:f>
        <x:v>215340</x:v>
      </x:c>
      <x:c r="P29" s="6" t="n">
        <x:f>'浓度水平'!G16</x:f>
        <x:v>11516</x:v>
      </x:c>
      <x:c r="Q29" s="6" t="n">
        <x:f>'浓度水平'!H13</x:f>
        <x:v>37489</x:v>
      </x:c>
      <x:c r="R29" s="6" t="n">
        <x:f>'浓度水平'!H38</x:f>
        <x:v>1039840</x:v>
      </x:c>
      <x:c r="S29" s="6" t="n">
        <x:f>O29/'浓度水平'!E31</x:f>
        <x:v>3894.0325497287527</x:v>
      </x:c>
      <x:c r="T29" s="6" t="n">
        <x:f>P29/'浓度水平'!E16</x:f>
        <x:v>141.30061349693253</x:v>
      </x:c>
      <x:c r="U29" s="6" t="n">
        <x:f>Q29/'浓度水平'!E13</x:f>
        <x:v>651.9826086956522</x:v>
      </x:c>
      <x:c r="V29" s="6" t="n">
        <x:f>R29/'浓度水平'!E38</x:f>
        <x:v>38800</x:v>
      </x:c>
      <x:c r="W29" s="6" t="n">
        <x:f>O29*'固定基底'!$B$4/1000</x:f>
        <x:v>4306.8</x:v>
      </x:c>
      <x:c r="X29" s="6" t="n">
        <x:f>P29*'固定基底'!$B$4/1000</x:f>
        <x:v>230.32</x:v>
      </x:c>
      <x:c r="Y29" s="6" t="n">
        <x:f>Q29*'固定基底'!$B$4/1000</x:f>
        <x:v>749.78</x:v>
      </x:c>
      <x:c r="Z29" s="6" t="n">
        <x:f>R29*'固定基底'!$B$4/1000</x:f>
        <x:v>20796.8</x:v>
      </x:c>
      <x:c r="AA29" s="2" t="n">
        <x:f>'固定基底'!$C$7</x:f>
        <x:v>92796.92267241378</x:v>
      </x:c>
      <x:c r="AB29" s="2" t="n">
        <x:f>'固定基底'!$C$8</x:f>
        <x:v>104175.5097553192</x:v>
      </x:c>
      <x:c r="AC29" s="2" t="n">
        <x:f>'固定基底'!$E$7</x:f>
        <x:v>1855.9384534482756</x:v>
      </x:c>
      <x:c r="AD29" s="2" t="n">
        <x:f>'固定基底'!$E$8</x:f>
        <x:v>2083.510195106384</x:v>
      </x:c>
    </x:row>
    <x:row r="30" ht="25" customHeight="1">
      <x:c r="A30" s="5" t="str">
        <x:v>G01-25</x:v>
      </x:c>
      <x:c r="B30" s="5" t="str">
        <x:v>G01</x:v>
      </x:c>
      <x:c r="C30" s="5" t="str">
        <x:v>BBD</x:v>
      </x:c>
      <x:c r="D30" s="5" t="str">
        <x:v>拟合</x:v>
      </x:c>
      <x:c r="E30" s="5" t="str">
        <x:v>中心点独立配制</x:v>
      </x:c>
      <x:c r="F30" s="5" t="str"/>
      <x:c r="G30" s="5" t="str">
        <x:v>己酸乙酯</x:v>
      </x:c>
      <x:c r="H30" s="5" t="str">
        <x:v>丁酸乙酯</x:v>
      </x:c>
      <x:c r="I30" s="5" t="str">
        <x:v>异丁酸乙酯</x:v>
      </x:c>
      <x:c r="J30" s="5" t="str">
        <x:v>戊酸乙酯</x:v>
      </x:c>
      <x:c r="K30" s="5" t="str">
        <x:v>M</x:v>
      </x:c>
      <x:c r="L30" s="5" t="str">
        <x:v>M</x:v>
      </x:c>
      <x:c r="M30" s="5" t="str">
        <x:v>M</x:v>
      </x:c>
      <x:c r="N30" s="5" t="str">
        <x:v>M</x:v>
      </x:c>
      <x:c r="O30" s="6" t="n">
        <x:f>'浓度水平'!G31</x:f>
        <x:v>215340</x:v>
      </x:c>
      <x:c r="P30" s="6" t="n">
        <x:f>'浓度水平'!G16</x:f>
        <x:v>11516</x:v>
      </x:c>
      <x:c r="Q30" s="6" t="n">
        <x:f>'浓度水平'!G13</x:f>
        <x:v>2894.4</x:v>
      </x:c>
      <x:c r="R30" s="6" t="n">
        <x:f>'浓度水平'!G38</x:f>
        <x:v>6665</x:v>
      </x:c>
      <x:c r="S30" s="6" t="n">
        <x:f>O30/'浓度水平'!E31</x:f>
        <x:v>3894.0325497287527</x:v>
      </x:c>
      <x:c r="T30" s="6" t="n">
        <x:f>P30/'浓度水平'!E16</x:f>
        <x:v>141.30061349693253</x:v>
      </x:c>
      <x:c r="U30" s="6" t="n">
        <x:f>Q30/'浓度水平'!E13</x:f>
        <x:v>50.337391304347825</x:v>
      </x:c>
      <x:c r="V30" s="6" t="n">
        <x:f>R30/'浓度水平'!E38</x:f>
        <x:v>248.69402985074626</x:v>
      </x:c>
      <x:c r="W30" s="6" t="n">
        <x:f>O30*'固定基底'!$B$4/1000</x:f>
        <x:v>4306.8</x:v>
      </x:c>
      <x:c r="X30" s="6" t="n">
        <x:f>P30*'固定基底'!$B$4/1000</x:f>
        <x:v>230.32</x:v>
      </x:c>
      <x:c r="Y30" s="6" t="n">
        <x:f>Q30*'固定基底'!$B$4/1000</x:f>
        <x:v>57.888</x:v>
      </x:c>
      <x:c r="Z30" s="6" t="n">
        <x:f>R30*'固定基底'!$B$4/1000</x:f>
        <x:v>133.3</x:v>
      </x:c>
      <x:c r="AA30" s="2" t="n">
        <x:f>'固定基底'!$C$7</x:f>
        <x:v>92796.92267241378</x:v>
      </x:c>
      <x:c r="AB30" s="2" t="n">
        <x:f>'固定基底'!$C$8</x:f>
        <x:v>104175.5097553192</x:v>
      </x:c>
      <x:c r="AC30" s="2" t="n">
        <x:f>'固定基底'!$E$7</x:f>
        <x:v>1855.9384534482756</x:v>
      </x:c>
      <x:c r="AD30" s="2" t="n">
        <x:f>'固定基底'!$E$8</x:f>
        <x:v>2083.510195106384</x:v>
      </x:c>
    </x:row>
    <x:row r="31" ht="25" customHeight="1">
      <x:c r="A31" s="5" t="str">
        <x:v>G01-26</x:v>
      </x:c>
      <x:c r="B31" s="5" t="str">
        <x:v>G01</x:v>
      </x:c>
      <x:c r="C31" s="5" t="str">
        <x:v>BBD</x:v>
      </x:c>
      <x:c r="D31" s="5" t="str">
        <x:v>拟合</x:v>
      </x:c>
      <x:c r="E31" s="5" t="str">
        <x:v>中心点独立配制</x:v>
      </x:c>
      <x:c r="F31" s="5" t="str">
        <x:v>G01-25</x:v>
      </x:c>
      <x:c r="G31" s="5" t="str">
        <x:v>己酸乙酯</x:v>
      </x:c>
      <x:c r="H31" s="5" t="str">
        <x:v>丁酸乙酯</x:v>
      </x:c>
      <x:c r="I31" s="5" t="str">
        <x:v>异丁酸乙酯</x:v>
      </x:c>
      <x:c r="J31" s="5" t="str">
        <x:v>戊酸乙酯</x:v>
      </x:c>
      <x:c r="K31" s="5" t="str">
        <x:v>M</x:v>
      </x:c>
      <x:c r="L31" s="5" t="str">
        <x:v>M</x:v>
      </x:c>
      <x:c r="M31" s="5" t="str">
        <x:v>M</x:v>
      </x:c>
      <x:c r="N31" s="5" t="str">
        <x:v>M</x:v>
      </x:c>
      <x:c r="O31" s="6" t="n">
        <x:f>'浓度水平'!G31</x:f>
        <x:v>215340</x:v>
      </x:c>
      <x:c r="P31" s="6" t="n">
        <x:f>'浓度水平'!G16</x:f>
        <x:v>11516</x:v>
      </x:c>
      <x:c r="Q31" s="6" t="n">
        <x:f>'浓度水平'!G13</x:f>
        <x:v>2894.4</x:v>
      </x:c>
      <x:c r="R31" s="6" t="n">
        <x:f>'浓度水平'!G38</x:f>
        <x:v>6665</x:v>
      </x:c>
      <x:c r="S31" s="6" t="n">
        <x:f>O31/'浓度水平'!E31</x:f>
        <x:v>3894.0325497287527</x:v>
      </x:c>
      <x:c r="T31" s="6" t="n">
        <x:f>P31/'浓度水平'!E16</x:f>
        <x:v>141.30061349693253</x:v>
      </x:c>
      <x:c r="U31" s="6" t="n">
        <x:f>Q31/'浓度水平'!E13</x:f>
        <x:v>50.337391304347825</x:v>
      </x:c>
      <x:c r="V31" s="6" t="n">
        <x:f>R31/'浓度水平'!E38</x:f>
        <x:v>248.69402985074626</x:v>
      </x:c>
      <x:c r="W31" s="6" t="n">
        <x:f>O31*'固定基底'!$B$4/1000</x:f>
        <x:v>4306.8</x:v>
      </x:c>
      <x:c r="X31" s="6" t="n">
        <x:f>P31*'固定基底'!$B$4/1000</x:f>
        <x:v>230.32</x:v>
      </x:c>
      <x:c r="Y31" s="6" t="n">
        <x:f>Q31*'固定基底'!$B$4/1000</x:f>
        <x:v>57.888</x:v>
      </x:c>
      <x:c r="Z31" s="6" t="n">
        <x:f>R31*'固定基底'!$B$4/1000</x:f>
        <x:v>133.3</x:v>
      </x:c>
      <x:c r="AA31" s="2" t="n">
        <x:f>'固定基底'!$C$7</x:f>
        <x:v>92796.92267241378</x:v>
      </x:c>
      <x:c r="AB31" s="2" t="n">
        <x:f>'固定基底'!$C$8</x:f>
        <x:v>104175.5097553192</x:v>
      </x:c>
      <x:c r="AC31" s="2" t="n">
        <x:f>'固定基底'!$E$7</x:f>
        <x:v>1855.9384534482756</x:v>
      </x:c>
      <x:c r="AD31" s="2" t="n">
        <x:f>'固定基底'!$E$8</x:f>
        <x:v>2083.510195106384</x:v>
      </x:c>
    </x:row>
    <x:row r="32" ht="25" customHeight="1">
      <x:c r="A32" s="5" t="str">
        <x:v>G01-27</x:v>
      </x:c>
      <x:c r="B32" s="5" t="str">
        <x:v>G01</x:v>
      </x:c>
      <x:c r="C32" s="5" t="str">
        <x:v>BBD</x:v>
      </x:c>
      <x:c r="D32" s="5" t="str">
        <x:v>拟合</x:v>
      </x:c>
      <x:c r="E32" s="5" t="str">
        <x:v>中心点独立配制</x:v>
      </x:c>
      <x:c r="F32" s="5" t="str">
        <x:v>G01-25</x:v>
      </x:c>
      <x:c r="G32" s="5" t="str">
        <x:v>己酸乙酯</x:v>
      </x:c>
      <x:c r="H32" s="5" t="str">
        <x:v>丁酸乙酯</x:v>
      </x:c>
      <x:c r="I32" s="5" t="str">
        <x:v>异丁酸乙酯</x:v>
      </x:c>
      <x:c r="J32" s="5" t="str">
        <x:v>戊酸乙酯</x:v>
      </x:c>
      <x:c r="K32" s="5" t="str">
        <x:v>M</x:v>
      </x:c>
      <x:c r="L32" s="5" t="str">
        <x:v>M</x:v>
      </x:c>
      <x:c r="M32" s="5" t="str">
        <x:v>M</x:v>
      </x:c>
      <x:c r="N32" s="5" t="str">
        <x:v>M</x:v>
      </x:c>
      <x:c r="O32" s="6" t="n">
        <x:f>'浓度水平'!G31</x:f>
        <x:v>215340</x:v>
      </x:c>
      <x:c r="P32" s="6" t="n">
        <x:f>'浓度水平'!G16</x:f>
        <x:v>11516</x:v>
      </x:c>
      <x:c r="Q32" s="6" t="n">
        <x:f>'浓度水平'!G13</x:f>
        <x:v>2894.4</x:v>
      </x:c>
      <x:c r="R32" s="6" t="n">
        <x:f>'浓度水平'!G38</x:f>
        <x:v>6665</x:v>
      </x:c>
      <x:c r="S32" s="6" t="n">
        <x:f>O32/'浓度水平'!E31</x:f>
        <x:v>3894.0325497287527</x:v>
      </x:c>
      <x:c r="T32" s="6" t="n">
        <x:f>P32/'浓度水平'!E16</x:f>
        <x:v>141.30061349693253</x:v>
      </x:c>
      <x:c r="U32" s="6" t="n">
        <x:f>Q32/'浓度水平'!E13</x:f>
        <x:v>50.337391304347825</x:v>
      </x:c>
      <x:c r="V32" s="6" t="n">
        <x:f>R32/'浓度水平'!E38</x:f>
        <x:v>248.69402985074626</x:v>
      </x:c>
      <x:c r="W32" s="6" t="n">
        <x:f>O32*'固定基底'!$B$4/1000</x:f>
        <x:v>4306.8</x:v>
      </x:c>
      <x:c r="X32" s="6" t="n">
        <x:f>P32*'固定基底'!$B$4/1000</x:f>
        <x:v>230.32</x:v>
      </x:c>
      <x:c r="Y32" s="6" t="n">
        <x:f>Q32*'固定基底'!$B$4/1000</x:f>
        <x:v>57.888</x:v>
      </x:c>
      <x:c r="Z32" s="6" t="n">
        <x:f>R32*'固定基底'!$B$4/1000</x:f>
        <x:v>133.3</x:v>
      </x:c>
      <x:c r="AA32" s="2" t="n">
        <x:f>'固定基底'!$C$7</x:f>
        <x:v>92796.92267241378</x:v>
      </x:c>
      <x:c r="AB32" s="2" t="n">
        <x:f>'固定基底'!$C$8</x:f>
        <x:v>104175.5097553192</x:v>
      </x:c>
      <x:c r="AC32" s="2" t="n">
        <x:f>'固定基底'!$E$7</x:f>
        <x:v>1855.9384534482756</x:v>
      </x:c>
      <x:c r="AD32" s="2" t="n">
        <x:f>'固定基底'!$E$8</x:f>
        <x:v>2083.510195106384</x:v>
      </x:c>
    </x:row>
    <x:row r="33" ht="25" customHeight="1">
      <x:c r="A33" s="5" t="str">
        <x:v>G01-V01</x:v>
      </x:c>
      <x:c r="B33" s="5" t="str">
        <x:v>G01</x:v>
      </x:c>
      <x:c r="C33" s="5" t="str">
        <x:v>域内轴向验证</x:v>
      </x:c>
      <x:c r="D33" s="5" t="str">
        <x:v>验证不参与拟合</x:v>
      </x:c>
      <x:c r="E33" s="5" t="str">
        <x:v>独立验证</x:v>
      </x:c>
      <x:c r="F33" s="5" t="str"/>
      <x:c r="G33" s="5" t="str">
        <x:v>己酸乙酯</x:v>
      </x:c>
      <x:c r="H33" s="5" t="str">
        <x:v>丁酸乙酯</x:v>
      </x:c>
      <x:c r="I33" s="5" t="str">
        <x:v>异丁酸乙酯</x:v>
      </x:c>
      <x:c r="J33" s="5" t="str">
        <x:v>戊酸乙酯</x:v>
      </x:c>
      <x:c r="K33" s="5" t="str">
        <x:v>H</x:v>
      </x:c>
      <x:c r="L33" s="5" t="str">
        <x:v>M</x:v>
      </x:c>
      <x:c r="M33" s="5" t="str">
        <x:v>M</x:v>
      </x:c>
      <x:c r="N33" s="5" t="str">
        <x:v>M</x:v>
      </x:c>
      <x:c r="O33" s="6" t="n">
        <x:f>'浓度水平'!H31</x:f>
        <x:v>9622120</x:v>
      </x:c>
      <x:c r="P33" s="6" t="n">
        <x:f>'浓度水平'!G16</x:f>
        <x:v>11516</x:v>
      </x:c>
      <x:c r="Q33" s="6" t="n">
        <x:f>'浓度水平'!G13</x:f>
        <x:v>2894.4</x:v>
      </x:c>
      <x:c r="R33" s="6" t="n">
        <x:f>'浓度水平'!G38</x:f>
        <x:v>6665</x:v>
      </x:c>
      <x:c r="S33" s="6" t="n">
        <x:f>O33/'浓度水平'!E31</x:f>
        <x:v>173998.5533453888</x:v>
      </x:c>
      <x:c r="T33" s="6" t="n">
        <x:f>P33/'浓度水平'!E16</x:f>
        <x:v>141.30061349693253</x:v>
      </x:c>
      <x:c r="U33" s="6" t="n">
        <x:f>Q33/'浓度水平'!E13</x:f>
        <x:v>50.337391304347825</x:v>
      </x:c>
      <x:c r="V33" s="6" t="n">
        <x:f>R33/'浓度水平'!E38</x:f>
        <x:v>248.69402985074626</x:v>
      </x:c>
      <x:c r="W33" s="6" t="n">
        <x:f>O33*'固定基底'!$B$4/1000</x:f>
        <x:v>192442.4</x:v>
      </x:c>
      <x:c r="X33" s="6" t="n">
        <x:f>P33*'固定基底'!$B$4/1000</x:f>
        <x:v>230.32</x:v>
      </x:c>
      <x:c r="Y33" s="6" t="n">
        <x:f>Q33*'固定基底'!$B$4/1000</x:f>
        <x:v>57.888</x:v>
      </x:c>
      <x:c r="Z33" s="6" t="n">
        <x:f>R33*'固定基底'!$B$4/1000</x:f>
        <x:v>133.3</x:v>
      </x:c>
      <x:c r="AA33" s="2" t="n">
        <x:f>'固定基底'!$C$7</x:f>
        <x:v>92796.92267241378</x:v>
      </x:c>
      <x:c r="AB33" s="2" t="n">
        <x:f>'固定基底'!$C$8</x:f>
        <x:v>104175.5097553192</x:v>
      </x:c>
      <x:c r="AC33" s="2" t="n">
        <x:f>'固定基底'!$E$7</x:f>
        <x:v>1855.9384534482756</x:v>
      </x:c>
      <x:c r="AD33" s="2" t="n">
        <x:f>'固定基底'!$E$8</x:f>
        <x:v>2083.510195106384</x:v>
      </x:c>
    </x:row>
    <x:row r="34" ht="25" customHeight="1">
      <x:c r="A34" s="5" t="str">
        <x:v>G02-01</x:v>
      </x:c>
      <x:c r="B34" s="5" t="str">
        <x:v>G02</x:v>
      </x:c>
      <x:c r="C34" s="5" t="str">
        <x:v>BBD</x:v>
      </x:c>
      <x:c r="D34" s="5" t="str">
        <x:v>拟合</x:v>
      </x:c>
      <x:c r="E34" s="5" t="str">
        <x:v>边点</x:v>
      </x:c>
      <x:c r="F34" s="5" t="str"/>
      <x:c r="G34" s="5" t="str">
        <x:v>己酸乙酯</x:v>
      </x:c>
      <x:c r="H34" s="5" t="str">
        <x:v>辛酸乙酯</x:v>
      </x:c>
      <x:c r="I34" s="5" t="str">
        <x:v>异戊酸乙酯（3-甲基丁酸乙酯）</x:v>
      </x:c>
      <x:c r="J34" s="5" t="str">
        <x:v>2-甲基丁酸乙酯</x:v>
      </x:c>
      <x:c r="K34" s="5" t="str">
        <x:v>L</x:v>
      </x:c>
      <x:c r="L34" s="5" t="str">
        <x:v>L</x:v>
      </x:c>
      <x:c r="M34" s="5" t="str">
        <x:v>M</x:v>
      </x:c>
      <x:c r="N34" s="5" t="str">
        <x:v>M</x:v>
      </x:c>
      <x:c r="O34" s="6" t="n">
        <x:f>'浓度水平'!F31</x:f>
        <x:v>110.6</x:v>
      </x:c>
      <x:c r="P34" s="6" t="n">
        <x:f>'浓度水平'!F20</x:f>
        <x:v>25.8</x:v>
      </x:c>
      <x:c r="Q34" s="6" t="n">
        <x:f>'浓度水平'!G23</x:f>
        <x:v>553</x:v>
      </x:c>
      <x:c r="R34" s="6" t="n">
        <x:f>'浓度水平'!G45</x:f>
        <x:v>464</x:v>
      </x:c>
      <x:c r="S34" s="6" t="n">
        <x:f>O34/'浓度水平'!E31</x:f>
        <x:v>2</x:v>
      </x:c>
      <x:c r="T34" s="6" t="n">
        <x:f>P34/'浓度水平'!E20</x:f>
        <x:v>2</x:v>
      </x:c>
      <x:c r="U34" s="6" t="n">
        <x:f>Q34/'浓度水平'!E23</x:f>
        <x:v>80.2612481857765</x:v>
      </x:c>
      <x:c r="V34" s="6" t="n">
        <x:f>R34/'浓度水平'!E45</x:f>
        <x:v>25.77777777777778</x:v>
      </x:c>
      <x:c r="W34" s="6" t="n">
        <x:f>O34*'固定基底'!$B$4/1000</x:f>
        <x:v>2.212</x:v>
      </x:c>
      <x:c r="X34" s="6" t="n">
        <x:f>P34*'固定基底'!$B$4/1000</x:f>
        <x:v>0.516</x:v>
      </x:c>
      <x:c r="Y34" s="6" t="n">
        <x:f>Q34*'固定基底'!$B$4/1000</x:f>
        <x:v>11.06</x:v>
      </x:c>
      <x:c r="Z34" s="6" t="n">
        <x:f>R34*'固定基底'!$B$4/1000</x:f>
        <x:v>9.28</x:v>
      </x:c>
      <x:c r="AA34" s="2" t="n">
        <x:f>'固定基底'!$C$7</x:f>
        <x:v>92796.92267241378</x:v>
      </x:c>
      <x:c r="AB34" s="2" t="n">
        <x:f>'固定基底'!$C$8</x:f>
        <x:v>104175.5097553192</x:v>
      </x:c>
      <x:c r="AC34" s="2" t="n">
        <x:f>'固定基底'!$E$7</x:f>
        <x:v>1855.9384534482756</x:v>
      </x:c>
      <x:c r="AD34" s="2" t="n">
        <x:f>'固定基底'!$E$8</x:f>
        <x:v>2083.510195106384</x:v>
      </x:c>
    </x:row>
    <x:row r="35" ht="25" customHeight="1">
      <x:c r="A35" s="5" t="str">
        <x:v>G02-02</x:v>
      </x:c>
      <x:c r="B35" s="5" t="str">
        <x:v>G02</x:v>
      </x:c>
      <x:c r="C35" s="5" t="str">
        <x:v>BBD</x:v>
      </x:c>
      <x:c r="D35" s="5" t="str">
        <x:v>拟合</x:v>
      </x:c>
      <x:c r="E35" s="5" t="str">
        <x:v>边点</x:v>
      </x:c>
      <x:c r="F35" s="5" t="str"/>
      <x:c r="G35" s="5" t="str">
        <x:v>己酸乙酯</x:v>
      </x:c>
      <x:c r="H35" s="5" t="str">
        <x:v>辛酸乙酯</x:v>
      </x:c>
      <x:c r="I35" s="5" t="str">
        <x:v>异戊酸乙酯（3-甲基丁酸乙酯）</x:v>
      </x:c>
      <x:c r="J35" s="5" t="str">
        <x:v>2-甲基丁酸乙酯</x:v>
      </x:c>
      <x:c r="K35" s="5" t="str">
        <x:v>L</x:v>
      </x:c>
      <x:c r="L35" s="5" t="str">
        <x:v>H</x:v>
      </x:c>
      <x:c r="M35" s="5" t="str">
        <x:v>M</x:v>
      </x:c>
      <x:c r="N35" s="5" t="str">
        <x:v>M</x:v>
      </x:c>
      <x:c r="O35" s="6" t="n">
        <x:f>'浓度水平'!F31</x:f>
        <x:v>110.6</x:v>
      </x:c>
      <x:c r="P35" s="6" t="n">
        <x:f>'浓度水平'!H20</x:f>
        <x:v>1865945</x:v>
      </x:c>
      <x:c r="Q35" s="6" t="n">
        <x:f>'浓度水平'!G23</x:f>
        <x:v>553</x:v>
      </x:c>
      <x:c r="R35" s="6" t="n">
        <x:f>'浓度水平'!G45</x:f>
        <x:v>464</x:v>
      </x:c>
      <x:c r="S35" s="6" t="n">
        <x:f>O35/'浓度水平'!E31</x:f>
        <x:v>2</x:v>
      </x:c>
      <x:c r="T35" s="6" t="n">
        <x:f>P35/'浓度水平'!E20</x:f>
        <x:v>144646.8992248062</x:v>
      </x:c>
      <x:c r="U35" s="6" t="n">
        <x:f>Q35/'浓度水平'!E23</x:f>
        <x:v>80.2612481857765</x:v>
      </x:c>
      <x:c r="V35" s="6" t="n">
        <x:f>R35/'浓度水平'!E45</x:f>
        <x:v>25.77777777777778</x:v>
      </x:c>
      <x:c r="W35" s="6" t="n">
        <x:f>O35*'固定基底'!$B$4/1000</x:f>
        <x:v>2.212</x:v>
      </x:c>
      <x:c r="X35" s="6" t="n">
        <x:f>P35*'固定基底'!$B$4/1000</x:f>
        <x:v>37318.9</x:v>
      </x:c>
      <x:c r="Y35" s="6" t="n">
        <x:f>Q35*'固定基底'!$B$4/1000</x:f>
        <x:v>11.06</x:v>
      </x:c>
      <x:c r="Z35" s="6" t="n">
        <x:f>R35*'固定基底'!$B$4/1000</x:f>
        <x:v>9.28</x:v>
      </x:c>
      <x:c r="AA35" s="2" t="n">
        <x:f>'固定基底'!$C$7</x:f>
        <x:v>92796.92267241378</x:v>
      </x:c>
      <x:c r="AB35" s="2" t="n">
        <x:f>'固定基底'!$C$8</x:f>
        <x:v>104175.5097553192</x:v>
      </x:c>
      <x:c r="AC35" s="2" t="n">
        <x:f>'固定基底'!$E$7</x:f>
        <x:v>1855.9384534482756</x:v>
      </x:c>
      <x:c r="AD35" s="2" t="n">
        <x:f>'固定基底'!$E$8</x:f>
        <x:v>2083.510195106384</x:v>
      </x:c>
    </x:row>
    <x:row r="36" ht="25" customHeight="1">
      <x:c r="A36" s="5" t="str">
        <x:v>G02-03</x:v>
      </x:c>
      <x:c r="B36" s="5" t="str">
        <x:v>G02</x:v>
      </x:c>
      <x:c r="C36" s="5" t="str">
        <x:v>BBD</x:v>
      </x:c>
      <x:c r="D36" s="5" t="str">
        <x:v>拟合</x:v>
      </x:c>
      <x:c r="E36" s="5" t="str">
        <x:v>边点</x:v>
      </x:c>
      <x:c r="F36" s="5" t="str"/>
      <x:c r="G36" s="5" t="str">
        <x:v>己酸乙酯</x:v>
      </x:c>
      <x:c r="H36" s="5" t="str">
        <x:v>辛酸乙酯</x:v>
      </x:c>
      <x:c r="I36" s="5" t="str">
        <x:v>异戊酸乙酯（3-甲基丁酸乙酯）</x:v>
      </x:c>
      <x:c r="J36" s="5" t="str">
        <x:v>2-甲基丁酸乙酯</x:v>
      </x:c>
      <x:c r="K36" s="5" t="str">
        <x:v>H</x:v>
      </x:c>
      <x:c r="L36" s="5" t="str">
        <x:v>L</x:v>
      </x:c>
      <x:c r="M36" s="5" t="str">
        <x:v>M</x:v>
      </x:c>
      <x:c r="N36" s="5" t="str">
        <x:v>M</x:v>
      </x:c>
      <x:c r="O36" s="6" t="n">
        <x:f>'浓度水平'!H31</x:f>
        <x:v>9622120</x:v>
      </x:c>
      <x:c r="P36" s="6" t="n">
        <x:f>'浓度水平'!F20</x:f>
        <x:v>25.8</x:v>
      </x:c>
      <x:c r="Q36" s="6" t="n">
        <x:f>'浓度水平'!G23</x:f>
        <x:v>553</x:v>
      </x:c>
      <x:c r="R36" s="6" t="n">
        <x:f>'浓度水平'!G45</x:f>
        <x:v>464</x:v>
      </x:c>
      <x:c r="S36" s="6" t="n">
        <x:f>O36/'浓度水平'!E31</x:f>
        <x:v>173998.5533453888</x:v>
      </x:c>
      <x:c r="T36" s="6" t="n">
        <x:f>P36/'浓度水平'!E20</x:f>
        <x:v>2</x:v>
      </x:c>
      <x:c r="U36" s="6" t="n">
        <x:f>Q36/'浓度水平'!E23</x:f>
        <x:v>80.2612481857765</x:v>
      </x:c>
      <x:c r="V36" s="6" t="n">
        <x:f>R36/'浓度水平'!E45</x:f>
        <x:v>25.77777777777778</x:v>
      </x:c>
      <x:c r="W36" s="6" t="n">
        <x:f>O36*'固定基底'!$B$4/1000</x:f>
        <x:v>192442.4</x:v>
      </x:c>
      <x:c r="X36" s="6" t="n">
        <x:f>P36*'固定基底'!$B$4/1000</x:f>
        <x:v>0.516</x:v>
      </x:c>
      <x:c r="Y36" s="6" t="n">
        <x:f>Q36*'固定基底'!$B$4/1000</x:f>
        <x:v>11.06</x:v>
      </x:c>
      <x:c r="Z36" s="6" t="n">
        <x:f>R36*'固定基底'!$B$4/1000</x:f>
        <x:v>9.28</x:v>
      </x:c>
      <x:c r="AA36" s="2" t="n">
        <x:f>'固定基底'!$C$7</x:f>
        <x:v>92796.92267241378</x:v>
      </x:c>
      <x:c r="AB36" s="2" t="n">
        <x:f>'固定基底'!$C$8</x:f>
        <x:v>104175.5097553192</x:v>
      </x:c>
      <x:c r="AC36" s="2" t="n">
        <x:f>'固定基底'!$E$7</x:f>
        <x:v>1855.9384534482756</x:v>
      </x:c>
      <x:c r="AD36" s="2" t="n">
        <x:f>'固定基底'!$E$8</x:f>
        <x:v>2083.510195106384</x:v>
      </x:c>
    </x:row>
    <x:row r="37" ht="25" customHeight="1">
      <x:c r="A37" s="5" t="str">
        <x:v>G02-04</x:v>
      </x:c>
      <x:c r="B37" s="5" t="str">
        <x:v>G02</x:v>
      </x:c>
      <x:c r="C37" s="5" t="str">
        <x:v>BBD</x:v>
      </x:c>
      <x:c r="D37" s="5" t="str">
        <x:v>拟合</x:v>
      </x:c>
      <x:c r="E37" s="5" t="str">
        <x:v>边点</x:v>
      </x:c>
      <x:c r="F37" s="5" t="str"/>
      <x:c r="G37" s="5" t="str">
        <x:v>己酸乙酯</x:v>
      </x:c>
      <x:c r="H37" s="5" t="str">
        <x:v>辛酸乙酯</x:v>
      </x:c>
      <x:c r="I37" s="5" t="str">
        <x:v>异戊酸乙酯（3-甲基丁酸乙酯）</x:v>
      </x:c>
      <x:c r="J37" s="5" t="str">
        <x:v>2-甲基丁酸乙酯</x:v>
      </x:c>
      <x:c r="K37" s="5" t="str">
        <x:v>H</x:v>
      </x:c>
      <x:c r="L37" s="5" t="str">
        <x:v>H</x:v>
      </x:c>
      <x:c r="M37" s="5" t="str">
        <x:v>M</x:v>
      </x:c>
      <x:c r="N37" s="5" t="str">
        <x:v>M</x:v>
      </x:c>
      <x:c r="O37" s="6" t="n">
        <x:f>'浓度水平'!H31</x:f>
        <x:v>9622120</x:v>
      </x:c>
      <x:c r="P37" s="6" t="n">
        <x:f>'浓度水平'!H20</x:f>
        <x:v>1865945</x:v>
      </x:c>
      <x:c r="Q37" s="6" t="n">
        <x:f>'浓度水平'!G23</x:f>
        <x:v>553</x:v>
      </x:c>
      <x:c r="R37" s="6" t="n">
        <x:f>'浓度水平'!G45</x:f>
        <x:v>464</x:v>
      </x:c>
      <x:c r="S37" s="6" t="n">
        <x:f>O37/'浓度水平'!E31</x:f>
        <x:v>173998.5533453888</x:v>
      </x:c>
      <x:c r="T37" s="6" t="n">
        <x:f>P37/'浓度水平'!E20</x:f>
        <x:v>144646.8992248062</x:v>
      </x:c>
      <x:c r="U37" s="6" t="n">
        <x:f>Q37/'浓度水平'!E23</x:f>
        <x:v>80.2612481857765</x:v>
      </x:c>
      <x:c r="V37" s="6" t="n">
        <x:f>R37/'浓度水平'!E45</x:f>
        <x:v>25.77777777777778</x:v>
      </x:c>
      <x:c r="W37" s="6" t="n">
        <x:f>O37*'固定基底'!$B$4/1000</x:f>
        <x:v>192442.4</x:v>
      </x:c>
      <x:c r="X37" s="6" t="n">
        <x:f>P37*'固定基底'!$B$4/1000</x:f>
        <x:v>37318.9</x:v>
      </x:c>
      <x:c r="Y37" s="6" t="n">
        <x:f>Q37*'固定基底'!$B$4/1000</x:f>
        <x:v>11.06</x:v>
      </x:c>
      <x:c r="Z37" s="6" t="n">
        <x:f>R37*'固定基底'!$B$4/1000</x:f>
        <x:v>9.28</x:v>
      </x:c>
      <x:c r="AA37" s="2" t="n">
        <x:f>'固定基底'!$C$7</x:f>
        <x:v>92796.92267241378</x:v>
      </x:c>
      <x:c r="AB37" s="2" t="n">
        <x:f>'固定基底'!$C$8</x:f>
        <x:v>104175.5097553192</x:v>
      </x:c>
      <x:c r="AC37" s="2" t="n">
        <x:f>'固定基底'!$E$7</x:f>
        <x:v>1855.9384534482756</x:v>
      </x:c>
      <x:c r="AD37" s="2" t="n">
        <x:f>'固定基底'!$E$8</x:f>
        <x:v>2083.510195106384</x:v>
      </x:c>
    </x:row>
    <x:row r="38" ht="25" customHeight="1">
      <x:c r="A38" s="5" t="str">
        <x:v>G02-05</x:v>
      </x:c>
      <x:c r="B38" s="5" t="str">
        <x:v>G02</x:v>
      </x:c>
      <x:c r="C38" s="5" t="str">
        <x:v>BBD</x:v>
      </x:c>
      <x:c r="D38" s="5" t="str">
        <x:v>拟合</x:v>
      </x:c>
      <x:c r="E38" s="5" t="str">
        <x:v>边点</x:v>
      </x:c>
      <x:c r="F38" s="5" t="str"/>
      <x:c r="G38" s="5" t="str">
        <x:v>己酸乙酯</x:v>
      </x:c>
      <x:c r="H38" s="5" t="str">
        <x:v>辛酸乙酯</x:v>
      </x:c>
      <x:c r="I38" s="5" t="str">
        <x:v>异戊酸乙酯（3-甲基丁酸乙酯）</x:v>
      </x:c>
      <x:c r="J38" s="5" t="str">
        <x:v>2-甲基丁酸乙酯</x:v>
      </x:c>
      <x:c r="K38" s="5" t="str">
        <x:v>L</x:v>
      </x:c>
      <x:c r="L38" s="5" t="str">
        <x:v>M</x:v>
      </x:c>
      <x:c r="M38" s="5" t="str">
        <x:v>L</x:v>
      </x:c>
      <x:c r="N38" s="5" t="str">
        <x:v>M</x:v>
      </x:c>
      <x:c r="O38" s="6" t="n">
        <x:f>'浓度水平'!F31</x:f>
        <x:v>110.6</x:v>
      </x:c>
      <x:c r="P38" s="6" t="n">
        <x:f>'浓度水平'!G20</x:f>
        <x:v>1601</x:v>
      </x:c>
      <x:c r="Q38" s="6" t="n">
        <x:f>'浓度水平'!F23</x:f>
        <x:v>13.78</x:v>
      </x:c>
      <x:c r="R38" s="6" t="n">
        <x:f>'浓度水平'!G45</x:f>
        <x:v>464</x:v>
      </x:c>
      <x:c r="S38" s="6" t="n">
        <x:f>O38/'浓度水平'!E31</x:f>
        <x:v>2</x:v>
      </x:c>
      <x:c r="T38" s="6" t="n">
        <x:f>P38/'浓度水平'!E20</x:f>
        <x:v>124.10852713178294</x:v>
      </x:c>
      <x:c r="U38" s="6" t="n">
        <x:f>Q38/'浓度水平'!E23</x:f>
        <x:v>2</x:v>
      </x:c>
      <x:c r="V38" s="6" t="n">
        <x:f>R38/'浓度水平'!E45</x:f>
        <x:v>25.77777777777778</x:v>
      </x:c>
      <x:c r="W38" s="6" t="n">
        <x:f>O38*'固定基底'!$B$4/1000</x:f>
        <x:v>2.212</x:v>
      </x:c>
      <x:c r="X38" s="6" t="n">
        <x:f>P38*'固定基底'!$B$4/1000</x:f>
        <x:v>32.02</x:v>
      </x:c>
      <x:c r="Y38" s="6" t="n">
        <x:f>Q38*'固定基底'!$B$4/1000</x:f>
        <x:v>0.27559999999999996</x:v>
      </x:c>
      <x:c r="Z38" s="6" t="n">
        <x:f>R38*'固定基底'!$B$4/1000</x:f>
        <x:v>9.28</x:v>
      </x:c>
      <x:c r="AA38" s="2" t="n">
        <x:f>'固定基底'!$C$7</x:f>
        <x:v>92796.92267241378</x:v>
      </x:c>
      <x:c r="AB38" s="2" t="n">
        <x:f>'固定基底'!$C$8</x:f>
        <x:v>104175.5097553192</x:v>
      </x:c>
      <x:c r="AC38" s="2" t="n">
        <x:f>'固定基底'!$E$7</x:f>
        <x:v>1855.9384534482756</x:v>
      </x:c>
      <x:c r="AD38" s="2" t="n">
        <x:f>'固定基底'!$E$8</x:f>
        <x:v>2083.510195106384</x:v>
      </x:c>
    </x:row>
    <x:row r="39" ht="25" customHeight="1">
      <x:c r="A39" s="5" t="str">
        <x:v>G02-06</x:v>
      </x:c>
      <x:c r="B39" s="5" t="str">
        <x:v>G02</x:v>
      </x:c>
      <x:c r="C39" s="5" t="str">
        <x:v>BBD</x:v>
      </x:c>
      <x:c r="D39" s="5" t="str">
        <x:v>拟合</x:v>
      </x:c>
      <x:c r="E39" s="5" t="str">
        <x:v>边点</x:v>
      </x:c>
      <x:c r="F39" s="5" t="str"/>
      <x:c r="G39" s="5" t="str">
        <x:v>己酸乙酯</x:v>
      </x:c>
      <x:c r="H39" s="5" t="str">
        <x:v>辛酸乙酯</x:v>
      </x:c>
      <x:c r="I39" s="5" t="str">
        <x:v>异戊酸乙酯（3-甲基丁酸乙酯）</x:v>
      </x:c>
      <x:c r="J39" s="5" t="str">
        <x:v>2-甲基丁酸乙酯</x:v>
      </x:c>
      <x:c r="K39" s="5" t="str">
        <x:v>L</x:v>
      </x:c>
      <x:c r="L39" s="5" t="str">
        <x:v>M</x:v>
      </x:c>
      <x:c r="M39" s="5" t="str">
        <x:v>H</x:v>
      </x:c>
      <x:c r="N39" s="5" t="str">
        <x:v>M</x:v>
      </x:c>
      <x:c r="O39" s="6" t="n">
        <x:f>'浓度水平'!F31</x:f>
        <x:v>110.6</x:v>
      </x:c>
      <x:c r="P39" s="6" t="n">
        <x:f>'浓度水平'!G20</x:f>
        <x:v>1601</x:v>
      </x:c>
      <x:c r="Q39" s="6" t="n">
        <x:f>'浓度水平'!H23</x:f>
        <x:v>12022.2</x:v>
      </x:c>
      <x:c r="R39" s="6" t="n">
        <x:f>'浓度水平'!G45</x:f>
        <x:v>464</x:v>
      </x:c>
      <x:c r="S39" s="6" t="n">
        <x:f>O39/'浓度水平'!E31</x:f>
        <x:v>2</x:v>
      </x:c>
      <x:c r="T39" s="6" t="n">
        <x:f>P39/'浓度水平'!E20</x:f>
        <x:v>124.10852713178294</x:v>
      </x:c>
      <x:c r="U39" s="6" t="n">
        <x:f>Q39/'浓度水平'!E23</x:f>
        <x:v>1744.8766328011613</x:v>
      </x:c>
      <x:c r="V39" s="6" t="n">
        <x:f>R39/'浓度水平'!E45</x:f>
        <x:v>25.77777777777778</x:v>
      </x:c>
      <x:c r="W39" s="6" t="n">
        <x:f>O39*'固定基底'!$B$4/1000</x:f>
        <x:v>2.212</x:v>
      </x:c>
      <x:c r="X39" s="6" t="n">
        <x:f>P39*'固定基底'!$B$4/1000</x:f>
        <x:v>32.02</x:v>
      </x:c>
      <x:c r="Y39" s="6" t="n">
        <x:f>Q39*'固定基底'!$B$4/1000</x:f>
        <x:v>240.444</x:v>
      </x:c>
      <x:c r="Z39" s="6" t="n">
        <x:f>R39*'固定基底'!$B$4/1000</x:f>
        <x:v>9.28</x:v>
      </x:c>
      <x:c r="AA39" s="2" t="n">
        <x:f>'固定基底'!$C$7</x:f>
        <x:v>92796.92267241378</x:v>
      </x:c>
      <x:c r="AB39" s="2" t="n">
        <x:f>'固定基底'!$C$8</x:f>
        <x:v>104175.5097553192</x:v>
      </x:c>
      <x:c r="AC39" s="2" t="n">
        <x:f>'固定基底'!$E$7</x:f>
        <x:v>1855.9384534482756</x:v>
      </x:c>
      <x:c r="AD39" s="2" t="n">
        <x:f>'固定基底'!$E$8</x:f>
        <x:v>2083.510195106384</x:v>
      </x:c>
    </x:row>
    <x:row r="40" ht="25" customHeight="1">
      <x:c r="A40" s="5" t="str">
        <x:v>G02-07</x:v>
      </x:c>
      <x:c r="B40" s="5" t="str">
        <x:v>G02</x:v>
      </x:c>
      <x:c r="C40" s="5" t="str">
        <x:v>BBD</x:v>
      </x:c>
      <x:c r="D40" s="5" t="str">
        <x:v>拟合</x:v>
      </x:c>
      <x:c r="E40" s="5" t="str">
        <x:v>边点</x:v>
      </x:c>
      <x:c r="F40" s="5" t="str"/>
      <x:c r="G40" s="5" t="str">
        <x:v>己酸乙酯</x:v>
      </x:c>
      <x:c r="H40" s="5" t="str">
        <x:v>辛酸乙酯</x:v>
      </x:c>
      <x:c r="I40" s="5" t="str">
        <x:v>异戊酸乙酯（3-甲基丁酸乙酯）</x:v>
      </x:c>
      <x:c r="J40" s="5" t="str">
        <x:v>2-甲基丁酸乙酯</x:v>
      </x:c>
      <x:c r="K40" s="5" t="str">
        <x:v>H</x:v>
      </x:c>
      <x:c r="L40" s="5" t="str">
        <x:v>M</x:v>
      </x:c>
      <x:c r="M40" s="5" t="str">
        <x:v>L</x:v>
      </x:c>
      <x:c r="N40" s="5" t="str">
        <x:v>M</x:v>
      </x:c>
      <x:c r="O40" s="6" t="n">
        <x:f>'浓度水平'!H31</x:f>
        <x:v>9622120</x:v>
      </x:c>
      <x:c r="P40" s="6" t="n">
        <x:f>'浓度水平'!G20</x:f>
        <x:v>1601</x:v>
      </x:c>
      <x:c r="Q40" s="6" t="n">
        <x:f>'浓度水平'!F23</x:f>
        <x:v>13.78</x:v>
      </x:c>
      <x:c r="R40" s="6" t="n">
        <x:f>'浓度水平'!G45</x:f>
        <x:v>464</x:v>
      </x:c>
      <x:c r="S40" s="6" t="n">
        <x:f>O40/'浓度水平'!E31</x:f>
        <x:v>173998.5533453888</x:v>
      </x:c>
      <x:c r="T40" s="6" t="n">
        <x:f>P40/'浓度水平'!E20</x:f>
        <x:v>124.10852713178294</x:v>
      </x:c>
      <x:c r="U40" s="6" t="n">
        <x:f>Q40/'浓度水平'!E23</x:f>
        <x:v>2</x:v>
      </x:c>
      <x:c r="V40" s="6" t="n">
        <x:f>R40/'浓度水平'!E45</x:f>
        <x:v>25.77777777777778</x:v>
      </x:c>
      <x:c r="W40" s="6" t="n">
        <x:f>O40*'固定基底'!$B$4/1000</x:f>
        <x:v>192442.4</x:v>
      </x:c>
      <x:c r="X40" s="6" t="n">
        <x:f>P40*'固定基底'!$B$4/1000</x:f>
        <x:v>32.02</x:v>
      </x:c>
      <x:c r="Y40" s="6" t="n">
        <x:f>Q40*'固定基底'!$B$4/1000</x:f>
        <x:v>0.27559999999999996</x:v>
      </x:c>
      <x:c r="Z40" s="6" t="n">
        <x:f>R40*'固定基底'!$B$4/1000</x:f>
        <x:v>9.28</x:v>
      </x:c>
      <x:c r="AA40" s="2" t="n">
        <x:f>'固定基底'!$C$7</x:f>
        <x:v>92796.92267241378</x:v>
      </x:c>
      <x:c r="AB40" s="2" t="n">
        <x:f>'固定基底'!$C$8</x:f>
        <x:v>104175.5097553192</x:v>
      </x:c>
      <x:c r="AC40" s="2" t="n">
        <x:f>'固定基底'!$E$7</x:f>
        <x:v>1855.9384534482756</x:v>
      </x:c>
      <x:c r="AD40" s="2" t="n">
        <x:f>'固定基底'!$E$8</x:f>
        <x:v>2083.510195106384</x:v>
      </x:c>
    </x:row>
    <x:row r="41" ht="25" customHeight="1">
      <x:c r="A41" s="5" t="str">
        <x:v>G02-08</x:v>
      </x:c>
      <x:c r="B41" s="5" t="str">
        <x:v>G02</x:v>
      </x:c>
      <x:c r="C41" s="5" t="str">
        <x:v>BBD</x:v>
      </x:c>
      <x:c r="D41" s="5" t="str">
        <x:v>拟合</x:v>
      </x:c>
      <x:c r="E41" s="5" t="str">
        <x:v>边点</x:v>
      </x:c>
      <x:c r="F41" s="5" t="str"/>
      <x:c r="G41" s="5" t="str">
        <x:v>己酸乙酯</x:v>
      </x:c>
      <x:c r="H41" s="5" t="str">
        <x:v>辛酸乙酯</x:v>
      </x:c>
      <x:c r="I41" s="5" t="str">
        <x:v>异戊酸乙酯（3-甲基丁酸乙酯）</x:v>
      </x:c>
      <x:c r="J41" s="5" t="str">
        <x:v>2-甲基丁酸乙酯</x:v>
      </x:c>
      <x:c r="K41" s="5" t="str">
        <x:v>H</x:v>
      </x:c>
      <x:c r="L41" s="5" t="str">
        <x:v>M</x:v>
      </x:c>
      <x:c r="M41" s="5" t="str">
        <x:v>H</x:v>
      </x:c>
      <x:c r="N41" s="5" t="str">
        <x:v>M</x:v>
      </x:c>
      <x:c r="O41" s="6" t="n">
        <x:f>'浓度水平'!H31</x:f>
        <x:v>9622120</x:v>
      </x:c>
      <x:c r="P41" s="6" t="n">
        <x:f>'浓度水平'!G20</x:f>
        <x:v>1601</x:v>
      </x:c>
      <x:c r="Q41" s="6" t="n">
        <x:f>'浓度水平'!H23</x:f>
        <x:v>12022.2</x:v>
      </x:c>
      <x:c r="R41" s="6" t="n">
        <x:f>'浓度水平'!G45</x:f>
        <x:v>464</x:v>
      </x:c>
      <x:c r="S41" s="6" t="n">
        <x:f>O41/'浓度水平'!E31</x:f>
        <x:v>173998.5533453888</x:v>
      </x:c>
      <x:c r="T41" s="6" t="n">
        <x:f>P41/'浓度水平'!E20</x:f>
        <x:v>124.10852713178294</x:v>
      </x:c>
      <x:c r="U41" s="6" t="n">
        <x:f>Q41/'浓度水平'!E23</x:f>
        <x:v>1744.8766328011613</x:v>
      </x:c>
      <x:c r="V41" s="6" t="n">
        <x:f>R41/'浓度水平'!E45</x:f>
        <x:v>25.77777777777778</x:v>
      </x:c>
      <x:c r="W41" s="6" t="n">
        <x:f>O41*'固定基底'!$B$4/1000</x:f>
        <x:v>192442.4</x:v>
      </x:c>
      <x:c r="X41" s="6" t="n">
        <x:f>P41*'固定基底'!$B$4/1000</x:f>
        <x:v>32.02</x:v>
      </x:c>
      <x:c r="Y41" s="6" t="n">
        <x:f>Q41*'固定基底'!$B$4/1000</x:f>
        <x:v>240.444</x:v>
      </x:c>
      <x:c r="Z41" s="6" t="n">
        <x:f>R41*'固定基底'!$B$4/1000</x:f>
        <x:v>9.28</x:v>
      </x:c>
      <x:c r="AA41" s="2" t="n">
        <x:f>'固定基底'!$C$7</x:f>
        <x:v>92796.92267241378</x:v>
      </x:c>
      <x:c r="AB41" s="2" t="n">
        <x:f>'固定基底'!$C$8</x:f>
        <x:v>104175.5097553192</x:v>
      </x:c>
      <x:c r="AC41" s="2" t="n">
        <x:f>'固定基底'!$E$7</x:f>
        <x:v>1855.9384534482756</x:v>
      </x:c>
      <x:c r="AD41" s="2" t="n">
        <x:f>'固定基底'!$E$8</x:f>
        <x:v>2083.510195106384</x:v>
      </x:c>
    </x:row>
    <x:row r="42" ht="25" customHeight="1">
      <x:c r="A42" s="5" t="str">
        <x:v>G02-09</x:v>
      </x:c>
      <x:c r="B42" s="5" t="str">
        <x:v>G02</x:v>
      </x:c>
      <x:c r="C42" s="5" t="str">
        <x:v>BBD</x:v>
      </x:c>
      <x:c r="D42" s="5" t="str">
        <x:v>拟合</x:v>
      </x:c>
      <x:c r="E42" s="5" t="str">
        <x:v>边点</x:v>
      </x:c>
      <x:c r="F42" s="5" t="str"/>
      <x:c r="G42" s="5" t="str">
        <x:v>己酸乙酯</x:v>
      </x:c>
      <x:c r="H42" s="5" t="str">
        <x:v>辛酸乙酯</x:v>
      </x:c>
      <x:c r="I42" s="5" t="str">
        <x:v>异戊酸乙酯（3-甲基丁酸乙酯）</x:v>
      </x:c>
      <x:c r="J42" s="5" t="str">
        <x:v>2-甲基丁酸乙酯</x:v>
      </x:c>
      <x:c r="K42" s="5" t="str">
        <x:v>L</x:v>
      </x:c>
      <x:c r="L42" s="5" t="str">
        <x:v>M</x:v>
      </x:c>
      <x:c r="M42" s="5" t="str">
        <x:v>M</x:v>
      </x:c>
      <x:c r="N42" s="5" t="str">
        <x:v>L</x:v>
      </x:c>
      <x:c r="O42" s="6" t="n">
        <x:f>'浓度水平'!F31</x:f>
        <x:v>110.6</x:v>
      </x:c>
      <x:c r="P42" s="6" t="n">
        <x:f>'浓度水平'!G20</x:f>
        <x:v>1601</x:v>
      </x:c>
      <x:c r="Q42" s="6" t="n">
        <x:f>'浓度水平'!G23</x:f>
        <x:v>553</x:v>
      </x:c>
      <x:c r="R42" s="6" t="n">
        <x:f>'浓度水平'!F45</x:f>
        <x:v>36</x:v>
      </x:c>
      <x:c r="S42" s="6" t="n">
        <x:f>O42/'浓度水平'!E31</x:f>
        <x:v>2</x:v>
      </x:c>
      <x:c r="T42" s="6" t="n">
        <x:f>P42/'浓度水平'!E20</x:f>
        <x:v>124.10852713178294</x:v>
      </x:c>
      <x:c r="U42" s="6" t="n">
        <x:f>Q42/'浓度水平'!E23</x:f>
        <x:v>80.2612481857765</x:v>
      </x:c>
      <x:c r="V42" s="6" t="n">
        <x:f>R42/'浓度水平'!E45</x:f>
        <x:v>2</x:v>
      </x:c>
      <x:c r="W42" s="6" t="n">
        <x:f>O42*'固定基底'!$B$4/1000</x:f>
        <x:v>2.212</x:v>
      </x:c>
      <x:c r="X42" s="6" t="n">
        <x:f>P42*'固定基底'!$B$4/1000</x:f>
        <x:v>32.02</x:v>
      </x:c>
      <x:c r="Y42" s="6" t="n">
        <x:f>Q42*'固定基底'!$B$4/1000</x:f>
        <x:v>11.06</x:v>
      </x:c>
      <x:c r="Z42" s="6" t="n">
        <x:f>R42*'固定基底'!$B$4/1000</x:f>
        <x:v>0.72</x:v>
      </x:c>
      <x:c r="AA42" s="2" t="n">
        <x:f>'固定基底'!$C$7</x:f>
        <x:v>92796.92267241378</x:v>
      </x:c>
      <x:c r="AB42" s="2" t="n">
        <x:f>'固定基底'!$C$8</x:f>
        <x:v>104175.5097553192</x:v>
      </x:c>
      <x:c r="AC42" s="2" t="n">
        <x:f>'固定基底'!$E$7</x:f>
        <x:v>1855.9384534482756</x:v>
      </x:c>
      <x:c r="AD42" s="2" t="n">
        <x:f>'固定基底'!$E$8</x:f>
        <x:v>2083.510195106384</x:v>
      </x:c>
    </x:row>
    <x:row r="43" ht="25" customHeight="1">
      <x:c r="A43" s="5" t="str">
        <x:v>G02-10</x:v>
      </x:c>
      <x:c r="B43" s="5" t="str">
        <x:v>G02</x:v>
      </x:c>
      <x:c r="C43" s="5" t="str">
        <x:v>BBD</x:v>
      </x:c>
      <x:c r="D43" s="5" t="str">
        <x:v>拟合</x:v>
      </x:c>
      <x:c r="E43" s="5" t="str">
        <x:v>边点</x:v>
      </x:c>
      <x:c r="F43" s="5" t="str"/>
      <x:c r="G43" s="5" t="str">
        <x:v>己酸乙酯</x:v>
      </x:c>
      <x:c r="H43" s="5" t="str">
        <x:v>辛酸乙酯</x:v>
      </x:c>
      <x:c r="I43" s="5" t="str">
        <x:v>异戊酸乙酯（3-甲基丁酸乙酯）</x:v>
      </x:c>
      <x:c r="J43" s="5" t="str">
        <x:v>2-甲基丁酸乙酯</x:v>
      </x:c>
      <x:c r="K43" s="5" t="str">
        <x:v>L</x:v>
      </x:c>
      <x:c r="L43" s="5" t="str">
        <x:v>M</x:v>
      </x:c>
      <x:c r="M43" s="5" t="str">
        <x:v>M</x:v>
      </x:c>
      <x:c r="N43" s="5" t="str">
        <x:v>H</x:v>
      </x:c>
      <x:c r="O43" s="6" t="n">
        <x:f>'浓度水平'!F31</x:f>
        <x:v>110.6</x:v>
      </x:c>
      <x:c r="P43" s="6" t="n">
        <x:f>'浓度水平'!G20</x:f>
        <x:v>1601</x:v>
      </x:c>
      <x:c r="Q43" s="6" t="n">
        <x:f>'浓度水平'!G23</x:f>
        <x:v>553</x:v>
      </x:c>
      <x:c r="R43" s="6" t="n">
        <x:f>'浓度水平'!H45</x:f>
        <x:v>1611</x:v>
      </x:c>
      <x:c r="S43" s="6" t="n">
        <x:f>O43/'浓度水平'!E31</x:f>
        <x:v>2</x:v>
      </x:c>
      <x:c r="T43" s="6" t="n">
        <x:f>P43/'浓度水平'!E20</x:f>
        <x:v>124.10852713178294</x:v>
      </x:c>
      <x:c r="U43" s="6" t="n">
        <x:f>Q43/'浓度水平'!E23</x:f>
        <x:v>80.2612481857765</x:v>
      </x:c>
      <x:c r="V43" s="6" t="n">
        <x:f>R43/'浓度水平'!E45</x:f>
        <x:v>89.5</x:v>
      </x:c>
      <x:c r="W43" s="6" t="n">
        <x:f>O43*'固定基底'!$B$4/1000</x:f>
        <x:v>2.212</x:v>
      </x:c>
      <x:c r="X43" s="6" t="n">
        <x:f>P43*'固定基底'!$B$4/1000</x:f>
        <x:v>32.02</x:v>
      </x:c>
      <x:c r="Y43" s="6" t="n">
        <x:f>Q43*'固定基底'!$B$4/1000</x:f>
        <x:v>11.06</x:v>
      </x:c>
      <x:c r="Z43" s="6" t="n">
        <x:f>R43*'固定基底'!$B$4/1000</x:f>
        <x:v>32.22</x:v>
      </x:c>
      <x:c r="AA43" s="2" t="n">
        <x:f>'固定基底'!$C$7</x:f>
        <x:v>92796.92267241378</x:v>
      </x:c>
      <x:c r="AB43" s="2" t="n">
        <x:f>'固定基底'!$C$8</x:f>
        <x:v>104175.5097553192</x:v>
      </x:c>
      <x:c r="AC43" s="2" t="n">
        <x:f>'固定基底'!$E$7</x:f>
        <x:v>1855.9384534482756</x:v>
      </x:c>
      <x:c r="AD43" s="2" t="n">
        <x:f>'固定基底'!$E$8</x:f>
        <x:v>2083.510195106384</x:v>
      </x:c>
    </x:row>
    <x:row r="44" ht="25" customHeight="1">
      <x:c r="A44" s="5" t="str">
        <x:v>G02-11</x:v>
      </x:c>
      <x:c r="B44" s="5" t="str">
        <x:v>G02</x:v>
      </x:c>
      <x:c r="C44" s="5" t="str">
        <x:v>BBD</x:v>
      </x:c>
      <x:c r="D44" s="5" t="str">
        <x:v>拟合</x:v>
      </x:c>
      <x:c r="E44" s="5" t="str">
        <x:v>边点</x:v>
      </x:c>
      <x:c r="F44" s="5" t="str"/>
      <x:c r="G44" s="5" t="str">
        <x:v>己酸乙酯</x:v>
      </x:c>
      <x:c r="H44" s="5" t="str">
        <x:v>辛酸乙酯</x:v>
      </x:c>
      <x:c r="I44" s="5" t="str">
        <x:v>异戊酸乙酯（3-甲基丁酸乙酯）</x:v>
      </x:c>
      <x:c r="J44" s="5" t="str">
        <x:v>2-甲基丁酸乙酯</x:v>
      </x:c>
      <x:c r="K44" s="5" t="str">
        <x:v>H</x:v>
      </x:c>
      <x:c r="L44" s="5" t="str">
        <x:v>M</x:v>
      </x:c>
      <x:c r="M44" s="5" t="str">
        <x:v>M</x:v>
      </x:c>
      <x:c r="N44" s="5" t="str">
        <x:v>L</x:v>
      </x:c>
      <x:c r="O44" s="6" t="n">
        <x:f>'浓度水平'!H31</x:f>
        <x:v>9622120</x:v>
      </x:c>
      <x:c r="P44" s="6" t="n">
        <x:f>'浓度水平'!G20</x:f>
        <x:v>1601</x:v>
      </x:c>
      <x:c r="Q44" s="6" t="n">
        <x:f>'浓度水平'!G23</x:f>
        <x:v>553</x:v>
      </x:c>
      <x:c r="R44" s="6" t="n">
        <x:f>'浓度水平'!F45</x:f>
        <x:v>36</x:v>
      </x:c>
      <x:c r="S44" s="6" t="n">
        <x:f>O44/'浓度水平'!E31</x:f>
        <x:v>173998.5533453888</x:v>
      </x:c>
      <x:c r="T44" s="6" t="n">
        <x:f>P44/'浓度水平'!E20</x:f>
        <x:v>124.10852713178294</x:v>
      </x:c>
      <x:c r="U44" s="6" t="n">
        <x:f>Q44/'浓度水平'!E23</x:f>
        <x:v>80.2612481857765</x:v>
      </x:c>
      <x:c r="V44" s="6" t="n">
        <x:f>R44/'浓度水平'!E45</x:f>
        <x:v>2</x:v>
      </x:c>
      <x:c r="W44" s="6" t="n">
        <x:f>O44*'固定基底'!$B$4/1000</x:f>
        <x:v>192442.4</x:v>
      </x:c>
      <x:c r="X44" s="6" t="n">
        <x:f>P44*'固定基底'!$B$4/1000</x:f>
        <x:v>32.02</x:v>
      </x:c>
      <x:c r="Y44" s="6" t="n">
        <x:f>Q44*'固定基底'!$B$4/1000</x:f>
        <x:v>11.06</x:v>
      </x:c>
      <x:c r="Z44" s="6" t="n">
        <x:f>R44*'固定基底'!$B$4/1000</x:f>
        <x:v>0.72</x:v>
      </x:c>
      <x:c r="AA44" s="2" t="n">
        <x:f>'固定基底'!$C$7</x:f>
        <x:v>92796.92267241378</x:v>
      </x:c>
      <x:c r="AB44" s="2" t="n">
        <x:f>'固定基底'!$C$8</x:f>
        <x:v>104175.5097553192</x:v>
      </x:c>
      <x:c r="AC44" s="2" t="n">
        <x:f>'固定基底'!$E$7</x:f>
        <x:v>1855.9384534482756</x:v>
      </x:c>
      <x:c r="AD44" s="2" t="n">
        <x:f>'固定基底'!$E$8</x:f>
        <x:v>2083.510195106384</x:v>
      </x:c>
    </x:row>
    <x:row r="45" ht="25" customHeight="1">
      <x:c r="A45" s="5" t="str">
        <x:v>G02-12</x:v>
      </x:c>
      <x:c r="B45" s="5" t="str">
        <x:v>G02</x:v>
      </x:c>
      <x:c r="C45" s="5" t="str">
        <x:v>BBD</x:v>
      </x:c>
      <x:c r="D45" s="5" t="str">
        <x:v>拟合</x:v>
      </x:c>
      <x:c r="E45" s="5" t="str">
        <x:v>边点</x:v>
      </x:c>
      <x:c r="F45" s="5" t="str"/>
      <x:c r="G45" s="5" t="str">
        <x:v>己酸乙酯</x:v>
      </x:c>
      <x:c r="H45" s="5" t="str">
        <x:v>辛酸乙酯</x:v>
      </x:c>
      <x:c r="I45" s="5" t="str">
        <x:v>异戊酸乙酯（3-甲基丁酸乙酯）</x:v>
      </x:c>
      <x:c r="J45" s="5" t="str">
        <x:v>2-甲基丁酸乙酯</x:v>
      </x:c>
      <x:c r="K45" s="5" t="str">
        <x:v>H</x:v>
      </x:c>
      <x:c r="L45" s="5" t="str">
        <x:v>M</x:v>
      </x:c>
      <x:c r="M45" s="5" t="str">
        <x:v>M</x:v>
      </x:c>
      <x:c r="N45" s="5" t="str">
        <x:v>H</x:v>
      </x:c>
      <x:c r="O45" s="6" t="n">
        <x:f>'浓度水平'!H31</x:f>
        <x:v>9622120</x:v>
      </x:c>
      <x:c r="P45" s="6" t="n">
        <x:f>'浓度水平'!G20</x:f>
        <x:v>1601</x:v>
      </x:c>
      <x:c r="Q45" s="6" t="n">
        <x:f>'浓度水平'!G23</x:f>
        <x:v>553</x:v>
      </x:c>
      <x:c r="R45" s="6" t="n">
        <x:f>'浓度水平'!H45</x:f>
        <x:v>1611</x:v>
      </x:c>
      <x:c r="S45" s="6" t="n">
        <x:f>O45/'浓度水平'!E31</x:f>
        <x:v>173998.5533453888</x:v>
      </x:c>
      <x:c r="T45" s="6" t="n">
        <x:f>P45/'浓度水平'!E20</x:f>
        <x:v>124.10852713178294</x:v>
      </x:c>
      <x:c r="U45" s="6" t="n">
        <x:f>Q45/'浓度水平'!E23</x:f>
        <x:v>80.2612481857765</x:v>
      </x:c>
      <x:c r="V45" s="6" t="n">
        <x:f>R45/'浓度水平'!E45</x:f>
        <x:v>89.5</x:v>
      </x:c>
      <x:c r="W45" s="6" t="n">
        <x:f>O45*'固定基底'!$B$4/1000</x:f>
        <x:v>192442.4</x:v>
      </x:c>
      <x:c r="X45" s="6" t="n">
        <x:f>P45*'固定基底'!$B$4/1000</x:f>
        <x:v>32.02</x:v>
      </x:c>
      <x:c r="Y45" s="6" t="n">
        <x:f>Q45*'固定基底'!$B$4/1000</x:f>
        <x:v>11.06</x:v>
      </x:c>
      <x:c r="Z45" s="6" t="n">
        <x:f>R45*'固定基底'!$B$4/1000</x:f>
        <x:v>32.22</x:v>
      </x:c>
      <x:c r="AA45" s="2" t="n">
        <x:f>'固定基底'!$C$7</x:f>
        <x:v>92796.92267241378</x:v>
      </x:c>
      <x:c r="AB45" s="2" t="n">
        <x:f>'固定基底'!$C$8</x:f>
        <x:v>104175.5097553192</x:v>
      </x:c>
      <x:c r="AC45" s="2" t="n">
        <x:f>'固定基底'!$E$7</x:f>
        <x:v>1855.9384534482756</x:v>
      </x:c>
      <x:c r="AD45" s="2" t="n">
        <x:f>'固定基底'!$E$8</x:f>
        <x:v>2083.510195106384</x:v>
      </x:c>
    </x:row>
    <x:row r="46" ht="25" customHeight="1">
      <x:c r="A46" s="5" t="str">
        <x:v>G02-13</x:v>
      </x:c>
      <x:c r="B46" s="5" t="str">
        <x:v>G02</x:v>
      </x:c>
      <x:c r="C46" s="5" t="str">
        <x:v>BBD</x:v>
      </x:c>
      <x:c r="D46" s="5" t="str">
        <x:v>拟合</x:v>
      </x:c>
      <x:c r="E46" s="5" t="str">
        <x:v>边点</x:v>
      </x:c>
      <x:c r="F46" s="5" t="str"/>
      <x:c r="G46" s="5" t="str">
        <x:v>己酸乙酯</x:v>
      </x:c>
      <x:c r="H46" s="5" t="str">
        <x:v>辛酸乙酯</x:v>
      </x:c>
      <x:c r="I46" s="5" t="str">
        <x:v>异戊酸乙酯（3-甲基丁酸乙酯）</x:v>
      </x:c>
      <x:c r="J46" s="5" t="str">
        <x:v>2-甲基丁酸乙酯</x:v>
      </x:c>
      <x:c r="K46" s="5" t="str">
        <x:v>M</x:v>
      </x:c>
      <x:c r="L46" s="5" t="str">
        <x:v>L</x:v>
      </x:c>
      <x:c r="M46" s="5" t="str">
        <x:v>L</x:v>
      </x:c>
      <x:c r="N46" s="5" t="str">
        <x:v>M</x:v>
      </x:c>
      <x:c r="O46" s="6" t="n">
        <x:f>'浓度水平'!G31</x:f>
        <x:v>215340</x:v>
      </x:c>
      <x:c r="P46" s="6" t="n">
        <x:f>'浓度水平'!F20</x:f>
        <x:v>25.8</x:v>
      </x:c>
      <x:c r="Q46" s="6" t="n">
        <x:f>'浓度水平'!F23</x:f>
        <x:v>13.78</x:v>
      </x:c>
      <x:c r="R46" s="6" t="n">
        <x:f>'浓度水平'!G45</x:f>
        <x:v>464</x:v>
      </x:c>
      <x:c r="S46" s="6" t="n">
        <x:f>O46/'浓度水平'!E31</x:f>
        <x:v>3894.0325497287527</x:v>
      </x:c>
      <x:c r="T46" s="6" t="n">
        <x:f>P46/'浓度水平'!E20</x:f>
        <x:v>2</x:v>
      </x:c>
      <x:c r="U46" s="6" t="n">
        <x:f>Q46/'浓度水平'!E23</x:f>
        <x:v>2</x:v>
      </x:c>
      <x:c r="V46" s="6" t="n">
        <x:f>R46/'浓度水平'!E45</x:f>
        <x:v>25.77777777777778</x:v>
      </x:c>
      <x:c r="W46" s="6" t="n">
        <x:f>O46*'固定基底'!$B$4/1000</x:f>
        <x:v>4306.8</x:v>
      </x:c>
      <x:c r="X46" s="6" t="n">
        <x:f>P46*'固定基底'!$B$4/1000</x:f>
        <x:v>0.516</x:v>
      </x:c>
      <x:c r="Y46" s="6" t="n">
        <x:f>Q46*'固定基底'!$B$4/1000</x:f>
        <x:v>0.27559999999999996</x:v>
      </x:c>
      <x:c r="Z46" s="6" t="n">
        <x:f>R46*'固定基底'!$B$4/1000</x:f>
        <x:v>9.28</x:v>
      </x:c>
      <x:c r="AA46" s="2" t="n">
        <x:f>'固定基底'!$C$7</x:f>
        <x:v>92796.92267241378</x:v>
      </x:c>
      <x:c r="AB46" s="2" t="n">
        <x:f>'固定基底'!$C$8</x:f>
        <x:v>104175.5097553192</x:v>
      </x:c>
      <x:c r="AC46" s="2" t="n">
        <x:f>'固定基底'!$E$7</x:f>
        <x:v>1855.9384534482756</x:v>
      </x:c>
      <x:c r="AD46" s="2" t="n">
        <x:f>'固定基底'!$E$8</x:f>
        <x:v>2083.510195106384</x:v>
      </x:c>
    </x:row>
    <x:row r="47" ht="25" customHeight="1">
      <x:c r="A47" s="5" t="str">
        <x:v>G02-14</x:v>
      </x:c>
      <x:c r="B47" s="5" t="str">
        <x:v>G02</x:v>
      </x:c>
      <x:c r="C47" s="5" t="str">
        <x:v>BBD</x:v>
      </x:c>
      <x:c r="D47" s="5" t="str">
        <x:v>拟合</x:v>
      </x:c>
      <x:c r="E47" s="5" t="str">
        <x:v>边点</x:v>
      </x:c>
      <x:c r="F47" s="5" t="str"/>
      <x:c r="G47" s="5" t="str">
        <x:v>己酸乙酯</x:v>
      </x:c>
      <x:c r="H47" s="5" t="str">
        <x:v>辛酸乙酯</x:v>
      </x:c>
      <x:c r="I47" s="5" t="str">
        <x:v>异戊酸乙酯（3-甲基丁酸乙酯）</x:v>
      </x:c>
      <x:c r="J47" s="5" t="str">
        <x:v>2-甲基丁酸乙酯</x:v>
      </x:c>
      <x:c r="K47" s="5" t="str">
        <x:v>M</x:v>
      </x:c>
      <x:c r="L47" s="5" t="str">
        <x:v>L</x:v>
      </x:c>
      <x:c r="M47" s="5" t="str">
        <x:v>H</x:v>
      </x:c>
      <x:c r="N47" s="5" t="str">
        <x:v>M</x:v>
      </x:c>
      <x:c r="O47" s="6" t="n">
        <x:f>'浓度水平'!G31</x:f>
        <x:v>215340</x:v>
      </x:c>
      <x:c r="P47" s="6" t="n">
        <x:f>'浓度水平'!F20</x:f>
        <x:v>25.8</x:v>
      </x:c>
      <x:c r="Q47" s="6" t="n">
        <x:f>'浓度水平'!H23</x:f>
        <x:v>12022.2</x:v>
      </x:c>
      <x:c r="R47" s="6" t="n">
        <x:f>'浓度水平'!G45</x:f>
        <x:v>464</x:v>
      </x:c>
      <x:c r="S47" s="6" t="n">
        <x:f>O47/'浓度水平'!E31</x:f>
        <x:v>3894.0325497287527</x:v>
      </x:c>
      <x:c r="T47" s="6" t="n">
        <x:f>P47/'浓度水平'!E20</x:f>
        <x:v>2</x:v>
      </x:c>
      <x:c r="U47" s="6" t="n">
        <x:f>Q47/'浓度水平'!E23</x:f>
        <x:v>1744.8766328011613</x:v>
      </x:c>
      <x:c r="V47" s="6" t="n">
        <x:f>R47/'浓度水平'!E45</x:f>
        <x:v>25.77777777777778</x:v>
      </x:c>
      <x:c r="W47" s="6" t="n">
        <x:f>O47*'固定基底'!$B$4/1000</x:f>
        <x:v>4306.8</x:v>
      </x:c>
      <x:c r="X47" s="6" t="n">
        <x:f>P47*'固定基底'!$B$4/1000</x:f>
        <x:v>0.516</x:v>
      </x:c>
      <x:c r="Y47" s="6" t="n">
        <x:f>Q47*'固定基底'!$B$4/1000</x:f>
        <x:v>240.444</x:v>
      </x:c>
      <x:c r="Z47" s="6" t="n">
        <x:f>R47*'固定基底'!$B$4/1000</x:f>
        <x:v>9.28</x:v>
      </x:c>
      <x:c r="AA47" s="2" t="n">
        <x:f>'固定基底'!$C$7</x:f>
        <x:v>92796.92267241378</x:v>
      </x:c>
      <x:c r="AB47" s="2" t="n">
        <x:f>'固定基底'!$C$8</x:f>
        <x:v>104175.5097553192</x:v>
      </x:c>
      <x:c r="AC47" s="2" t="n">
        <x:f>'固定基底'!$E$7</x:f>
        <x:v>1855.9384534482756</x:v>
      </x:c>
      <x:c r="AD47" s="2" t="n">
        <x:f>'固定基底'!$E$8</x:f>
        <x:v>2083.510195106384</x:v>
      </x:c>
    </x:row>
    <x:row r="48" ht="25" customHeight="1">
      <x:c r="A48" s="5" t="str">
        <x:v>G02-15</x:v>
      </x:c>
      <x:c r="B48" s="5" t="str">
        <x:v>G02</x:v>
      </x:c>
      <x:c r="C48" s="5" t="str">
        <x:v>BBD</x:v>
      </x:c>
      <x:c r="D48" s="5" t="str">
        <x:v>拟合</x:v>
      </x:c>
      <x:c r="E48" s="5" t="str">
        <x:v>边点</x:v>
      </x:c>
      <x:c r="F48" s="5" t="str"/>
      <x:c r="G48" s="5" t="str">
        <x:v>己酸乙酯</x:v>
      </x:c>
      <x:c r="H48" s="5" t="str">
        <x:v>辛酸乙酯</x:v>
      </x:c>
      <x:c r="I48" s="5" t="str">
        <x:v>异戊酸乙酯（3-甲基丁酸乙酯）</x:v>
      </x:c>
      <x:c r="J48" s="5" t="str">
        <x:v>2-甲基丁酸乙酯</x:v>
      </x:c>
      <x:c r="K48" s="5" t="str">
        <x:v>M</x:v>
      </x:c>
      <x:c r="L48" s="5" t="str">
        <x:v>H</x:v>
      </x:c>
      <x:c r="M48" s="5" t="str">
        <x:v>L</x:v>
      </x:c>
      <x:c r="N48" s="5" t="str">
        <x:v>M</x:v>
      </x:c>
      <x:c r="O48" s="6" t="n">
        <x:f>'浓度水平'!G31</x:f>
        <x:v>215340</x:v>
      </x:c>
      <x:c r="P48" s="6" t="n">
        <x:f>'浓度水平'!H20</x:f>
        <x:v>1865945</x:v>
      </x:c>
      <x:c r="Q48" s="6" t="n">
        <x:f>'浓度水平'!F23</x:f>
        <x:v>13.78</x:v>
      </x:c>
      <x:c r="R48" s="6" t="n">
        <x:f>'浓度水平'!G45</x:f>
        <x:v>464</x:v>
      </x:c>
      <x:c r="S48" s="6" t="n">
        <x:f>O48/'浓度水平'!E31</x:f>
        <x:v>3894.0325497287527</x:v>
      </x:c>
      <x:c r="T48" s="6" t="n">
        <x:f>P48/'浓度水平'!E20</x:f>
        <x:v>144646.8992248062</x:v>
      </x:c>
      <x:c r="U48" s="6" t="n">
        <x:f>Q48/'浓度水平'!E23</x:f>
        <x:v>2</x:v>
      </x:c>
      <x:c r="V48" s="6" t="n">
        <x:f>R48/'浓度水平'!E45</x:f>
        <x:v>25.77777777777778</x:v>
      </x:c>
      <x:c r="W48" s="6" t="n">
        <x:f>O48*'固定基底'!$B$4/1000</x:f>
        <x:v>4306.8</x:v>
      </x:c>
      <x:c r="X48" s="6" t="n">
        <x:f>P48*'固定基底'!$B$4/1000</x:f>
        <x:v>37318.9</x:v>
      </x:c>
      <x:c r="Y48" s="6" t="n">
        <x:f>Q48*'固定基底'!$B$4/1000</x:f>
        <x:v>0.27559999999999996</x:v>
      </x:c>
      <x:c r="Z48" s="6" t="n">
        <x:f>R48*'固定基底'!$B$4/1000</x:f>
        <x:v>9.28</x:v>
      </x:c>
      <x:c r="AA48" s="2" t="n">
        <x:f>'固定基底'!$C$7</x:f>
        <x:v>92796.92267241378</x:v>
      </x:c>
      <x:c r="AB48" s="2" t="n">
        <x:f>'固定基底'!$C$8</x:f>
        <x:v>104175.5097553192</x:v>
      </x:c>
      <x:c r="AC48" s="2" t="n">
        <x:f>'固定基底'!$E$7</x:f>
        <x:v>1855.9384534482756</x:v>
      </x:c>
      <x:c r="AD48" s="2" t="n">
        <x:f>'固定基底'!$E$8</x:f>
        <x:v>2083.510195106384</x:v>
      </x:c>
    </x:row>
    <x:row r="49" ht="25" customHeight="1">
      <x:c r="A49" s="5" t="str">
        <x:v>G02-16</x:v>
      </x:c>
      <x:c r="B49" s="5" t="str">
        <x:v>G02</x:v>
      </x:c>
      <x:c r="C49" s="5" t="str">
        <x:v>BBD</x:v>
      </x:c>
      <x:c r="D49" s="5" t="str">
        <x:v>拟合</x:v>
      </x:c>
      <x:c r="E49" s="5" t="str">
        <x:v>边点</x:v>
      </x:c>
      <x:c r="F49" s="5" t="str"/>
      <x:c r="G49" s="5" t="str">
        <x:v>己酸乙酯</x:v>
      </x:c>
      <x:c r="H49" s="5" t="str">
        <x:v>辛酸乙酯</x:v>
      </x:c>
      <x:c r="I49" s="5" t="str">
        <x:v>异戊酸乙酯（3-甲基丁酸乙酯）</x:v>
      </x:c>
      <x:c r="J49" s="5" t="str">
        <x:v>2-甲基丁酸乙酯</x:v>
      </x:c>
      <x:c r="K49" s="5" t="str">
        <x:v>M</x:v>
      </x:c>
      <x:c r="L49" s="5" t="str">
        <x:v>H</x:v>
      </x:c>
      <x:c r="M49" s="5" t="str">
        <x:v>H</x:v>
      </x:c>
      <x:c r="N49" s="5" t="str">
        <x:v>M</x:v>
      </x:c>
      <x:c r="O49" s="6" t="n">
        <x:f>'浓度水平'!G31</x:f>
        <x:v>215340</x:v>
      </x:c>
      <x:c r="P49" s="6" t="n">
        <x:f>'浓度水平'!H20</x:f>
        <x:v>1865945</x:v>
      </x:c>
      <x:c r="Q49" s="6" t="n">
        <x:f>'浓度水平'!H23</x:f>
        <x:v>12022.2</x:v>
      </x:c>
      <x:c r="R49" s="6" t="n">
        <x:f>'浓度水平'!G45</x:f>
        <x:v>464</x:v>
      </x:c>
      <x:c r="S49" s="6" t="n">
        <x:f>O49/'浓度水平'!E31</x:f>
        <x:v>3894.0325497287527</x:v>
      </x:c>
      <x:c r="T49" s="6" t="n">
        <x:f>P49/'浓度水平'!E20</x:f>
        <x:v>144646.8992248062</x:v>
      </x:c>
      <x:c r="U49" s="6" t="n">
        <x:f>Q49/'浓度水平'!E23</x:f>
        <x:v>1744.8766328011613</x:v>
      </x:c>
      <x:c r="V49" s="6" t="n">
        <x:f>R49/'浓度水平'!E45</x:f>
        <x:v>25.77777777777778</x:v>
      </x:c>
      <x:c r="W49" s="6" t="n">
        <x:f>O49*'固定基底'!$B$4/1000</x:f>
        <x:v>4306.8</x:v>
      </x:c>
      <x:c r="X49" s="6" t="n">
        <x:f>P49*'固定基底'!$B$4/1000</x:f>
        <x:v>37318.9</x:v>
      </x:c>
      <x:c r="Y49" s="6" t="n">
        <x:f>Q49*'固定基底'!$B$4/1000</x:f>
        <x:v>240.444</x:v>
      </x:c>
      <x:c r="Z49" s="6" t="n">
        <x:f>R49*'固定基底'!$B$4/1000</x:f>
        <x:v>9.28</x:v>
      </x:c>
      <x:c r="AA49" s="2" t="n">
        <x:f>'固定基底'!$C$7</x:f>
        <x:v>92796.92267241378</x:v>
      </x:c>
      <x:c r="AB49" s="2" t="n">
        <x:f>'固定基底'!$C$8</x:f>
        <x:v>104175.5097553192</x:v>
      </x:c>
      <x:c r="AC49" s="2" t="n">
        <x:f>'固定基底'!$E$7</x:f>
        <x:v>1855.9384534482756</x:v>
      </x:c>
      <x:c r="AD49" s="2" t="n">
        <x:f>'固定基底'!$E$8</x:f>
        <x:v>2083.510195106384</x:v>
      </x:c>
    </x:row>
    <x:row r="50" ht="25" customHeight="1">
      <x:c r="A50" s="5" t="str">
        <x:v>G02-17</x:v>
      </x:c>
      <x:c r="B50" s="5" t="str">
        <x:v>G02</x:v>
      </x:c>
      <x:c r="C50" s="5" t="str">
        <x:v>BBD</x:v>
      </x:c>
      <x:c r="D50" s="5" t="str">
        <x:v>拟合</x:v>
      </x:c>
      <x:c r="E50" s="5" t="str">
        <x:v>边点</x:v>
      </x:c>
      <x:c r="F50" s="5" t="str"/>
      <x:c r="G50" s="5" t="str">
        <x:v>己酸乙酯</x:v>
      </x:c>
      <x:c r="H50" s="5" t="str">
        <x:v>辛酸乙酯</x:v>
      </x:c>
      <x:c r="I50" s="5" t="str">
        <x:v>异戊酸乙酯（3-甲基丁酸乙酯）</x:v>
      </x:c>
      <x:c r="J50" s="5" t="str">
        <x:v>2-甲基丁酸乙酯</x:v>
      </x:c>
      <x:c r="K50" s="5" t="str">
        <x:v>M</x:v>
      </x:c>
      <x:c r="L50" s="5" t="str">
        <x:v>L</x:v>
      </x:c>
      <x:c r="M50" s="5" t="str">
        <x:v>M</x:v>
      </x:c>
      <x:c r="N50" s="5" t="str">
        <x:v>L</x:v>
      </x:c>
      <x:c r="O50" s="6" t="n">
        <x:f>'浓度水平'!G31</x:f>
        <x:v>215340</x:v>
      </x:c>
      <x:c r="P50" s="6" t="n">
        <x:f>'浓度水平'!F20</x:f>
        <x:v>25.8</x:v>
      </x:c>
      <x:c r="Q50" s="6" t="n">
        <x:f>'浓度水平'!G23</x:f>
        <x:v>553</x:v>
      </x:c>
      <x:c r="R50" s="6" t="n">
        <x:f>'浓度水平'!F45</x:f>
        <x:v>36</x:v>
      </x:c>
      <x:c r="S50" s="6" t="n">
        <x:f>O50/'浓度水平'!E31</x:f>
        <x:v>3894.0325497287527</x:v>
      </x:c>
      <x:c r="T50" s="6" t="n">
        <x:f>P50/'浓度水平'!E20</x:f>
        <x:v>2</x:v>
      </x:c>
      <x:c r="U50" s="6" t="n">
        <x:f>Q50/'浓度水平'!E23</x:f>
        <x:v>80.2612481857765</x:v>
      </x:c>
      <x:c r="V50" s="6" t="n">
        <x:f>R50/'浓度水平'!E45</x:f>
        <x:v>2</x:v>
      </x:c>
      <x:c r="W50" s="6" t="n">
        <x:f>O50*'固定基底'!$B$4/1000</x:f>
        <x:v>4306.8</x:v>
      </x:c>
      <x:c r="X50" s="6" t="n">
        <x:f>P50*'固定基底'!$B$4/1000</x:f>
        <x:v>0.516</x:v>
      </x:c>
      <x:c r="Y50" s="6" t="n">
        <x:f>Q50*'固定基底'!$B$4/1000</x:f>
        <x:v>11.06</x:v>
      </x:c>
      <x:c r="Z50" s="6" t="n">
        <x:f>R50*'固定基底'!$B$4/1000</x:f>
        <x:v>0.72</x:v>
      </x:c>
      <x:c r="AA50" s="2" t="n">
        <x:f>'固定基底'!$C$7</x:f>
        <x:v>92796.92267241378</x:v>
      </x:c>
      <x:c r="AB50" s="2" t="n">
        <x:f>'固定基底'!$C$8</x:f>
        <x:v>104175.5097553192</x:v>
      </x:c>
      <x:c r="AC50" s="2" t="n">
        <x:f>'固定基底'!$E$7</x:f>
        <x:v>1855.9384534482756</x:v>
      </x:c>
      <x:c r="AD50" s="2" t="n">
        <x:f>'固定基底'!$E$8</x:f>
        <x:v>2083.510195106384</x:v>
      </x:c>
    </x:row>
    <x:row r="51" ht="25" customHeight="1">
      <x:c r="A51" s="5" t="str">
        <x:v>G02-18</x:v>
      </x:c>
      <x:c r="B51" s="5" t="str">
        <x:v>G02</x:v>
      </x:c>
      <x:c r="C51" s="5" t="str">
        <x:v>BBD</x:v>
      </x:c>
      <x:c r="D51" s="5" t="str">
        <x:v>拟合</x:v>
      </x:c>
      <x:c r="E51" s="5" t="str">
        <x:v>边点</x:v>
      </x:c>
      <x:c r="F51" s="5" t="str"/>
      <x:c r="G51" s="5" t="str">
        <x:v>己酸乙酯</x:v>
      </x:c>
      <x:c r="H51" s="5" t="str">
        <x:v>辛酸乙酯</x:v>
      </x:c>
      <x:c r="I51" s="5" t="str">
        <x:v>异戊酸乙酯（3-甲基丁酸乙酯）</x:v>
      </x:c>
      <x:c r="J51" s="5" t="str">
        <x:v>2-甲基丁酸乙酯</x:v>
      </x:c>
      <x:c r="K51" s="5" t="str">
        <x:v>M</x:v>
      </x:c>
      <x:c r="L51" s="5" t="str">
        <x:v>L</x:v>
      </x:c>
      <x:c r="M51" s="5" t="str">
        <x:v>M</x:v>
      </x:c>
      <x:c r="N51" s="5" t="str">
        <x:v>H</x:v>
      </x:c>
      <x:c r="O51" s="6" t="n">
        <x:f>'浓度水平'!G31</x:f>
        <x:v>215340</x:v>
      </x:c>
      <x:c r="P51" s="6" t="n">
        <x:f>'浓度水平'!F20</x:f>
        <x:v>25.8</x:v>
      </x:c>
      <x:c r="Q51" s="6" t="n">
        <x:f>'浓度水平'!G23</x:f>
        <x:v>553</x:v>
      </x:c>
      <x:c r="R51" s="6" t="n">
        <x:f>'浓度水平'!H45</x:f>
        <x:v>1611</x:v>
      </x:c>
      <x:c r="S51" s="6" t="n">
        <x:f>O51/'浓度水平'!E31</x:f>
        <x:v>3894.0325497287527</x:v>
      </x:c>
      <x:c r="T51" s="6" t="n">
        <x:f>P51/'浓度水平'!E20</x:f>
        <x:v>2</x:v>
      </x:c>
      <x:c r="U51" s="6" t="n">
        <x:f>Q51/'浓度水平'!E23</x:f>
        <x:v>80.2612481857765</x:v>
      </x:c>
      <x:c r="V51" s="6" t="n">
        <x:f>R51/'浓度水平'!E45</x:f>
        <x:v>89.5</x:v>
      </x:c>
      <x:c r="W51" s="6" t="n">
        <x:f>O51*'固定基底'!$B$4/1000</x:f>
        <x:v>4306.8</x:v>
      </x:c>
      <x:c r="X51" s="6" t="n">
        <x:f>P51*'固定基底'!$B$4/1000</x:f>
        <x:v>0.516</x:v>
      </x:c>
      <x:c r="Y51" s="6" t="n">
        <x:f>Q51*'固定基底'!$B$4/1000</x:f>
        <x:v>11.06</x:v>
      </x:c>
      <x:c r="Z51" s="6" t="n">
        <x:f>R51*'固定基底'!$B$4/1000</x:f>
        <x:v>32.22</x:v>
      </x:c>
      <x:c r="AA51" s="2" t="n">
        <x:f>'固定基底'!$C$7</x:f>
        <x:v>92796.92267241378</x:v>
      </x:c>
      <x:c r="AB51" s="2" t="n">
        <x:f>'固定基底'!$C$8</x:f>
        <x:v>104175.5097553192</x:v>
      </x:c>
      <x:c r="AC51" s="2" t="n">
        <x:f>'固定基底'!$E$7</x:f>
        <x:v>1855.9384534482756</x:v>
      </x:c>
      <x:c r="AD51" s="2" t="n">
        <x:f>'固定基底'!$E$8</x:f>
        <x:v>2083.510195106384</x:v>
      </x:c>
    </x:row>
    <x:row r="52" ht="25" customHeight="1">
      <x:c r="A52" s="5" t="str">
        <x:v>G02-19</x:v>
      </x:c>
      <x:c r="B52" s="5" t="str">
        <x:v>G02</x:v>
      </x:c>
      <x:c r="C52" s="5" t="str">
        <x:v>BBD</x:v>
      </x:c>
      <x:c r="D52" s="5" t="str">
        <x:v>拟合</x:v>
      </x:c>
      <x:c r="E52" s="5" t="str">
        <x:v>边点</x:v>
      </x:c>
      <x:c r="F52" s="5" t="str"/>
      <x:c r="G52" s="5" t="str">
        <x:v>己酸乙酯</x:v>
      </x:c>
      <x:c r="H52" s="5" t="str">
        <x:v>辛酸乙酯</x:v>
      </x:c>
      <x:c r="I52" s="5" t="str">
        <x:v>异戊酸乙酯（3-甲基丁酸乙酯）</x:v>
      </x:c>
      <x:c r="J52" s="5" t="str">
        <x:v>2-甲基丁酸乙酯</x:v>
      </x:c>
      <x:c r="K52" s="5" t="str">
        <x:v>M</x:v>
      </x:c>
      <x:c r="L52" s="5" t="str">
        <x:v>H</x:v>
      </x:c>
      <x:c r="M52" s="5" t="str">
        <x:v>M</x:v>
      </x:c>
      <x:c r="N52" s="5" t="str">
        <x:v>L</x:v>
      </x:c>
      <x:c r="O52" s="6" t="n">
        <x:f>'浓度水平'!G31</x:f>
        <x:v>215340</x:v>
      </x:c>
      <x:c r="P52" s="6" t="n">
        <x:f>'浓度水平'!H20</x:f>
        <x:v>1865945</x:v>
      </x:c>
      <x:c r="Q52" s="6" t="n">
        <x:f>'浓度水平'!G23</x:f>
        <x:v>553</x:v>
      </x:c>
      <x:c r="R52" s="6" t="n">
        <x:f>'浓度水平'!F45</x:f>
        <x:v>36</x:v>
      </x:c>
      <x:c r="S52" s="6" t="n">
        <x:f>O52/'浓度水平'!E31</x:f>
        <x:v>3894.0325497287527</x:v>
      </x:c>
      <x:c r="T52" s="6" t="n">
        <x:f>P52/'浓度水平'!E20</x:f>
        <x:v>144646.8992248062</x:v>
      </x:c>
      <x:c r="U52" s="6" t="n">
        <x:f>Q52/'浓度水平'!E23</x:f>
        <x:v>80.2612481857765</x:v>
      </x:c>
      <x:c r="V52" s="6" t="n">
        <x:f>R52/'浓度水平'!E45</x:f>
        <x:v>2</x:v>
      </x:c>
      <x:c r="W52" s="6" t="n">
        <x:f>O52*'固定基底'!$B$4/1000</x:f>
        <x:v>4306.8</x:v>
      </x:c>
      <x:c r="X52" s="6" t="n">
        <x:f>P52*'固定基底'!$B$4/1000</x:f>
        <x:v>37318.9</x:v>
      </x:c>
      <x:c r="Y52" s="6" t="n">
        <x:f>Q52*'固定基底'!$B$4/1000</x:f>
        <x:v>11.06</x:v>
      </x:c>
      <x:c r="Z52" s="6" t="n">
        <x:f>R52*'固定基底'!$B$4/1000</x:f>
        <x:v>0.72</x:v>
      </x:c>
      <x:c r="AA52" s="2" t="n">
        <x:f>'固定基底'!$C$7</x:f>
        <x:v>92796.92267241378</x:v>
      </x:c>
      <x:c r="AB52" s="2" t="n">
        <x:f>'固定基底'!$C$8</x:f>
        <x:v>104175.5097553192</x:v>
      </x:c>
      <x:c r="AC52" s="2" t="n">
        <x:f>'固定基底'!$E$7</x:f>
        <x:v>1855.9384534482756</x:v>
      </x:c>
      <x:c r="AD52" s="2" t="n">
        <x:f>'固定基底'!$E$8</x:f>
        <x:v>2083.510195106384</x:v>
      </x:c>
    </x:row>
    <x:row r="53" ht="25" customHeight="1">
      <x:c r="A53" s="5" t="str">
        <x:v>G02-20</x:v>
      </x:c>
      <x:c r="B53" s="5" t="str">
        <x:v>G02</x:v>
      </x:c>
      <x:c r="C53" s="5" t="str">
        <x:v>BBD</x:v>
      </x:c>
      <x:c r="D53" s="5" t="str">
        <x:v>拟合</x:v>
      </x:c>
      <x:c r="E53" s="5" t="str">
        <x:v>边点</x:v>
      </x:c>
      <x:c r="F53" s="5" t="str"/>
      <x:c r="G53" s="5" t="str">
        <x:v>己酸乙酯</x:v>
      </x:c>
      <x:c r="H53" s="5" t="str">
        <x:v>辛酸乙酯</x:v>
      </x:c>
      <x:c r="I53" s="5" t="str">
        <x:v>异戊酸乙酯（3-甲基丁酸乙酯）</x:v>
      </x:c>
      <x:c r="J53" s="5" t="str">
        <x:v>2-甲基丁酸乙酯</x:v>
      </x:c>
      <x:c r="K53" s="5" t="str">
        <x:v>M</x:v>
      </x:c>
      <x:c r="L53" s="5" t="str">
        <x:v>H</x:v>
      </x:c>
      <x:c r="M53" s="5" t="str">
        <x:v>M</x:v>
      </x:c>
      <x:c r="N53" s="5" t="str">
        <x:v>H</x:v>
      </x:c>
      <x:c r="O53" s="6" t="n">
        <x:f>'浓度水平'!G31</x:f>
        <x:v>215340</x:v>
      </x:c>
      <x:c r="P53" s="6" t="n">
        <x:f>'浓度水平'!H20</x:f>
        <x:v>1865945</x:v>
      </x:c>
      <x:c r="Q53" s="6" t="n">
        <x:f>'浓度水平'!G23</x:f>
        <x:v>553</x:v>
      </x:c>
      <x:c r="R53" s="6" t="n">
        <x:f>'浓度水平'!H45</x:f>
        <x:v>1611</x:v>
      </x:c>
      <x:c r="S53" s="6" t="n">
        <x:f>O53/'浓度水平'!E31</x:f>
        <x:v>3894.0325497287527</x:v>
      </x:c>
      <x:c r="T53" s="6" t="n">
        <x:f>P53/'浓度水平'!E20</x:f>
        <x:v>144646.8992248062</x:v>
      </x:c>
      <x:c r="U53" s="6" t="n">
        <x:f>Q53/'浓度水平'!E23</x:f>
        <x:v>80.2612481857765</x:v>
      </x:c>
      <x:c r="V53" s="6" t="n">
        <x:f>R53/'浓度水平'!E45</x:f>
        <x:v>89.5</x:v>
      </x:c>
      <x:c r="W53" s="6" t="n">
        <x:f>O53*'固定基底'!$B$4/1000</x:f>
        <x:v>4306.8</x:v>
      </x:c>
      <x:c r="X53" s="6" t="n">
        <x:f>P53*'固定基底'!$B$4/1000</x:f>
        <x:v>37318.9</x:v>
      </x:c>
      <x:c r="Y53" s="6" t="n">
        <x:f>Q53*'固定基底'!$B$4/1000</x:f>
        <x:v>11.06</x:v>
      </x:c>
      <x:c r="Z53" s="6" t="n">
        <x:f>R53*'固定基底'!$B$4/1000</x:f>
        <x:v>32.22</x:v>
      </x:c>
      <x:c r="AA53" s="2" t="n">
        <x:f>'固定基底'!$C$7</x:f>
        <x:v>92796.92267241378</x:v>
      </x:c>
      <x:c r="AB53" s="2" t="n">
        <x:f>'固定基底'!$C$8</x:f>
        <x:v>104175.5097553192</x:v>
      </x:c>
      <x:c r="AC53" s="2" t="n">
        <x:f>'固定基底'!$E$7</x:f>
        <x:v>1855.9384534482756</x:v>
      </x:c>
      <x:c r="AD53" s="2" t="n">
        <x:f>'固定基底'!$E$8</x:f>
        <x:v>2083.510195106384</x:v>
      </x:c>
    </x:row>
    <x:row r="54" ht="25" customHeight="1">
      <x:c r="A54" s="5" t="str">
        <x:v>G02-21</x:v>
      </x:c>
      <x:c r="B54" s="5" t="str">
        <x:v>G02</x:v>
      </x:c>
      <x:c r="C54" s="5" t="str">
        <x:v>BBD</x:v>
      </x:c>
      <x:c r="D54" s="5" t="str">
        <x:v>拟合</x:v>
      </x:c>
      <x:c r="E54" s="5" t="str">
        <x:v>边点</x:v>
      </x:c>
      <x:c r="F54" s="5" t="str"/>
      <x:c r="G54" s="5" t="str">
        <x:v>己酸乙酯</x:v>
      </x:c>
      <x:c r="H54" s="5" t="str">
        <x:v>辛酸乙酯</x:v>
      </x:c>
      <x:c r="I54" s="5" t="str">
        <x:v>异戊酸乙酯（3-甲基丁酸乙酯）</x:v>
      </x:c>
      <x:c r="J54" s="5" t="str">
        <x:v>2-甲基丁酸乙酯</x:v>
      </x:c>
      <x:c r="K54" s="5" t="str">
        <x:v>M</x:v>
      </x:c>
      <x:c r="L54" s="5" t="str">
        <x:v>M</x:v>
      </x:c>
      <x:c r="M54" s="5" t="str">
        <x:v>L</x:v>
      </x:c>
      <x:c r="N54" s="5" t="str">
        <x:v>L</x:v>
      </x:c>
      <x:c r="O54" s="6" t="n">
        <x:f>'浓度水平'!G31</x:f>
        <x:v>215340</x:v>
      </x:c>
      <x:c r="P54" s="6" t="n">
        <x:f>'浓度水平'!G20</x:f>
        <x:v>1601</x:v>
      </x:c>
      <x:c r="Q54" s="6" t="n">
        <x:f>'浓度水平'!F23</x:f>
        <x:v>13.78</x:v>
      </x:c>
      <x:c r="R54" s="6" t="n">
        <x:f>'浓度水平'!F45</x:f>
        <x:v>36</x:v>
      </x:c>
      <x:c r="S54" s="6" t="n">
        <x:f>O54/'浓度水平'!E31</x:f>
        <x:v>3894.0325497287527</x:v>
      </x:c>
      <x:c r="T54" s="6" t="n">
        <x:f>P54/'浓度水平'!E20</x:f>
        <x:v>124.10852713178294</x:v>
      </x:c>
      <x:c r="U54" s="6" t="n">
        <x:f>Q54/'浓度水平'!E23</x:f>
        <x:v>2</x:v>
      </x:c>
      <x:c r="V54" s="6" t="n">
        <x:f>R54/'浓度水平'!E45</x:f>
        <x:v>2</x:v>
      </x:c>
      <x:c r="W54" s="6" t="n">
        <x:f>O54*'固定基底'!$B$4/1000</x:f>
        <x:v>4306.8</x:v>
      </x:c>
      <x:c r="X54" s="6" t="n">
        <x:f>P54*'固定基底'!$B$4/1000</x:f>
        <x:v>32.02</x:v>
      </x:c>
      <x:c r="Y54" s="6" t="n">
        <x:f>Q54*'固定基底'!$B$4/1000</x:f>
        <x:v>0.27559999999999996</x:v>
      </x:c>
      <x:c r="Z54" s="6" t="n">
        <x:f>R54*'固定基底'!$B$4/1000</x:f>
        <x:v>0.72</x:v>
      </x:c>
      <x:c r="AA54" s="2" t="n">
        <x:f>'固定基底'!$C$7</x:f>
        <x:v>92796.92267241378</x:v>
      </x:c>
      <x:c r="AB54" s="2" t="n">
        <x:f>'固定基底'!$C$8</x:f>
        <x:v>104175.5097553192</x:v>
      </x:c>
      <x:c r="AC54" s="2" t="n">
        <x:f>'固定基底'!$E$7</x:f>
        <x:v>1855.9384534482756</x:v>
      </x:c>
      <x:c r="AD54" s="2" t="n">
        <x:f>'固定基底'!$E$8</x:f>
        <x:v>2083.510195106384</x:v>
      </x:c>
    </x:row>
    <x:row r="55" ht="25" customHeight="1">
      <x:c r="A55" s="5" t="str">
        <x:v>G02-22</x:v>
      </x:c>
      <x:c r="B55" s="5" t="str">
        <x:v>G02</x:v>
      </x:c>
      <x:c r="C55" s="5" t="str">
        <x:v>BBD</x:v>
      </x:c>
      <x:c r="D55" s="5" t="str">
        <x:v>拟合</x:v>
      </x:c>
      <x:c r="E55" s="5" t="str">
        <x:v>边点</x:v>
      </x:c>
      <x:c r="F55" s="5" t="str"/>
      <x:c r="G55" s="5" t="str">
        <x:v>己酸乙酯</x:v>
      </x:c>
      <x:c r="H55" s="5" t="str">
        <x:v>辛酸乙酯</x:v>
      </x:c>
      <x:c r="I55" s="5" t="str">
        <x:v>异戊酸乙酯（3-甲基丁酸乙酯）</x:v>
      </x:c>
      <x:c r="J55" s="5" t="str">
        <x:v>2-甲基丁酸乙酯</x:v>
      </x:c>
      <x:c r="K55" s="5" t="str">
        <x:v>M</x:v>
      </x:c>
      <x:c r="L55" s="5" t="str">
        <x:v>M</x:v>
      </x:c>
      <x:c r="M55" s="5" t="str">
        <x:v>L</x:v>
      </x:c>
      <x:c r="N55" s="5" t="str">
        <x:v>H</x:v>
      </x:c>
      <x:c r="O55" s="6" t="n">
        <x:f>'浓度水平'!G31</x:f>
        <x:v>215340</x:v>
      </x:c>
      <x:c r="P55" s="6" t="n">
        <x:f>'浓度水平'!G20</x:f>
        <x:v>1601</x:v>
      </x:c>
      <x:c r="Q55" s="6" t="n">
        <x:f>'浓度水平'!F23</x:f>
        <x:v>13.78</x:v>
      </x:c>
      <x:c r="R55" s="6" t="n">
        <x:f>'浓度水平'!H45</x:f>
        <x:v>1611</x:v>
      </x:c>
      <x:c r="S55" s="6" t="n">
        <x:f>O55/'浓度水平'!E31</x:f>
        <x:v>3894.0325497287527</x:v>
      </x:c>
      <x:c r="T55" s="6" t="n">
        <x:f>P55/'浓度水平'!E20</x:f>
        <x:v>124.10852713178294</x:v>
      </x:c>
      <x:c r="U55" s="6" t="n">
        <x:f>Q55/'浓度水平'!E23</x:f>
        <x:v>2</x:v>
      </x:c>
      <x:c r="V55" s="6" t="n">
        <x:f>R55/'浓度水平'!E45</x:f>
        <x:v>89.5</x:v>
      </x:c>
      <x:c r="W55" s="6" t="n">
        <x:f>O55*'固定基底'!$B$4/1000</x:f>
        <x:v>4306.8</x:v>
      </x:c>
      <x:c r="X55" s="6" t="n">
        <x:f>P55*'固定基底'!$B$4/1000</x:f>
        <x:v>32.02</x:v>
      </x:c>
      <x:c r="Y55" s="6" t="n">
        <x:f>Q55*'固定基底'!$B$4/1000</x:f>
        <x:v>0.27559999999999996</x:v>
      </x:c>
      <x:c r="Z55" s="6" t="n">
        <x:f>R55*'固定基底'!$B$4/1000</x:f>
        <x:v>32.22</x:v>
      </x:c>
      <x:c r="AA55" s="2" t="n">
        <x:f>'固定基底'!$C$7</x:f>
        <x:v>92796.92267241378</x:v>
      </x:c>
      <x:c r="AB55" s="2" t="n">
        <x:f>'固定基底'!$C$8</x:f>
        <x:v>104175.5097553192</x:v>
      </x:c>
      <x:c r="AC55" s="2" t="n">
        <x:f>'固定基底'!$E$7</x:f>
        <x:v>1855.9384534482756</x:v>
      </x:c>
      <x:c r="AD55" s="2" t="n">
        <x:f>'固定基底'!$E$8</x:f>
        <x:v>2083.510195106384</x:v>
      </x:c>
    </x:row>
    <x:row r="56" ht="25" customHeight="1">
      <x:c r="A56" s="5" t="str">
        <x:v>G02-23</x:v>
      </x:c>
      <x:c r="B56" s="5" t="str">
        <x:v>G02</x:v>
      </x:c>
      <x:c r="C56" s="5" t="str">
        <x:v>BBD</x:v>
      </x:c>
      <x:c r="D56" s="5" t="str">
        <x:v>拟合</x:v>
      </x:c>
      <x:c r="E56" s="5" t="str">
        <x:v>边点</x:v>
      </x:c>
      <x:c r="F56" s="5" t="str"/>
      <x:c r="G56" s="5" t="str">
        <x:v>己酸乙酯</x:v>
      </x:c>
      <x:c r="H56" s="5" t="str">
        <x:v>辛酸乙酯</x:v>
      </x:c>
      <x:c r="I56" s="5" t="str">
        <x:v>异戊酸乙酯（3-甲基丁酸乙酯）</x:v>
      </x:c>
      <x:c r="J56" s="5" t="str">
        <x:v>2-甲基丁酸乙酯</x:v>
      </x:c>
      <x:c r="K56" s="5" t="str">
        <x:v>M</x:v>
      </x:c>
      <x:c r="L56" s="5" t="str">
        <x:v>M</x:v>
      </x:c>
      <x:c r="M56" s="5" t="str">
        <x:v>H</x:v>
      </x:c>
      <x:c r="N56" s="5" t="str">
        <x:v>L</x:v>
      </x:c>
      <x:c r="O56" s="6" t="n">
        <x:f>'浓度水平'!G31</x:f>
        <x:v>215340</x:v>
      </x:c>
      <x:c r="P56" s="6" t="n">
        <x:f>'浓度水平'!G20</x:f>
        <x:v>1601</x:v>
      </x:c>
      <x:c r="Q56" s="6" t="n">
        <x:f>'浓度水平'!H23</x:f>
        <x:v>12022.2</x:v>
      </x:c>
      <x:c r="R56" s="6" t="n">
        <x:f>'浓度水平'!F45</x:f>
        <x:v>36</x:v>
      </x:c>
      <x:c r="S56" s="6" t="n">
        <x:f>O56/'浓度水平'!E31</x:f>
        <x:v>3894.0325497287527</x:v>
      </x:c>
      <x:c r="T56" s="6" t="n">
        <x:f>P56/'浓度水平'!E20</x:f>
        <x:v>124.10852713178294</x:v>
      </x:c>
      <x:c r="U56" s="6" t="n">
        <x:f>Q56/'浓度水平'!E23</x:f>
        <x:v>1744.8766328011613</x:v>
      </x:c>
      <x:c r="V56" s="6" t="n">
        <x:f>R56/'浓度水平'!E45</x:f>
        <x:v>2</x:v>
      </x:c>
      <x:c r="W56" s="6" t="n">
        <x:f>O56*'固定基底'!$B$4/1000</x:f>
        <x:v>4306.8</x:v>
      </x:c>
      <x:c r="X56" s="6" t="n">
        <x:f>P56*'固定基底'!$B$4/1000</x:f>
        <x:v>32.02</x:v>
      </x:c>
      <x:c r="Y56" s="6" t="n">
        <x:f>Q56*'固定基底'!$B$4/1000</x:f>
        <x:v>240.444</x:v>
      </x:c>
      <x:c r="Z56" s="6" t="n">
        <x:f>R56*'固定基底'!$B$4/1000</x:f>
        <x:v>0.72</x:v>
      </x:c>
      <x:c r="AA56" s="2" t="n">
        <x:f>'固定基底'!$C$7</x:f>
        <x:v>92796.92267241378</x:v>
      </x:c>
      <x:c r="AB56" s="2" t="n">
        <x:f>'固定基底'!$C$8</x:f>
        <x:v>104175.5097553192</x:v>
      </x:c>
      <x:c r="AC56" s="2" t="n">
        <x:f>'固定基底'!$E$7</x:f>
        <x:v>1855.9384534482756</x:v>
      </x:c>
      <x:c r="AD56" s="2" t="n">
        <x:f>'固定基底'!$E$8</x:f>
        <x:v>2083.510195106384</x:v>
      </x:c>
    </x:row>
    <x:row r="57" ht="25" customHeight="1">
      <x:c r="A57" s="5" t="str">
        <x:v>G02-24</x:v>
      </x:c>
      <x:c r="B57" s="5" t="str">
        <x:v>G02</x:v>
      </x:c>
      <x:c r="C57" s="5" t="str">
        <x:v>BBD</x:v>
      </x:c>
      <x:c r="D57" s="5" t="str">
        <x:v>拟合</x:v>
      </x:c>
      <x:c r="E57" s="5" t="str">
        <x:v>边点</x:v>
      </x:c>
      <x:c r="F57" s="5" t="str"/>
      <x:c r="G57" s="5" t="str">
        <x:v>己酸乙酯</x:v>
      </x:c>
      <x:c r="H57" s="5" t="str">
        <x:v>辛酸乙酯</x:v>
      </x:c>
      <x:c r="I57" s="5" t="str">
        <x:v>异戊酸乙酯（3-甲基丁酸乙酯）</x:v>
      </x:c>
      <x:c r="J57" s="5" t="str">
        <x:v>2-甲基丁酸乙酯</x:v>
      </x:c>
      <x:c r="K57" s="5" t="str">
        <x:v>M</x:v>
      </x:c>
      <x:c r="L57" s="5" t="str">
        <x:v>M</x:v>
      </x:c>
      <x:c r="M57" s="5" t="str">
        <x:v>H</x:v>
      </x:c>
      <x:c r="N57" s="5" t="str">
        <x:v>H</x:v>
      </x:c>
      <x:c r="O57" s="6" t="n">
        <x:f>'浓度水平'!G31</x:f>
        <x:v>215340</x:v>
      </x:c>
      <x:c r="P57" s="6" t="n">
        <x:f>'浓度水平'!G20</x:f>
        <x:v>1601</x:v>
      </x:c>
      <x:c r="Q57" s="6" t="n">
        <x:f>'浓度水平'!H23</x:f>
        <x:v>12022.2</x:v>
      </x:c>
      <x:c r="R57" s="6" t="n">
        <x:f>'浓度水平'!H45</x:f>
        <x:v>1611</x:v>
      </x:c>
      <x:c r="S57" s="6" t="n">
        <x:f>O57/'浓度水平'!E31</x:f>
        <x:v>3894.0325497287527</x:v>
      </x:c>
      <x:c r="T57" s="6" t="n">
        <x:f>P57/'浓度水平'!E20</x:f>
        <x:v>124.10852713178294</x:v>
      </x:c>
      <x:c r="U57" s="6" t="n">
        <x:f>Q57/'浓度水平'!E23</x:f>
        <x:v>1744.8766328011613</x:v>
      </x:c>
      <x:c r="V57" s="6" t="n">
        <x:f>R57/'浓度水平'!E45</x:f>
        <x:v>89.5</x:v>
      </x:c>
      <x:c r="W57" s="6" t="n">
        <x:f>O57*'固定基底'!$B$4/1000</x:f>
        <x:v>4306.8</x:v>
      </x:c>
      <x:c r="X57" s="6" t="n">
        <x:f>P57*'固定基底'!$B$4/1000</x:f>
        <x:v>32.02</x:v>
      </x:c>
      <x:c r="Y57" s="6" t="n">
        <x:f>Q57*'固定基底'!$B$4/1000</x:f>
        <x:v>240.444</x:v>
      </x:c>
      <x:c r="Z57" s="6" t="n">
        <x:f>R57*'固定基底'!$B$4/1000</x:f>
        <x:v>32.22</x:v>
      </x:c>
      <x:c r="AA57" s="2" t="n">
        <x:f>'固定基底'!$C$7</x:f>
        <x:v>92796.92267241378</x:v>
      </x:c>
      <x:c r="AB57" s="2" t="n">
        <x:f>'固定基底'!$C$8</x:f>
        <x:v>104175.5097553192</x:v>
      </x:c>
      <x:c r="AC57" s="2" t="n">
        <x:f>'固定基底'!$E$7</x:f>
        <x:v>1855.9384534482756</x:v>
      </x:c>
      <x:c r="AD57" s="2" t="n">
        <x:f>'固定基底'!$E$8</x:f>
        <x:v>2083.510195106384</x:v>
      </x:c>
    </x:row>
    <x:row r="58" ht="25" customHeight="1">
      <x:c r="A58" s="5" t="str">
        <x:v>G02-25</x:v>
      </x:c>
      <x:c r="B58" s="5" t="str">
        <x:v>G02</x:v>
      </x:c>
      <x:c r="C58" s="5" t="str">
        <x:v>BBD</x:v>
      </x:c>
      <x:c r="D58" s="5" t="str">
        <x:v>拟合</x:v>
      </x:c>
      <x:c r="E58" s="5" t="str">
        <x:v>中心点独立配制</x:v>
      </x:c>
      <x:c r="F58" s="5" t="str"/>
      <x:c r="G58" s="5" t="str">
        <x:v>己酸乙酯</x:v>
      </x:c>
      <x:c r="H58" s="5" t="str">
        <x:v>辛酸乙酯</x:v>
      </x:c>
      <x:c r="I58" s="5" t="str">
        <x:v>异戊酸乙酯（3-甲基丁酸乙酯）</x:v>
      </x:c>
      <x:c r="J58" s="5" t="str">
        <x:v>2-甲基丁酸乙酯</x:v>
      </x:c>
      <x:c r="K58" s="5" t="str">
        <x:v>M</x:v>
      </x:c>
      <x:c r="L58" s="5" t="str">
        <x:v>M</x:v>
      </x:c>
      <x:c r="M58" s="5" t="str">
        <x:v>M</x:v>
      </x:c>
      <x:c r="N58" s="5" t="str">
        <x:v>M</x:v>
      </x:c>
      <x:c r="O58" s="6" t="n">
        <x:f>'浓度水平'!G31</x:f>
        <x:v>215340</x:v>
      </x:c>
      <x:c r="P58" s="6" t="n">
        <x:f>'浓度水平'!G20</x:f>
        <x:v>1601</x:v>
      </x:c>
      <x:c r="Q58" s="6" t="n">
        <x:f>'浓度水平'!G23</x:f>
        <x:v>553</x:v>
      </x:c>
      <x:c r="R58" s="6" t="n">
        <x:f>'浓度水平'!G45</x:f>
        <x:v>464</x:v>
      </x:c>
      <x:c r="S58" s="6" t="n">
        <x:f>O58/'浓度水平'!E31</x:f>
        <x:v>3894.0325497287527</x:v>
      </x:c>
      <x:c r="T58" s="6" t="n">
        <x:f>P58/'浓度水平'!E20</x:f>
        <x:v>124.10852713178294</x:v>
      </x:c>
      <x:c r="U58" s="6" t="n">
        <x:f>Q58/'浓度水平'!E23</x:f>
        <x:v>80.2612481857765</x:v>
      </x:c>
      <x:c r="V58" s="6" t="n">
        <x:f>R58/'浓度水平'!E45</x:f>
        <x:v>25.77777777777778</x:v>
      </x:c>
      <x:c r="W58" s="6" t="n">
        <x:f>O58*'固定基底'!$B$4/1000</x:f>
        <x:v>4306.8</x:v>
      </x:c>
      <x:c r="X58" s="6" t="n">
        <x:f>P58*'固定基底'!$B$4/1000</x:f>
        <x:v>32.02</x:v>
      </x:c>
      <x:c r="Y58" s="6" t="n">
        <x:f>Q58*'固定基底'!$B$4/1000</x:f>
        <x:v>11.06</x:v>
      </x:c>
      <x:c r="Z58" s="6" t="n">
        <x:f>R58*'固定基底'!$B$4/1000</x:f>
        <x:v>9.28</x:v>
      </x:c>
      <x:c r="AA58" s="2" t="n">
        <x:f>'固定基底'!$C$7</x:f>
        <x:v>92796.92267241378</x:v>
      </x:c>
      <x:c r="AB58" s="2" t="n">
        <x:f>'固定基底'!$C$8</x:f>
        <x:v>104175.5097553192</x:v>
      </x:c>
      <x:c r="AC58" s="2" t="n">
        <x:f>'固定基底'!$E$7</x:f>
        <x:v>1855.9384534482756</x:v>
      </x:c>
      <x:c r="AD58" s="2" t="n">
        <x:f>'固定基底'!$E$8</x:f>
        <x:v>2083.510195106384</x:v>
      </x:c>
    </x:row>
    <x:row r="59" ht="25" customHeight="1">
      <x:c r="A59" s="5" t="str">
        <x:v>G02-26</x:v>
      </x:c>
      <x:c r="B59" s="5" t="str">
        <x:v>G02</x:v>
      </x:c>
      <x:c r="C59" s="5" t="str">
        <x:v>BBD</x:v>
      </x:c>
      <x:c r="D59" s="5" t="str">
        <x:v>拟合</x:v>
      </x:c>
      <x:c r="E59" s="5" t="str">
        <x:v>中心点独立配制</x:v>
      </x:c>
      <x:c r="F59" s="5" t="str">
        <x:v>G02-25</x:v>
      </x:c>
      <x:c r="G59" s="5" t="str">
        <x:v>己酸乙酯</x:v>
      </x:c>
      <x:c r="H59" s="5" t="str">
        <x:v>辛酸乙酯</x:v>
      </x:c>
      <x:c r="I59" s="5" t="str">
        <x:v>异戊酸乙酯（3-甲基丁酸乙酯）</x:v>
      </x:c>
      <x:c r="J59" s="5" t="str">
        <x:v>2-甲基丁酸乙酯</x:v>
      </x:c>
      <x:c r="K59" s="5" t="str">
        <x:v>M</x:v>
      </x:c>
      <x:c r="L59" s="5" t="str">
        <x:v>M</x:v>
      </x:c>
      <x:c r="M59" s="5" t="str">
        <x:v>M</x:v>
      </x:c>
      <x:c r="N59" s="5" t="str">
        <x:v>M</x:v>
      </x:c>
      <x:c r="O59" s="6" t="n">
        <x:f>'浓度水平'!G31</x:f>
        <x:v>215340</x:v>
      </x:c>
      <x:c r="P59" s="6" t="n">
        <x:f>'浓度水平'!G20</x:f>
        <x:v>1601</x:v>
      </x:c>
      <x:c r="Q59" s="6" t="n">
        <x:f>'浓度水平'!G23</x:f>
        <x:v>553</x:v>
      </x:c>
      <x:c r="R59" s="6" t="n">
        <x:f>'浓度水平'!G45</x:f>
        <x:v>464</x:v>
      </x:c>
      <x:c r="S59" s="6" t="n">
        <x:f>O59/'浓度水平'!E31</x:f>
        <x:v>3894.0325497287527</x:v>
      </x:c>
      <x:c r="T59" s="6" t="n">
        <x:f>P59/'浓度水平'!E20</x:f>
        <x:v>124.10852713178294</x:v>
      </x:c>
      <x:c r="U59" s="6" t="n">
        <x:f>Q59/'浓度水平'!E23</x:f>
        <x:v>80.2612481857765</x:v>
      </x:c>
      <x:c r="V59" s="6" t="n">
        <x:f>R59/'浓度水平'!E45</x:f>
        <x:v>25.77777777777778</x:v>
      </x:c>
      <x:c r="W59" s="6" t="n">
        <x:f>O59*'固定基底'!$B$4/1000</x:f>
        <x:v>4306.8</x:v>
      </x:c>
      <x:c r="X59" s="6" t="n">
        <x:f>P59*'固定基底'!$B$4/1000</x:f>
        <x:v>32.02</x:v>
      </x:c>
      <x:c r="Y59" s="6" t="n">
        <x:f>Q59*'固定基底'!$B$4/1000</x:f>
        <x:v>11.06</x:v>
      </x:c>
      <x:c r="Z59" s="6" t="n">
        <x:f>R59*'固定基底'!$B$4/1000</x:f>
        <x:v>9.28</x:v>
      </x:c>
      <x:c r="AA59" s="2" t="n">
        <x:f>'固定基底'!$C$7</x:f>
        <x:v>92796.92267241378</x:v>
      </x:c>
      <x:c r="AB59" s="2" t="n">
        <x:f>'固定基底'!$C$8</x:f>
        <x:v>104175.5097553192</x:v>
      </x:c>
      <x:c r="AC59" s="2" t="n">
        <x:f>'固定基底'!$E$7</x:f>
        <x:v>1855.9384534482756</x:v>
      </x:c>
      <x:c r="AD59" s="2" t="n">
        <x:f>'固定基底'!$E$8</x:f>
        <x:v>2083.510195106384</x:v>
      </x:c>
    </x:row>
    <x:row r="60" ht="25" customHeight="1">
      <x:c r="A60" s="5" t="str">
        <x:v>G02-27</x:v>
      </x:c>
      <x:c r="B60" s="5" t="str">
        <x:v>G02</x:v>
      </x:c>
      <x:c r="C60" s="5" t="str">
        <x:v>BBD</x:v>
      </x:c>
      <x:c r="D60" s="5" t="str">
        <x:v>拟合</x:v>
      </x:c>
      <x:c r="E60" s="5" t="str">
        <x:v>中心点独立配制</x:v>
      </x:c>
      <x:c r="F60" s="5" t="str">
        <x:v>G02-25</x:v>
      </x:c>
      <x:c r="G60" s="5" t="str">
        <x:v>己酸乙酯</x:v>
      </x:c>
      <x:c r="H60" s="5" t="str">
        <x:v>辛酸乙酯</x:v>
      </x:c>
      <x:c r="I60" s="5" t="str">
        <x:v>异戊酸乙酯（3-甲基丁酸乙酯）</x:v>
      </x:c>
      <x:c r="J60" s="5" t="str">
        <x:v>2-甲基丁酸乙酯</x:v>
      </x:c>
      <x:c r="K60" s="5" t="str">
        <x:v>M</x:v>
      </x:c>
      <x:c r="L60" s="5" t="str">
        <x:v>M</x:v>
      </x:c>
      <x:c r="M60" s="5" t="str">
        <x:v>M</x:v>
      </x:c>
      <x:c r="N60" s="5" t="str">
        <x:v>M</x:v>
      </x:c>
      <x:c r="O60" s="6" t="n">
        <x:f>'浓度水平'!G31</x:f>
        <x:v>215340</x:v>
      </x:c>
      <x:c r="P60" s="6" t="n">
        <x:f>'浓度水平'!G20</x:f>
        <x:v>1601</x:v>
      </x:c>
      <x:c r="Q60" s="6" t="n">
        <x:f>'浓度水平'!G23</x:f>
        <x:v>553</x:v>
      </x:c>
      <x:c r="R60" s="6" t="n">
        <x:f>'浓度水平'!G45</x:f>
        <x:v>464</x:v>
      </x:c>
      <x:c r="S60" s="6" t="n">
        <x:f>O60/'浓度水平'!E31</x:f>
        <x:v>3894.0325497287527</x:v>
      </x:c>
      <x:c r="T60" s="6" t="n">
        <x:f>P60/'浓度水平'!E20</x:f>
        <x:v>124.10852713178294</x:v>
      </x:c>
      <x:c r="U60" s="6" t="n">
        <x:f>Q60/'浓度水平'!E23</x:f>
        <x:v>80.2612481857765</x:v>
      </x:c>
      <x:c r="V60" s="6" t="n">
        <x:f>R60/'浓度水平'!E45</x:f>
        <x:v>25.77777777777778</x:v>
      </x:c>
      <x:c r="W60" s="6" t="n">
        <x:f>O60*'固定基底'!$B$4/1000</x:f>
        <x:v>4306.8</x:v>
      </x:c>
      <x:c r="X60" s="6" t="n">
        <x:f>P60*'固定基底'!$B$4/1000</x:f>
        <x:v>32.02</x:v>
      </x:c>
      <x:c r="Y60" s="6" t="n">
        <x:f>Q60*'固定基底'!$B$4/1000</x:f>
        <x:v>11.06</x:v>
      </x:c>
      <x:c r="Z60" s="6" t="n">
        <x:f>R60*'固定基底'!$B$4/1000</x:f>
        <x:v>9.28</x:v>
      </x:c>
      <x:c r="AA60" s="2" t="n">
        <x:f>'固定基底'!$C$7</x:f>
        <x:v>92796.92267241378</x:v>
      </x:c>
      <x:c r="AB60" s="2" t="n">
        <x:f>'固定基底'!$C$8</x:f>
        <x:v>104175.5097553192</x:v>
      </x:c>
      <x:c r="AC60" s="2" t="n">
        <x:f>'固定基底'!$E$7</x:f>
        <x:v>1855.9384534482756</x:v>
      </x:c>
      <x:c r="AD60" s="2" t="n">
        <x:f>'固定基底'!$E$8</x:f>
        <x:v>2083.510195106384</x:v>
      </x:c>
    </x:row>
    <x:row r="61" ht="25" customHeight="1">
      <x:c r="A61" s="5" t="str">
        <x:v>G03-01</x:v>
      </x:c>
      <x:c r="B61" s="5" t="str">
        <x:v>G03</x:v>
      </x:c>
      <x:c r="C61" s="5" t="str">
        <x:v>BBD</x:v>
      </x:c>
      <x:c r="D61" s="5" t="str">
        <x:v>拟合</x:v>
      </x:c>
      <x:c r="E61" s="5" t="str">
        <x:v>边点</x:v>
      </x:c>
      <x:c r="F61" s="5" t="str"/>
      <x:c r="G61" s="5" t="str">
        <x:v>己酸乙酯</x:v>
      </x:c>
      <x:c r="H61" s="5" t="str">
        <x:v>己酸</x:v>
      </x:c>
      <x:c r="I61" s="5" t="str">
        <x:v>戊酸</x:v>
      </x:c>
      <x:c r="J61" s="5" t="str">
        <x:v>异戊酸/3-甲基丁酸</x:v>
      </x:c>
      <x:c r="K61" s="5" t="str">
        <x:v>L</x:v>
      </x:c>
      <x:c r="L61" s="5" t="str">
        <x:v>L</x:v>
      </x:c>
      <x:c r="M61" s="5" t="str">
        <x:v>M</x:v>
      </x:c>
      <x:c r="N61" s="5" t="str">
        <x:v>M</x:v>
      </x:c>
      <x:c r="O61" s="6" t="n">
        <x:f>'浓度水平'!F31</x:f>
        <x:v>110.6</x:v>
      </x:c>
      <x:c r="P61" s="6" t="n">
        <x:f>'浓度水平'!F36</x:f>
        <x:v>5040</x:v>
      </x:c>
      <x:c r="Q61" s="6" t="n">
        <x:f>'浓度水平'!G24</x:f>
        <x:v>2417</x:v>
      </x:c>
      <x:c r="R61" s="6" t="n">
        <x:f>'浓度水平'!G37</x:f>
        <x:v>3885</x:v>
      </x:c>
      <x:c r="S61" s="6" t="n">
        <x:f>O61/'浓度水平'!E31</x:f>
        <x:v>2</x:v>
      </x:c>
      <x:c r="T61" s="6" t="n">
        <x:f>P61/'浓度水平'!E36</x:f>
        <x:v>2</x:v>
      </x:c>
      <x:c r="U61" s="6" t="n">
        <x:f>Q61/'浓度水平'!E24</x:f>
        <x:v>6.213367609254499</x:v>
      </x:c>
      <x:c r="V61" s="6" t="n">
        <x:f>R61/'浓度水平'!E37</x:f>
        <x:v>3.7</x:v>
      </x:c>
      <x:c r="W61" s="6" t="n">
        <x:f>O61*'固定基底'!$B$4/1000</x:f>
        <x:v>2.212</x:v>
      </x:c>
      <x:c r="X61" s="6" t="n">
        <x:f>P61*'固定基底'!$B$4/1000</x:f>
        <x:v>100.8</x:v>
      </x:c>
      <x:c r="Y61" s="6" t="n">
        <x:f>Q61*'固定基底'!$B$4/1000</x:f>
        <x:v>48.34</x:v>
      </x:c>
      <x:c r="Z61" s="6" t="n">
        <x:f>R61*'固定基底'!$B$4/1000</x:f>
        <x:v>77.7</x:v>
      </x:c>
      <x:c r="AA61" s="2" t="n">
        <x:f>'固定基底'!$C$7</x:f>
        <x:v>92796.92267241378</x:v>
      </x:c>
      <x:c r="AB61" s="2" t="n">
        <x:f>'固定基底'!$C$8</x:f>
        <x:v>104175.5097553192</x:v>
      </x:c>
      <x:c r="AC61" s="2" t="n">
        <x:f>'固定基底'!$E$7</x:f>
        <x:v>1855.9384534482756</x:v>
      </x:c>
      <x:c r="AD61" s="2" t="n">
        <x:f>'固定基底'!$E$8</x:f>
        <x:v>2083.510195106384</x:v>
      </x:c>
    </x:row>
    <x:row r="62" ht="25" customHeight="1">
      <x:c r="A62" s="5" t="str">
        <x:v>G03-02</x:v>
      </x:c>
      <x:c r="B62" s="5" t="str">
        <x:v>G03</x:v>
      </x:c>
      <x:c r="C62" s="5" t="str">
        <x:v>BBD</x:v>
      </x:c>
      <x:c r="D62" s="5" t="str">
        <x:v>拟合</x:v>
      </x:c>
      <x:c r="E62" s="5" t="str">
        <x:v>边点</x:v>
      </x:c>
      <x:c r="F62" s="5" t="str"/>
      <x:c r="G62" s="5" t="str">
        <x:v>己酸乙酯</x:v>
      </x:c>
      <x:c r="H62" s="5" t="str">
        <x:v>己酸</x:v>
      </x:c>
      <x:c r="I62" s="5" t="str">
        <x:v>戊酸</x:v>
      </x:c>
      <x:c r="J62" s="5" t="str">
        <x:v>异戊酸/3-甲基丁酸</x:v>
      </x:c>
      <x:c r="K62" s="5" t="str">
        <x:v>L</x:v>
      </x:c>
      <x:c r="L62" s="5" t="str">
        <x:v>H</x:v>
      </x:c>
      <x:c r="M62" s="5" t="str">
        <x:v>M</x:v>
      </x:c>
      <x:c r="N62" s="5" t="str">
        <x:v>M</x:v>
      </x:c>
      <x:c r="O62" s="6" t="n">
        <x:f>'浓度水平'!F31</x:f>
        <x:v>110.6</x:v>
      </x:c>
      <x:c r="P62" s="6" t="n">
        <x:f>'浓度水平'!H36</x:f>
        <x:v>1551340.76</x:v>
      </x:c>
      <x:c r="Q62" s="6" t="n">
        <x:f>'浓度水平'!G24</x:f>
        <x:v>2417</x:v>
      </x:c>
      <x:c r="R62" s="6" t="n">
        <x:f>'浓度水平'!G37</x:f>
        <x:v>3885</x:v>
      </x:c>
      <x:c r="S62" s="6" t="n">
        <x:f>O62/'浓度水平'!E31</x:f>
        <x:v>2</x:v>
      </x:c>
      <x:c r="T62" s="6" t="n">
        <x:f>P62/'浓度水平'!E36</x:f>
        <x:v>615.6114126984127</x:v>
      </x:c>
      <x:c r="U62" s="6" t="n">
        <x:f>Q62/'浓度水平'!E24</x:f>
        <x:v>6.213367609254499</x:v>
      </x:c>
      <x:c r="V62" s="6" t="n">
        <x:f>R62/'浓度水平'!E37</x:f>
        <x:v>3.7</x:v>
      </x:c>
      <x:c r="W62" s="6" t="n">
        <x:f>O62*'固定基底'!$B$4/1000</x:f>
        <x:v>2.212</x:v>
      </x:c>
      <x:c r="X62" s="6" t="n">
        <x:f>P62*'固定基底'!$B$4/1000</x:f>
        <x:v>31026.8152</x:v>
      </x:c>
      <x:c r="Y62" s="6" t="n">
        <x:f>Q62*'固定基底'!$B$4/1000</x:f>
        <x:v>48.34</x:v>
      </x:c>
      <x:c r="Z62" s="6" t="n">
        <x:f>R62*'固定基底'!$B$4/1000</x:f>
        <x:v>77.7</x:v>
      </x:c>
      <x:c r="AA62" s="2" t="n">
        <x:f>'固定基底'!$C$7</x:f>
        <x:v>92796.92267241378</x:v>
      </x:c>
      <x:c r="AB62" s="2" t="n">
        <x:f>'固定基底'!$C$8</x:f>
        <x:v>104175.5097553192</x:v>
      </x:c>
      <x:c r="AC62" s="2" t="n">
        <x:f>'固定基底'!$E$7</x:f>
        <x:v>1855.9384534482756</x:v>
      </x:c>
      <x:c r="AD62" s="2" t="n">
        <x:f>'固定基底'!$E$8</x:f>
        <x:v>2083.510195106384</x:v>
      </x:c>
    </x:row>
    <x:row r="63" ht="25" customHeight="1">
      <x:c r="A63" s="5" t="str">
        <x:v>G03-03</x:v>
      </x:c>
      <x:c r="B63" s="5" t="str">
        <x:v>G03</x:v>
      </x:c>
      <x:c r="C63" s="5" t="str">
        <x:v>BBD</x:v>
      </x:c>
      <x:c r="D63" s="5" t="str">
        <x:v>拟合</x:v>
      </x:c>
      <x:c r="E63" s="5" t="str">
        <x:v>边点</x:v>
      </x:c>
      <x:c r="F63" s="5" t="str"/>
      <x:c r="G63" s="5" t="str">
        <x:v>己酸乙酯</x:v>
      </x:c>
      <x:c r="H63" s="5" t="str">
        <x:v>己酸</x:v>
      </x:c>
      <x:c r="I63" s="5" t="str">
        <x:v>戊酸</x:v>
      </x:c>
      <x:c r="J63" s="5" t="str">
        <x:v>异戊酸/3-甲基丁酸</x:v>
      </x:c>
      <x:c r="K63" s="5" t="str">
        <x:v>H</x:v>
      </x:c>
      <x:c r="L63" s="5" t="str">
        <x:v>L</x:v>
      </x:c>
      <x:c r="M63" s="5" t="str">
        <x:v>M</x:v>
      </x:c>
      <x:c r="N63" s="5" t="str">
        <x:v>M</x:v>
      </x:c>
      <x:c r="O63" s="6" t="n">
        <x:f>'浓度水平'!H31</x:f>
        <x:v>9622120</x:v>
      </x:c>
      <x:c r="P63" s="6" t="n">
        <x:f>'浓度水平'!F36</x:f>
        <x:v>5040</x:v>
      </x:c>
      <x:c r="Q63" s="6" t="n">
        <x:f>'浓度水平'!G24</x:f>
        <x:v>2417</x:v>
      </x:c>
      <x:c r="R63" s="6" t="n">
        <x:f>'浓度水平'!G37</x:f>
        <x:v>3885</x:v>
      </x:c>
      <x:c r="S63" s="6" t="n">
        <x:f>O63/'浓度水平'!E31</x:f>
        <x:v>173998.5533453888</x:v>
      </x:c>
      <x:c r="T63" s="6" t="n">
        <x:f>P63/'浓度水平'!E36</x:f>
        <x:v>2</x:v>
      </x:c>
      <x:c r="U63" s="6" t="n">
        <x:f>Q63/'浓度水平'!E24</x:f>
        <x:v>6.213367609254499</x:v>
      </x:c>
      <x:c r="V63" s="6" t="n">
        <x:f>R63/'浓度水平'!E37</x:f>
        <x:v>3.7</x:v>
      </x:c>
      <x:c r="W63" s="6" t="n">
        <x:f>O63*'固定基底'!$B$4/1000</x:f>
        <x:v>192442.4</x:v>
      </x:c>
      <x:c r="X63" s="6" t="n">
        <x:f>P63*'固定基底'!$B$4/1000</x:f>
        <x:v>100.8</x:v>
      </x:c>
      <x:c r="Y63" s="6" t="n">
        <x:f>Q63*'固定基底'!$B$4/1000</x:f>
        <x:v>48.34</x:v>
      </x:c>
      <x:c r="Z63" s="6" t="n">
        <x:f>R63*'固定基底'!$B$4/1000</x:f>
        <x:v>77.7</x:v>
      </x:c>
      <x:c r="AA63" s="2" t="n">
        <x:f>'固定基底'!$C$7</x:f>
        <x:v>92796.92267241378</x:v>
      </x:c>
      <x:c r="AB63" s="2" t="n">
        <x:f>'固定基底'!$C$8</x:f>
        <x:v>104175.5097553192</x:v>
      </x:c>
      <x:c r="AC63" s="2" t="n">
        <x:f>'固定基底'!$E$7</x:f>
        <x:v>1855.9384534482756</x:v>
      </x:c>
      <x:c r="AD63" s="2" t="n">
        <x:f>'固定基底'!$E$8</x:f>
        <x:v>2083.510195106384</x:v>
      </x:c>
    </x:row>
    <x:row r="64" ht="25" customHeight="1">
      <x:c r="A64" s="5" t="str">
        <x:v>G03-04</x:v>
      </x:c>
      <x:c r="B64" s="5" t="str">
        <x:v>G03</x:v>
      </x:c>
      <x:c r="C64" s="5" t="str">
        <x:v>BBD</x:v>
      </x:c>
      <x:c r="D64" s="5" t="str">
        <x:v>拟合</x:v>
      </x:c>
      <x:c r="E64" s="5" t="str">
        <x:v>边点</x:v>
      </x:c>
      <x:c r="F64" s="5" t="str"/>
      <x:c r="G64" s="5" t="str">
        <x:v>己酸乙酯</x:v>
      </x:c>
      <x:c r="H64" s="5" t="str">
        <x:v>己酸</x:v>
      </x:c>
      <x:c r="I64" s="5" t="str">
        <x:v>戊酸</x:v>
      </x:c>
      <x:c r="J64" s="5" t="str">
        <x:v>异戊酸/3-甲基丁酸</x:v>
      </x:c>
      <x:c r="K64" s="5" t="str">
        <x:v>H</x:v>
      </x:c>
      <x:c r="L64" s="5" t="str">
        <x:v>H</x:v>
      </x:c>
      <x:c r="M64" s="5" t="str">
        <x:v>M</x:v>
      </x:c>
      <x:c r="N64" s="5" t="str">
        <x:v>M</x:v>
      </x:c>
      <x:c r="O64" s="6" t="n">
        <x:f>'浓度水平'!H31</x:f>
        <x:v>9622120</x:v>
      </x:c>
      <x:c r="P64" s="6" t="n">
        <x:f>'浓度水平'!H36</x:f>
        <x:v>1551340.76</x:v>
      </x:c>
      <x:c r="Q64" s="6" t="n">
        <x:f>'浓度水平'!G24</x:f>
        <x:v>2417</x:v>
      </x:c>
      <x:c r="R64" s="6" t="n">
        <x:f>'浓度水平'!G37</x:f>
        <x:v>3885</x:v>
      </x:c>
      <x:c r="S64" s="6" t="n">
        <x:f>O64/'浓度水平'!E31</x:f>
        <x:v>173998.5533453888</x:v>
      </x:c>
      <x:c r="T64" s="6" t="n">
        <x:f>P64/'浓度水平'!E36</x:f>
        <x:v>615.6114126984127</x:v>
      </x:c>
      <x:c r="U64" s="6" t="n">
        <x:f>Q64/'浓度水平'!E24</x:f>
        <x:v>6.213367609254499</x:v>
      </x:c>
      <x:c r="V64" s="6" t="n">
        <x:f>R64/'浓度水平'!E37</x:f>
        <x:v>3.7</x:v>
      </x:c>
      <x:c r="W64" s="6" t="n">
        <x:f>O64*'固定基底'!$B$4/1000</x:f>
        <x:v>192442.4</x:v>
      </x:c>
      <x:c r="X64" s="6" t="n">
        <x:f>P64*'固定基底'!$B$4/1000</x:f>
        <x:v>31026.8152</x:v>
      </x:c>
      <x:c r="Y64" s="6" t="n">
        <x:f>Q64*'固定基底'!$B$4/1000</x:f>
        <x:v>48.34</x:v>
      </x:c>
      <x:c r="Z64" s="6" t="n">
        <x:f>R64*'固定基底'!$B$4/1000</x:f>
        <x:v>77.7</x:v>
      </x:c>
      <x:c r="AA64" s="2" t="n">
        <x:f>'固定基底'!$C$7</x:f>
        <x:v>92796.92267241378</x:v>
      </x:c>
      <x:c r="AB64" s="2" t="n">
        <x:f>'固定基底'!$C$8</x:f>
        <x:v>104175.5097553192</x:v>
      </x:c>
      <x:c r="AC64" s="2" t="n">
        <x:f>'固定基底'!$E$7</x:f>
        <x:v>1855.9384534482756</x:v>
      </x:c>
      <x:c r="AD64" s="2" t="n">
        <x:f>'固定基底'!$E$8</x:f>
        <x:v>2083.510195106384</x:v>
      </x:c>
    </x:row>
    <x:row r="65" ht="25" customHeight="1">
      <x:c r="A65" s="5" t="str">
        <x:v>G03-05</x:v>
      </x:c>
      <x:c r="B65" s="5" t="str">
        <x:v>G03</x:v>
      </x:c>
      <x:c r="C65" s="5" t="str">
        <x:v>BBD</x:v>
      </x:c>
      <x:c r="D65" s="5" t="str">
        <x:v>拟合</x:v>
      </x:c>
      <x:c r="E65" s="5" t="str">
        <x:v>边点</x:v>
      </x:c>
      <x:c r="F65" s="5" t="str"/>
      <x:c r="G65" s="5" t="str">
        <x:v>己酸乙酯</x:v>
      </x:c>
      <x:c r="H65" s="5" t="str">
        <x:v>己酸</x:v>
      </x:c>
      <x:c r="I65" s="5" t="str">
        <x:v>戊酸</x:v>
      </x:c>
      <x:c r="J65" s="5" t="str">
        <x:v>异戊酸/3-甲基丁酸</x:v>
      </x:c>
      <x:c r="K65" s="5" t="str">
        <x:v>L</x:v>
      </x:c>
      <x:c r="L65" s="5" t="str">
        <x:v>M</x:v>
      </x:c>
      <x:c r="M65" s="5" t="str">
        <x:v>L</x:v>
      </x:c>
      <x:c r="N65" s="5" t="str">
        <x:v>M</x:v>
      </x:c>
      <x:c r="O65" s="6" t="n">
        <x:f>'浓度水平'!F31</x:f>
        <x:v>110.6</x:v>
      </x:c>
      <x:c r="P65" s="6" t="n">
        <x:f>'浓度水平'!G36</x:f>
        <x:v>21500</x:v>
      </x:c>
      <x:c r="Q65" s="6" t="n">
        <x:f>'浓度水平'!F24</x:f>
        <x:v>778</x:v>
      </x:c>
      <x:c r="R65" s="6" t="n">
        <x:f>'浓度水平'!G37</x:f>
        <x:v>3885</x:v>
      </x:c>
      <x:c r="S65" s="6" t="n">
        <x:f>O65/'浓度水平'!E31</x:f>
        <x:v>2</x:v>
      </x:c>
      <x:c r="T65" s="6" t="n">
        <x:f>P65/'浓度水平'!E36</x:f>
        <x:v>8.531746031746032</x:v>
      </x:c>
      <x:c r="U65" s="6" t="n">
        <x:f>Q65/'浓度水平'!E24</x:f>
        <x:v>2</x:v>
      </x:c>
      <x:c r="V65" s="6" t="n">
        <x:f>R65/'浓度水平'!E37</x:f>
        <x:v>3.7</x:v>
      </x:c>
      <x:c r="W65" s="6" t="n">
        <x:f>O65*'固定基底'!$B$4/1000</x:f>
        <x:v>2.212</x:v>
      </x:c>
      <x:c r="X65" s="6" t="n">
        <x:f>P65*'固定基底'!$B$4/1000</x:f>
        <x:v>430</x:v>
      </x:c>
      <x:c r="Y65" s="6" t="n">
        <x:f>Q65*'固定基底'!$B$4/1000</x:f>
        <x:v>15.56</x:v>
      </x:c>
      <x:c r="Z65" s="6" t="n">
        <x:f>R65*'固定基底'!$B$4/1000</x:f>
        <x:v>77.7</x:v>
      </x:c>
      <x:c r="AA65" s="2" t="n">
        <x:f>'固定基底'!$C$7</x:f>
        <x:v>92796.92267241378</x:v>
      </x:c>
      <x:c r="AB65" s="2" t="n">
        <x:f>'固定基底'!$C$8</x:f>
        <x:v>104175.5097553192</x:v>
      </x:c>
      <x:c r="AC65" s="2" t="n">
        <x:f>'固定基底'!$E$7</x:f>
        <x:v>1855.9384534482756</x:v>
      </x:c>
      <x:c r="AD65" s="2" t="n">
        <x:f>'固定基底'!$E$8</x:f>
        <x:v>2083.510195106384</x:v>
      </x:c>
    </x:row>
    <x:row r="66" ht="25" customHeight="1">
      <x:c r="A66" s="5" t="str">
        <x:v>G03-06</x:v>
      </x:c>
      <x:c r="B66" s="5" t="str">
        <x:v>G03</x:v>
      </x:c>
      <x:c r="C66" s="5" t="str">
        <x:v>BBD</x:v>
      </x:c>
      <x:c r="D66" s="5" t="str">
        <x:v>拟合</x:v>
      </x:c>
      <x:c r="E66" s="5" t="str">
        <x:v>边点</x:v>
      </x:c>
      <x:c r="F66" s="5" t="str"/>
      <x:c r="G66" s="5" t="str">
        <x:v>己酸乙酯</x:v>
      </x:c>
      <x:c r="H66" s="5" t="str">
        <x:v>己酸</x:v>
      </x:c>
      <x:c r="I66" s="5" t="str">
        <x:v>戊酸</x:v>
      </x:c>
      <x:c r="J66" s="5" t="str">
        <x:v>异戊酸/3-甲基丁酸</x:v>
      </x:c>
      <x:c r="K66" s="5" t="str">
        <x:v>L</x:v>
      </x:c>
      <x:c r="L66" s="5" t="str">
        <x:v>M</x:v>
      </x:c>
      <x:c r="M66" s="5" t="str">
        <x:v>H</x:v>
      </x:c>
      <x:c r="N66" s="5" t="str">
        <x:v>M</x:v>
      </x:c>
      <x:c r="O66" s="6" t="n">
        <x:f>'浓度水平'!F31</x:f>
        <x:v>110.6</x:v>
      </x:c>
      <x:c r="P66" s="6" t="n">
        <x:f>'浓度水平'!G36</x:f>
        <x:v>21500</x:v>
      </x:c>
      <x:c r="Q66" s="6" t="n">
        <x:f>'浓度水平'!H24</x:f>
        <x:v>62700</x:v>
      </x:c>
      <x:c r="R66" s="6" t="n">
        <x:f>'浓度水平'!G37</x:f>
        <x:v>3885</x:v>
      </x:c>
      <x:c r="S66" s="6" t="n">
        <x:f>O66/'浓度水平'!E31</x:f>
        <x:v>2</x:v>
      </x:c>
      <x:c r="T66" s="6" t="n">
        <x:f>P66/'浓度水平'!E36</x:f>
        <x:v>8.531746031746032</x:v>
      </x:c>
      <x:c r="U66" s="6" t="n">
        <x:f>Q66/'浓度水平'!E24</x:f>
        <x:v>161.18251928020567</x:v>
      </x:c>
      <x:c r="V66" s="6" t="n">
        <x:f>R66/'浓度水平'!E37</x:f>
        <x:v>3.7</x:v>
      </x:c>
      <x:c r="W66" s="6" t="n">
        <x:f>O66*'固定基底'!$B$4/1000</x:f>
        <x:v>2.212</x:v>
      </x:c>
      <x:c r="X66" s="6" t="n">
        <x:f>P66*'固定基底'!$B$4/1000</x:f>
        <x:v>430</x:v>
      </x:c>
      <x:c r="Y66" s="6" t="n">
        <x:f>Q66*'固定基底'!$B$4/1000</x:f>
        <x:v>1254</x:v>
      </x:c>
      <x:c r="Z66" s="6" t="n">
        <x:f>R66*'固定基底'!$B$4/1000</x:f>
        <x:v>77.7</x:v>
      </x:c>
      <x:c r="AA66" s="2" t="n">
        <x:f>'固定基底'!$C$7</x:f>
        <x:v>92796.92267241378</x:v>
      </x:c>
      <x:c r="AB66" s="2" t="n">
        <x:f>'固定基底'!$C$8</x:f>
        <x:v>104175.5097553192</x:v>
      </x:c>
      <x:c r="AC66" s="2" t="n">
        <x:f>'固定基底'!$E$7</x:f>
        <x:v>1855.9384534482756</x:v>
      </x:c>
      <x:c r="AD66" s="2" t="n">
        <x:f>'固定基底'!$E$8</x:f>
        <x:v>2083.510195106384</x:v>
      </x:c>
    </x:row>
    <x:row r="67" ht="25" customHeight="1">
      <x:c r="A67" s="5" t="str">
        <x:v>G03-07</x:v>
      </x:c>
      <x:c r="B67" s="5" t="str">
        <x:v>G03</x:v>
      </x:c>
      <x:c r="C67" s="5" t="str">
        <x:v>BBD</x:v>
      </x:c>
      <x:c r="D67" s="5" t="str">
        <x:v>拟合</x:v>
      </x:c>
      <x:c r="E67" s="5" t="str">
        <x:v>边点</x:v>
      </x:c>
      <x:c r="F67" s="5" t="str"/>
      <x:c r="G67" s="5" t="str">
        <x:v>己酸乙酯</x:v>
      </x:c>
      <x:c r="H67" s="5" t="str">
        <x:v>己酸</x:v>
      </x:c>
      <x:c r="I67" s="5" t="str">
        <x:v>戊酸</x:v>
      </x:c>
      <x:c r="J67" s="5" t="str">
        <x:v>异戊酸/3-甲基丁酸</x:v>
      </x:c>
      <x:c r="K67" s="5" t="str">
        <x:v>H</x:v>
      </x:c>
      <x:c r="L67" s="5" t="str">
        <x:v>M</x:v>
      </x:c>
      <x:c r="M67" s="5" t="str">
        <x:v>L</x:v>
      </x:c>
      <x:c r="N67" s="5" t="str">
        <x:v>M</x:v>
      </x:c>
      <x:c r="O67" s="6" t="n">
        <x:f>'浓度水平'!H31</x:f>
        <x:v>9622120</x:v>
      </x:c>
      <x:c r="P67" s="6" t="n">
        <x:f>'浓度水平'!G36</x:f>
        <x:v>21500</x:v>
      </x:c>
      <x:c r="Q67" s="6" t="n">
        <x:f>'浓度水平'!F24</x:f>
        <x:v>778</x:v>
      </x:c>
      <x:c r="R67" s="6" t="n">
        <x:f>'浓度水平'!G37</x:f>
        <x:v>3885</x:v>
      </x:c>
      <x:c r="S67" s="6" t="n">
        <x:f>O67/'浓度水平'!E31</x:f>
        <x:v>173998.5533453888</x:v>
      </x:c>
      <x:c r="T67" s="6" t="n">
        <x:f>P67/'浓度水平'!E36</x:f>
        <x:v>8.531746031746032</x:v>
      </x:c>
      <x:c r="U67" s="6" t="n">
        <x:f>Q67/'浓度水平'!E24</x:f>
        <x:v>2</x:v>
      </x:c>
      <x:c r="V67" s="6" t="n">
        <x:f>R67/'浓度水平'!E37</x:f>
        <x:v>3.7</x:v>
      </x:c>
      <x:c r="W67" s="6" t="n">
        <x:f>O67*'固定基底'!$B$4/1000</x:f>
        <x:v>192442.4</x:v>
      </x:c>
      <x:c r="X67" s="6" t="n">
        <x:f>P67*'固定基底'!$B$4/1000</x:f>
        <x:v>430</x:v>
      </x:c>
      <x:c r="Y67" s="6" t="n">
        <x:f>Q67*'固定基底'!$B$4/1000</x:f>
        <x:v>15.56</x:v>
      </x:c>
      <x:c r="Z67" s="6" t="n">
        <x:f>R67*'固定基底'!$B$4/1000</x:f>
        <x:v>77.7</x:v>
      </x:c>
      <x:c r="AA67" s="2" t="n">
        <x:f>'固定基底'!$C$7</x:f>
        <x:v>92796.92267241378</x:v>
      </x:c>
      <x:c r="AB67" s="2" t="n">
        <x:f>'固定基底'!$C$8</x:f>
        <x:v>104175.5097553192</x:v>
      </x:c>
      <x:c r="AC67" s="2" t="n">
        <x:f>'固定基底'!$E$7</x:f>
        <x:v>1855.9384534482756</x:v>
      </x:c>
      <x:c r="AD67" s="2" t="n">
        <x:f>'固定基底'!$E$8</x:f>
        <x:v>2083.510195106384</x:v>
      </x:c>
    </x:row>
    <x:row r="68" ht="25" customHeight="1">
      <x:c r="A68" s="5" t="str">
        <x:v>G03-08</x:v>
      </x:c>
      <x:c r="B68" s="5" t="str">
        <x:v>G03</x:v>
      </x:c>
      <x:c r="C68" s="5" t="str">
        <x:v>BBD</x:v>
      </x:c>
      <x:c r="D68" s="5" t="str">
        <x:v>拟合</x:v>
      </x:c>
      <x:c r="E68" s="5" t="str">
        <x:v>边点</x:v>
      </x:c>
      <x:c r="F68" s="5" t="str"/>
      <x:c r="G68" s="5" t="str">
        <x:v>己酸乙酯</x:v>
      </x:c>
      <x:c r="H68" s="5" t="str">
        <x:v>己酸</x:v>
      </x:c>
      <x:c r="I68" s="5" t="str">
        <x:v>戊酸</x:v>
      </x:c>
      <x:c r="J68" s="5" t="str">
        <x:v>异戊酸/3-甲基丁酸</x:v>
      </x:c>
      <x:c r="K68" s="5" t="str">
        <x:v>H</x:v>
      </x:c>
      <x:c r="L68" s="5" t="str">
        <x:v>M</x:v>
      </x:c>
      <x:c r="M68" s="5" t="str">
        <x:v>H</x:v>
      </x:c>
      <x:c r="N68" s="5" t="str">
        <x:v>M</x:v>
      </x:c>
      <x:c r="O68" s="6" t="n">
        <x:f>'浓度水平'!H31</x:f>
        <x:v>9622120</x:v>
      </x:c>
      <x:c r="P68" s="6" t="n">
        <x:f>'浓度水平'!G36</x:f>
        <x:v>21500</x:v>
      </x:c>
      <x:c r="Q68" s="6" t="n">
        <x:f>'浓度水平'!H24</x:f>
        <x:v>62700</x:v>
      </x:c>
      <x:c r="R68" s="6" t="n">
        <x:f>'浓度水平'!G37</x:f>
        <x:v>3885</x:v>
      </x:c>
      <x:c r="S68" s="6" t="n">
        <x:f>O68/'浓度水平'!E31</x:f>
        <x:v>173998.5533453888</x:v>
      </x:c>
      <x:c r="T68" s="6" t="n">
        <x:f>P68/'浓度水平'!E36</x:f>
        <x:v>8.531746031746032</x:v>
      </x:c>
      <x:c r="U68" s="6" t="n">
        <x:f>Q68/'浓度水平'!E24</x:f>
        <x:v>161.18251928020567</x:v>
      </x:c>
      <x:c r="V68" s="6" t="n">
        <x:f>R68/'浓度水平'!E37</x:f>
        <x:v>3.7</x:v>
      </x:c>
      <x:c r="W68" s="6" t="n">
        <x:f>O68*'固定基底'!$B$4/1000</x:f>
        <x:v>192442.4</x:v>
      </x:c>
      <x:c r="X68" s="6" t="n">
        <x:f>P68*'固定基底'!$B$4/1000</x:f>
        <x:v>430</x:v>
      </x:c>
      <x:c r="Y68" s="6" t="n">
        <x:f>Q68*'固定基底'!$B$4/1000</x:f>
        <x:v>1254</x:v>
      </x:c>
      <x:c r="Z68" s="6" t="n">
        <x:f>R68*'固定基底'!$B$4/1000</x:f>
        <x:v>77.7</x:v>
      </x:c>
      <x:c r="AA68" s="2" t="n">
        <x:f>'固定基底'!$C$7</x:f>
        <x:v>92796.92267241378</x:v>
      </x:c>
      <x:c r="AB68" s="2" t="n">
        <x:f>'固定基底'!$C$8</x:f>
        <x:v>104175.5097553192</x:v>
      </x:c>
      <x:c r="AC68" s="2" t="n">
        <x:f>'固定基底'!$E$7</x:f>
        <x:v>1855.9384534482756</x:v>
      </x:c>
      <x:c r="AD68" s="2" t="n">
        <x:f>'固定基底'!$E$8</x:f>
        <x:v>2083.510195106384</x:v>
      </x:c>
    </x:row>
    <x:row r="69" ht="25" customHeight="1">
      <x:c r="A69" s="5" t="str">
        <x:v>G03-09</x:v>
      </x:c>
      <x:c r="B69" s="5" t="str">
        <x:v>G03</x:v>
      </x:c>
      <x:c r="C69" s="5" t="str">
        <x:v>BBD</x:v>
      </x:c>
      <x:c r="D69" s="5" t="str">
        <x:v>拟合</x:v>
      </x:c>
      <x:c r="E69" s="5" t="str">
        <x:v>边点</x:v>
      </x:c>
      <x:c r="F69" s="5" t="str"/>
      <x:c r="G69" s="5" t="str">
        <x:v>己酸乙酯</x:v>
      </x:c>
      <x:c r="H69" s="5" t="str">
        <x:v>己酸</x:v>
      </x:c>
      <x:c r="I69" s="5" t="str">
        <x:v>戊酸</x:v>
      </x:c>
      <x:c r="J69" s="5" t="str">
        <x:v>异戊酸/3-甲基丁酸</x:v>
      </x:c>
      <x:c r="K69" s="5" t="str">
        <x:v>L</x:v>
      </x:c>
      <x:c r="L69" s="5" t="str">
        <x:v>M</x:v>
      </x:c>
      <x:c r="M69" s="5" t="str">
        <x:v>M</x:v>
      </x:c>
      <x:c r="N69" s="5" t="str">
        <x:v>L</x:v>
      </x:c>
      <x:c r="O69" s="6" t="n">
        <x:f>'浓度水平'!F31</x:f>
        <x:v>110.6</x:v>
      </x:c>
      <x:c r="P69" s="6" t="n">
        <x:f>'浓度水平'!G36</x:f>
        <x:v>21500</x:v>
      </x:c>
      <x:c r="Q69" s="6" t="n">
        <x:f>'浓度水平'!G24</x:f>
        <x:v>2417</x:v>
      </x:c>
      <x:c r="R69" s="6" t="n">
        <x:f>'浓度水平'!F37</x:f>
        <x:v>2100</x:v>
      </x:c>
      <x:c r="S69" s="6" t="n">
        <x:f>O69/'浓度水平'!E31</x:f>
        <x:v>2</x:v>
      </x:c>
      <x:c r="T69" s="6" t="n">
        <x:f>P69/'浓度水平'!E36</x:f>
        <x:v>8.531746031746032</x:v>
      </x:c>
      <x:c r="U69" s="6" t="n">
        <x:f>Q69/'浓度水平'!E24</x:f>
        <x:v>6.213367609254499</x:v>
      </x:c>
      <x:c r="V69" s="6" t="n">
        <x:f>R69/'浓度水平'!E37</x:f>
        <x:v>2</x:v>
      </x:c>
      <x:c r="W69" s="6" t="n">
        <x:f>O69*'固定基底'!$B$4/1000</x:f>
        <x:v>2.212</x:v>
      </x:c>
      <x:c r="X69" s="6" t="n">
        <x:f>P69*'固定基底'!$B$4/1000</x:f>
        <x:v>430</x:v>
      </x:c>
      <x:c r="Y69" s="6" t="n">
        <x:f>Q69*'固定基底'!$B$4/1000</x:f>
        <x:v>48.34</x:v>
      </x:c>
      <x:c r="Z69" s="6" t="n">
        <x:f>R69*'固定基底'!$B$4/1000</x:f>
        <x:v>42</x:v>
      </x:c>
      <x:c r="AA69" s="2" t="n">
        <x:f>'固定基底'!$C$7</x:f>
        <x:v>92796.92267241378</x:v>
      </x:c>
      <x:c r="AB69" s="2" t="n">
        <x:f>'固定基底'!$C$8</x:f>
        <x:v>104175.5097553192</x:v>
      </x:c>
      <x:c r="AC69" s="2" t="n">
        <x:f>'固定基底'!$E$7</x:f>
        <x:v>1855.9384534482756</x:v>
      </x:c>
      <x:c r="AD69" s="2" t="n">
        <x:f>'固定基底'!$E$8</x:f>
        <x:v>2083.510195106384</x:v>
      </x:c>
    </x:row>
    <x:row r="70" ht="25" customHeight="1">
      <x:c r="A70" s="5" t="str">
        <x:v>G03-10</x:v>
      </x:c>
      <x:c r="B70" s="5" t="str">
        <x:v>G03</x:v>
      </x:c>
      <x:c r="C70" s="5" t="str">
        <x:v>BBD</x:v>
      </x:c>
      <x:c r="D70" s="5" t="str">
        <x:v>拟合</x:v>
      </x:c>
      <x:c r="E70" s="5" t="str">
        <x:v>边点</x:v>
      </x:c>
      <x:c r="F70" s="5" t="str"/>
      <x:c r="G70" s="5" t="str">
        <x:v>己酸乙酯</x:v>
      </x:c>
      <x:c r="H70" s="5" t="str">
        <x:v>己酸</x:v>
      </x:c>
      <x:c r="I70" s="5" t="str">
        <x:v>戊酸</x:v>
      </x:c>
      <x:c r="J70" s="5" t="str">
        <x:v>异戊酸/3-甲基丁酸</x:v>
      </x:c>
      <x:c r="K70" s="5" t="str">
        <x:v>L</x:v>
      </x:c>
      <x:c r="L70" s="5" t="str">
        <x:v>M</x:v>
      </x:c>
      <x:c r="M70" s="5" t="str">
        <x:v>M</x:v>
      </x:c>
      <x:c r="N70" s="5" t="str">
        <x:v>H</x:v>
      </x:c>
      <x:c r="O70" s="6" t="n">
        <x:f>'浓度水平'!F31</x:f>
        <x:v>110.6</x:v>
      </x:c>
      <x:c r="P70" s="6" t="n">
        <x:f>'浓度水平'!G36</x:f>
        <x:v>21500</x:v>
      </x:c>
      <x:c r="Q70" s="6" t="n">
        <x:f>'浓度水平'!G24</x:f>
        <x:v>2417</x:v>
      </x:c>
      <x:c r="R70" s="6" t="n">
        <x:f>'浓度水平'!H37</x:f>
        <x:v>44000</x:v>
      </x:c>
      <x:c r="S70" s="6" t="n">
        <x:f>O70/'浓度水平'!E31</x:f>
        <x:v>2</x:v>
      </x:c>
      <x:c r="T70" s="6" t="n">
        <x:f>P70/'浓度水平'!E36</x:f>
        <x:v>8.531746031746032</x:v>
      </x:c>
      <x:c r="U70" s="6" t="n">
        <x:f>Q70/'浓度水平'!E24</x:f>
        <x:v>6.213367609254499</x:v>
      </x:c>
      <x:c r="V70" s="6" t="n">
        <x:f>R70/'浓度水平'!E37</x:f>
        <x:v>41.904761904761905</x:v>
      </x:c>
      <x:c r="W70" s="6" t="n">
        <x:f>O70*'固定基底'!$B$4/1000</x:f>
        <x:v>2.212</x:v>
      </x:c>
      <x:c r="X70" s="6" t="n">
        <x:f>P70*'固定基底'!$B$4/1000</x:f>
        <x:v>430</x:v>
      </x:c>
      <x:c r="Y70" s="6" t="n">
        <x:f>Q70*'固定基底'!$B$4/1000</x:f>
        <x:v>48.34</x:v>
      </x:c>
      <x:c r="Z70" s="6" t="n">
        <x:f>R70*'固定基底'!$B$4/1000</x:f>
        <x:v>880</x:v>
      </x:c>
      <x:c r="AA70" s="2" t="n">
        <x:f>'固定基底'!$C$7</x:f>
        <x:v>92796.92267241378</x:v>
      </x:c>
      <x:c r="AB70" s="2" t="n">
        <x:f>'固定基底'!$C$8</x:f>
        <x:v>104175.5097553192</x:v>
      </x:c>
      <x:c r="AC70" s="2" t="n">
        <x:f>'固定基底'!$E$7</x:f>
        <x:v>1855.9384534482756</x:v>
      </x:c>
      <x:c r="AD70" s="2" t="n">
        <x:f>'固定基底'!$E$8</x:f>
        <x:v>2083.510195106384</x:v>
      </x:c>
    </x:row>
    <x:row r="71" ht="25" customHeight="1">
      <x:c r="A71" s="5" t="str">
        <x:v>G03-11</x:v>
      </x:c>
      <x:c r="B71" s="5" t="str">
        <x:v>G03</x:v>
      </x:c>
      <x:c r="C71" s="5" t="str">
        <x:v>BBD</x:v>
      </x:c>
      <x:c r="D71" s="5" t="str">
        <x:v>拟合</x:v>
      </x:c>
      <x:c r="E71" s="5" t="str">
        <x:v>边点</x:v>
      </x:c>
      <x:c r="F71" s="5" t="str"/>
      <x:c r="G71" s="5" t="str">
        <x:v>己酸乙酯</x:v>
      </x:c>
      <x:c r="H71" s="5" t="str">
        <x:v>己酸</x:v>
      </x:c>
      <x:c r="I71" s="5" t="str">
        <x:v>戊酸</x:v>
      </x:c>
      <x:c r="J71" s="5" t="str">
        <x:v>异戊酸/3-甲基丁酸</x:v>
      </x:c>
      <x:c r="K71" s="5" t="str">
        <x:v>H</x:v>
      </x:c>
      <x:c r="L71" s="5" t="str">
        <x:v>M</x:v>
      </x:c>
      <x:c r="M71" s="5" t="str">
        <x:v>M</x:v>
      </x:c>
      <x:c r="N71" s="5" t="str">
        <x:v>L</x:v>
      </x:c>
      <x:c r="O71" s="6" t="n">
        <x:f>'浓度水平'!H31</x:f>
        <x:v>9622120</x:v>
      </x:c>
      <x:c r="P71" s="6" t="n">
        <x:f>'浓度水平'!G36</x:f>
        <x:v>21500</x:v>
      </x:c>
      <x:c r="Q71" s="6" t="n">
        <x:f>'浓度水平'!G24</x:f>
        <x:v>2417</x:v>
      </x:c>
      <x:c r="R71" s="6" t="n">
        <x:f>'浓度水平'!F37</x:f>
        <x:v>2100</x:v>
      </x:c>
      <x:c r="S71" s="6" t="n">
        <x:f>O71/'浓度水平'!E31</x:f>
        <x:v>173998.5533453888</x:v>
      </x:c>
      <x:c r="T71" s="6" t="n">
        <x:f>P71/'浓度水平'!E36</x:f>
        <x:v>8.531746031746032</x:v>
      </x:c>
      <x:c r="U71" s="6" t="n">
        <x:f>Q71/'浓度水平'!E24</x:f>
        <x:v>6.213367609254499</x:v>
      </x:c>
      <x:c r="V71" s="6" t="n">
        <x:f>R71/'浓度水平'!E37</x:f>
        <x:v>2</x:v>
      </x:c>
      <x:c r="W71" s="6" t="n">
        <x:f>O71*'固定基底'!$B$4/1000</x:f>
        <x:v>192442.4</x:v>
      </x:c>
      <x:c r="X71" s="6" t="n">
        <x:f>P71*'固定基底'!$B$4/1000</x:f>
        <x:v>430</x:v>
      </x:c>
      <x:c r="Y71" s="6" t="n">
        <x:f>Q71*'固定基底'!$B$4/1000</x:f>
        <x:v>48.34</x:v>
      </x:c>
      <x:c r="Z71" s="6" t="n">
        <x:f>R71*'固定基底'!$B$4/1000</x:f>
        <x:v>42</x:v>
      </x:c>
      <x:c r="AA71" s="2" t="n">
        <x:f>'固定基底'!$C$7</x:f>
        <x:v>92796.92267241378</x:v>
      </x:c>
      <x:c r="AB71" s="2" t="n">
        <x:f>'固定基底'!$C$8</x:f>
        <x:v>104175.5097553192</x:v>
      </x:c>
      <x:c r="AC71" s="2" t="n">
        <x:f>'固定基底'!$E$7</x:f>
        <x:v>1855.9384534482756</x:v>
      </x:c>
      <x:c r="AD71" s="2" t="n">
        <x:f>'固定基底'!$E$8</x:f>
        <x:v>2083.510195106384</x:v>
      </x:c>
    </x:row>
    <x:row r="72" ht="25" customHeight="1">
      <x:c r="A72" s="5" t="str">
        <x:v>G03-12</x:v>
      </x:c>
      <x:c r="B72" s="5" t="str">
        <x:v>G03</x:v>
      </x:c>
      <x:c r="C72" s="5" t="str">
        <x:v>BBD</x:v>
      </x:c>
      <x:c r="D72" s="5" t="str">
        <x:v>拟合</x:v>
      </x:c>
      <x:c r="E72" s="5" t="str">
        <x:v>边点</x:v>
      </x:c>
      <x:c r="F72" s="5" t="str"/>
      <x:c r="G72" s="5" t="str">
        <x:v>己酸乙酯</x:v>
      </x:c>
      <x:c r="H72" s="5" t="str">
        <x:v>己酸</x:v>
      </x:c>
      <x:c r="I72" s="5" t="str">
        <x:v>戊酸</x:v>
      </x:c>
      <x:c r="J72" s="5" t="str">
        <x:v>异戊酸/3-甲基丁酸</x:v>
      </x:c>
      <x:c r="K72" s="5" t="str">
        <x:v>H</x:v>
      </x:c>
      <x:c r="L72" s="5" t="str">
        <x:v>M</x:v>
      </x:c>
      <x:c r="M72" s="5" t="str">
        <x:v>M</x:v>
      </x:c>
      <x:c r="N72" s="5" t="str">
        <x:v>H</x:v>
      </x:c>
      <x:c r="O72" s="6" t="n">
        <x:f>'浓度水平'!H31</x:f>
        <x:v>9622120</x:v>
      </x:c>
      <x:c r="P72" s="6" t="n">
        <x:f>'浓度水平'!G36</x:f>
        <x:v>21500</x:v>
      </x:c>
      <x:c r="Q72" s="6" t="n">
        <x:f>'浓度水平'!G24</x:f>
        <x:v>2417</x:v>
      </x:c>
      <x:c r="R72" s="6" t="n">
        <x:f>'浓度水平'!H37</x:f>
        <x:v>44000</x:v>
      </x:c>
      <x:c r="S72" s="6" t="n">
        <x:f>O72/'浓度水平'!E31</x:f>
        <x:v>173998.5533453888</x:v>
      </x:c>
      <x:c r="T72" s="6" t="n">
        <x:f>P72/'浓度水平'!E36</x:f>
        <x:v>8.531746031746032</x:v>
      </x:c>
      <x:c r="U72" s="6" t="n">
        <x:f>Q72/'浓度水平'!E24</x:f>
        <x:v>6.213367609254499</x:v>
      </x:c>
      <x:c r="V72" s="6" t="n">
        <x:f>R72/'浓度水平'!E37</x:f>
        <x:v>41.904761904761905</x:v>
      </x:c>
      <x:c r="W72" s="6" t="n">
        <x:f>O72*'固定基底'!$B$4/1000</x:f>
        <x:v>192442.4</x:v>
      </x:c>
      <x:c r="X72" s="6" t="n">
        <x:f>P72*'固定基底'!$B$4/1000</x:f>
        <x:v>430</x:v>
      </x:c>
      <x:c r="Y72" s="6" t="n">
        <x:f>Q72*'固定基底'!$B$4/1000</x:f>
        <x:v>48.34</x:v>
      </x:c>
      <x:c r="Z72" s="6" t="n">
        <x:f>R72*'固定基底'!$B$4/1000</x:f>
        <x:v>880</x:v>
      </x:c>
      <x:c r="AA72" s="2" t="n">
        <x:f>'固定基底'!$C$7</x:f>
        <x:v>92796.92267241378</x:v>
      </x:c>
      <x:c r="AB72" s="2" t="n">
        <x:f>'固定基底'!$C$8</x:f>
        <x:v>104175.5097553192</x:v>
      </x:c>
      <x:c r="AC72" s="2" t="n">
        <x:f>'固定基底'!$E$7</x:f>
        <x:v>1855.9384534482756</x:v>
      </x:c>
      <x:c r="AD72" s="2" t="n">
        <x:f>'固定基底'!$E$8</x:f>
        <x:v>2083.510195106384</x:v>
      </x:c>
    </x:row>
    <x:row r="73" ht="25" customHeight="1">
      <x:c r="A73" s="5" t="str">
        <x:v>G03-13</x:v>
      </x:c>
      <x:c r="B73" s="5" t="str">
        <x:v>G03</x:v>
      </x:c>
      <x:c r="C73" s="5" t="str">
        <x:v>BBD</x:v>
      </x:c>
      <x:c r="D73" s="5" t="str">
        <x:v>拟合</x:v>
      </x:c>
      <x:c r="E73" s="5" t="str">
        <x:v>边点</x:v>
      </x:c>
      <x:c r="F73" s="5" t="str"/>
      <x:c r="G73" s="5" t="str">
        <x:v>己酸乙酯</x:v>
      </x:c>
      <x:c r="H73" s="5" t="str">
        <x:v>己酸</x:v>
      </x:c>
      <x:c r="I73" s="5" t="str">
        <x:v>戊酸</x:v>
      </x:c>
      <x:c r="J73" s="5" t="str">
        <x:v>异戊酸/3-甲基丁酸</x:v>
      </x:c>
      <x:c r="K73" s="5" t="str">
        <x:v>M</x:v>
      </x:c>
      <x:c r="L73" s="5" t="str">
        <x:v>L</x:v>
      </x:c>
      <x:c r="M73" s="5" t="str">
        <x:v>L</x:v>
      </x:c>
      <x:c r="N73" s="5" t="str">
        <x:v>M</x:v>
      </x:c>
      <x:c r="O73" s="6" t="n">
        <x:f>'浓度水平'!G31</x:f>
        <x:v>215340</x:v>
      </x:c>
      <x:c r="P73" s="6" t="n">
        <x:f>'浓度水平'!F36</x:f>
        <x:v>5040</x:v>
      </x:c>
      <x:c r="Q73" s="6" t="n">
        <x:f>'浓度水平'!F24</x:f>
        <x:v>778</x:v>
      </x:c>
      <x:c r="R73" s="6" t="n">
        <x:f>'浓度水平'!G37</x:f>
        <x:v>3885</x:v>
      </x:c>
      <x:c r="S73" s="6" t="n">
        <x:f>O73/'浓度水平'!E31</x:f>
        <x:v>3894.0325497287527</x:v>
      </x:c>
      <x:c r="T73" s="6" t="n">
        <x:f>P73/'浓度水平'!E36</x:f>
        <x:v>2</x:v>
      </x:c>
      <x:c r="U73" s="6" t="n">
        <x:f>Q73/'浓度水平'!E24</x:f>
        <x:v>2</x:v>
      </x:c>
      <x:c r="V73" s="6" t="n">
        <x:f>R73/'浓度水平'!E37</x:f>
        <x:v>3.7</x:v>
      </x:c>
      <x:c r="W73" s="6" t="n">
        <x:f>O73*'固定基底'!$B$4/1000</x:f>
        <x:v>4306.8</x:v>
      </x:c>
      <x:c r="X73" s="6" t="n">
        <x:f>P73*'固定基底'!$B$4/1000</x:f>
        <x:v>100.8</x:v>
      </x:c>
      <x:c r="Y73" s="6" t="n">
        <x:f>Q73*'固定基底'!$B$4/1000</x:f>
        <x:v>15.56</x:v>
      </x:c>
      <x:c r="Z73" s="6" t="n">
        <x:f>R73*'固定基底'!$B$4/1000</x:f>
        <x:v>77.7</x:v>
      </x:c>
      <x:c r="AA73" s="2" t="n">
        <x:f>'固定基底'!$C$7</x:f>
        <x:v>92796.92267241378</x:v>
      </x:c>
      <x:c r="AB73" s="2" t="n">
        <x:f>'固定基底'!$C$8</x:f>
        <x:v>104175.5097553192</x:v>
      </x:c>
      <x:c r="AC73" s="2" t="n">
        <x:f>'固定基底'!$E$7</x:f>
        <x:v>1855.9384534482756</x:v>
      </x:c>
      <x:c r="AD73" s="2" t="n">
        <x:f>'固定基底'!$E$8</x:f>
        <x:v>2083.510195106384</x:v>
      </x:c>
    </x:row>
    <x:row r="74" ht="25" customHeight="1">
      <x:c r="A74" s="5" t="str">
        <x:v>G03-14</x:v>
      </x:c>
      <x:c r="B74" s="5" t="str">
        <x:v>G03</x:v>
      </x:c>
      <x:c r="C74" s="5" t="str">
        <x:v>BBD</x:v>
      </x:c>
      <x:c r="D74" s="5" t="str">
        <x:v>拟合</x:v>
      </x:c>
      <x:c r="E74" s="5" t="str">
        <x:v>边点</x:v>
      </x:c>
      <x:c r="F74" s="5" t="str"/>
      <x:c r="G74" s="5" t="str">
        <x:v>己酸乙酯</x:v>
      </x:c>
      <x:c r="H74" s="5" t="str">
        <x:v>己酸</x:v>
      </x:c>
      <x:c r="I74" s="5" t="str">
        <x:v>戊酸</x:v>
      </x:c>
      <x:c r="J74" s="5" t="str">
        <x:v>异戊酸/3-甲基丁酸</x:v>
      </x:c>
      <x:c r="K74" s="5" t="str">
        <x:v>M</x:v>
      </x:c>
      <x:c r="L74" s="5" t="str">
        <x:v>L</x:v>
      </x:c>
      <x:c r="M74" s="5" t="str">
        <x:v>H</x:v>
      </x:c>
      <x:c r="N74" s="5" t="str">
        <x:v>M</x:v>
      </x:c>
      <x:c r="O74" s="6" t="n">
        <x:f>'浓度水平'!G31</x:f>
        <x:v>215340</x:v>
      </x:c>
      <x:c r="P74" s="6" t="n">
        <x:f>'浓度水平'!F36</x:f>
        <x:v>5040</x:v>
      </x:c>
      <x:c r="Q74" s="6" t="n">
        <x:f>'浓度水平'!H24</x:f>
        <x:v>62700</x:v>
      </x:c>
      <x:c r="R74" s="6" t="n">
        <x:f>'浓度水平'!G37</x:f>
        <x:v>3885</x:v>
      </x:c>
      <x:c r="S74" s="6" t="n">
        <x:f>O74/'浓度水平'!E31</x:f>
        <x:v>3894.0325497287527</x:v>
      </x:c>
      <x:c r="T74" s="6" t="n">
        <x:f>P74/'浓度水平'!E36</x:f>
        <x:v>2</x:v>
      </x:c>
      <x:c r="U74" s="6" t="n">
        <x:f>Q74/'浓度水平'!E24</x:f>
        <x:v>161.18251928020567</x:v>
      </x:c>
      <x:c r="V74" s="6" t="n">
        <x:f>R74/'浓度水平'!E37</x:f>
        <x:v>3.7</x:v>
      </x:c>
      <x:c r="W74" s="6" t="n">
        <x:f>O74*'固定基底'!$B$4/1000</x:f>
        <x:v>4306.8</x:v>
      </x:c>
      <x:c r="X74" s="6" t="n">
        <x:f>P74*'固定基底'!$B$4/1000</x:f>
        <x:v>100.8</x:v>
      </x:c>
      <x:c r="Y74" s="6" t="n">
        <x:f>Q74*'固定基底'!$B$4/1000</x:f>
        <x:v>1254</x:v>
      </x:c>
      <x:c r="Z74" s="6" t="n">
        <x:f>R74*'固定基底'!$B$4/1000</x:f>
        <x:v>77.7</x:v>
      </x:c>
      <x:c r="AA74" s="2" t="n">
        <x:f>'固定基底'!$C$7</x:f>
        <x:v>92796.92267241378</x:v>
      </x:c>
      <x:c r="AB74" s="2" t="n">
        <x:f>'固定基底'!$C$8</x:f>
        <x:v>104175.5097553192</x:v>
      </x:c>
      <x:c r="AC74" s="2" t="n">
        <x:f>'固定基底'!$E$7</x:f>
        <x:v>1855.9384534482756</x:v>
      </x:c>
      <x:c r="AD74" s="2" t="n">
        <x:f>'固定基底'!$E$8</x:f>
        <x:v>2083.510195106384</x:v>
      </x:c>
    </x:row>
    <x:row r="75" ht="25" customHeight="1">
      <x:c r="A75" s="5" t="str">
        <x:v>G03-15</x:v>
      </x:c>
      <x:c r="B75" s="5" t="str">
        <x:v>G03</x:v>
      </x:c>
      <x:c r="C75" s="5" t="str">
        <x:v>BBD</x:v>
      </x:c>
      <x:c r="D75" s="5" t="str">
        <x:v>拟合</x:v>
      </x:c>
      <x:c r="E75" s="5" t="str">
        <x:v>边点</x:v>
      </x:c>
      <x:c r="F75" s="5" t="str"/>
      <x:c r="G75" s="5" t="str">
        <x:v>己酸乙酯</x:v>
      </x:c>
      <x:c r="H75" s="5" t="str">
        <x:v>己酸</x:v>
      </x:c>
      <x:c r="I75" s="5" t="str">
        <x:v>戊酸</x:v>
      </x:c>
      <x:c r="J75" s="5" t="str">
        <x:v>异戊酸/3-甲基丁酸</x:v>
      </x:c>
      <x:c r="K75" s="5" t="str">
        <x:v>M</x:v>
      </x:c>
      <x:c r="L75" s="5" t="str">
        <x:v>H</x:v>
      </x:c>
      <x:c r="M75" s="5" t="str">
        <x:v>L</x:v>
      </x:c>
      <x:c r="N75" s="5" t="str">
        <x:v>M</x:v>
      </x:c>
      <x:c r="O75" s="6" t="n">
        <x:f>'浓度水平'!G31</x:f>
        <x:v>215340</x:v>
      </x:c>
      <x:c r="P75" s="6" t="n">
        <x:f>'浓度水平'!H36</x:f>
        <x:v>1551340.76</x:v>
      </x:c>
      <x:c r="Q75" s="6" t="n">
        <x:f>'浓度水平'!F24</x:f>
        <x:v>778</x:v>
      </x:c>
      <x:c r="R75" s="6" t="n">
        <x:f>'浓度水平'!G37</x:f>
        <x:v>3885</x:v>
      </x:c>
      <x:c r="S75" s="6" t="n">
        <x:f>O75/'浓度水平'!E31</x:f>
        <x:v>3894.0325497287527</x:v>
      </x:c>
      <x:c r="T75" s="6" t="n">
        <x:f>P75/'浓度水平'!E36</x:f>
        <x:v>615.6114126984127</x:v>
      </x:c>
      <x:c r="U75" s="6" t="n">
        <x:f>Q75/'浓度水平'!E24</x:f>
        <x:v>2</x:v>
      </x:c>
      <x:c r="V75" s="6" t="n">
        <x:f>R75/'浓度水平'!E37</x:f>
        <x:v>3.7</x:v>
      </x:c>
      <x:c r="W75" s="6" t="n">
        <x:f>O75*'固定基底'!$B$4/1000</x:f>
        <x:v>4306.8</x:v>
      </x:c>
      <x:c r="X75" s="6" t="n">
        <x:f>P75*'固定基底'!$B$4/1000</x:f>
        <x:v>31026.8152</x:v>
      </x:c>
      <x:c r="Y75" s="6" t="n">
        <x:f>Q75*'固定基底'!$B$4/1000</x:f>
        <x:v>15.56</x:v>
      </x:c>
      <x:c r="Z75" s="6" t="n">
        <x:f>R75*'固定基底'!$B$4/1000</x:f>
        <x:v>77.7</x:v>
      </x:c>
      <x:c r="AA75" s="2" t="n">
        <x:f>'固定基底'!$C$7</x:f>
        <x:v>92796.92267241378</x:v>
      </x:c>
      <x:c r="AB75" s="2" t="n">
        <x:f>'固定基底'!$C$8</x:f>
        <x:v>104175.5097553192</x:v>
      </x:c>
      <x:c r="AC75" s="2" t="n">
        <x:f>'固定基底'!$E$7</x:f>
        <x:v>1855.9384534482756</x:v>
      </x:c>
      <x:c r="AD75" s="2" t="n">
        <x:f>'固定基底'!$E$8</x:f>
        <x:v>2083.510195106384</x:v>
      </x:c>
    </x:row>
    <x:row r="76" ht="25" customHeight="1">
      <x:c r="A76" s="5" t="str">
        <x:v>G03-16</x:v>
      </x:c>
      <x:c r="B76" s="5" t="str">
        <x:v>G03</x:v>
      </x:c>
      <x:c r="C76" s="5" t="str">
        <x:v>BBD</x:v>
      </x:c>
      <x:c r="D76" s="5" t="str">
        <x:v>拟合</x:v>
      </x:c>
      <x:c r="E76" s="5" t="str">
        <x:v>边点</x:v>
      </x:c>
      <x:c r="F76" s="5" t="str"/>
      <x:c r="G76" s="5" t="str">
        <x:v>己酸乙酯</x:v>
      </x:c>
      <x:c r="H76" s="5" t="str">
        <x:v>己酸</x:v>
      </x:c>
      <x:c r="I76" s="5" t="str">
        <x:v>戊酸</x:v>
      </x:c>
      <x:c r="J76" s="5" t="str">
        <x:v>异戊酸/3-甲基丁酸</x:v>
      </x:c>
      <x:c r="K76" s="5" t="str">
        <x:v>M</x:v>
      </x:c>
      <x:c r="L76" s="5" t="str">
        <x:v>H</x:v>
      </x:c>
      <x:c r="M76" s="5" t="str">
        <x:v>H</x:v>
      </x:c>
      <x:c r="N76" s="5" t="str">
        <x:v>M</x:v>
      </x:c>
      <x:c r="O76" s="6" t="n">
        <x:f>'浓度水平'!G31</x:f>
        <x:v>215340</x:v>
      </x:c>
      <x:c r="P76" s="6" t="n">
        <x:f>'浓度水平'!H36</x:f>
        <x:v>1551340.76</x:v>
      </x:c>
      <x:c r="Q76" s="6" t="n">
        <x:f>'浓度水平'!H24</x:f>
        <x:v>62700</x:v>
      </x:c>
      <x:c r="R76" s="6" t="n">
        <x:f>'浓度水平'!G37</x:f>
        <x:v>3885</x:v>
      </x:c>
      <x:c r="S76" s="6" t="n">
        <x:f>O76/'浓度水平'!E31</x:f>
        <x:v>3894.0325497287527</x:v>
      </x:c>
      <x:c r="T76" s="6" t="n">
        <x:f>P76/'浓度水平'!E36</x:f>
        <x:v>615.6114126984127</x:v>
      </x:c>
      <x:c r="U76" s="6" t="n">
        <x:f>Q76/'浓度水平'!E24</x:f>
        <x:v>161.18251928020567</x:v>
      </x:c>
      <x:c r="V76" s="6" t="n">
        <x:f>R76/'浓度水平'!E37</x:f>
        <x:v>3.7</x:v>
      </x:c>
      <x:c r="W76" s="6" t="n">
        <x:f>O76*'固定基底'!$B$4/1000</x:f>
        <x:v>4306.8</x:v>
      </x:c>
      <x:c r="X76" s="6" t="n">
        <x:f>P76*'固定基底'!$B$4/1000</x:f>
        <x:v>31026.8152</x:v>
      </x:c>
      <x:c r="Y76" s="6" t="n">
        <x:f>Q76*'固定基底'!$B$4/1000</x:f>
        <x:v>1254</x:v>
      </x:c>
      <x:c r="Z76" s="6" t="n">
        <x:f>R76*'固定基底'!$B$4/1000</x:f>
        <x:v>77.7</x:v>
      </x:c>
      <x:c r="AA76" s="2" t="n">
        <x:f>'固定基底'!$C$7</x:f>
        <x:v>92796.92267241378</x:v>
      </x:c>
      <x:c r="AB76" s="2" t="n">
        <x:f>'固定基底'!$C$8</x:f>
        <x:v>104175.5097553192</x:v>
      </x:c>
      <x:c r="AC76" s="2" t="n">
        <x:f>'固定基底'!$E$7</x:f>
        <x:v>1855.9384534482756</x:v>
      </x:c>
      <x:c r="AD76" s="2" t="n">
        <x:f>'固定基底'!$E$8</x:f>
        <x:v>2083.510195106384</x:v>
      </x:c>
    </x:row>
    <x:row r="77" ht="25" customHeight="1">
      <x:c r="A77" s="5" t="str">
        <x:v>G03-17</x:v>
      </x:c>
      <x:c r="B77" s="5" t="str">
        <x:v>G03</x:v>
      </x:c>
      <x:c r="C77" s="5" t="str">
        <x:v>BBD</x:v>
      </x:c>
      <x:c r="D77" s="5" t="str">
        <x:v>拟合</x:v>
      </x:c>
      <x:c r="E77" s="5" t="str">
        <x:v>边点</x:v>
      </x:c>
      <x:c r="F77" s="5" t="str"/>
      <x:c r="G77" s="5" t="str">
        <x:v>己酸乙酯</x:v>
      </x:c>
      <x:c r="H77" s="5" t="str">
        <x:v>己酸</x:v>
      </x:c>
      <x:c r="I77" s="5" t="str">
        <x:v>戊酸</x:v>
      </x:c>
      <x:c r="J77" s="5" t="str">
        <x:v>异戊酸/3-甲基丁酸</x:v>
      </x:c>
      <x:c r="K77" s="5" t="str">
        <x:v>M</x:v>
      </x:c>
      <x:c r="L77" s="5" t="str">
        <x:v>L</x:v>
      </x:c>
      <x:c r="M77" s="5" t="str">
        <x:v>M</x:v>
      </x:c>
      <x:c r="N77" s="5" t="str">
        <x:v>L</x:v>
      </x:c>
      <x:c r="O77" s="6" t="n">
        <x:f>'浓度水平'!G31</x:f>
        <x:v>215340</x:v>
      </x:c>
      <x:c r="P77" s="6" t="n">
        <x:f>'浓度水平'!F36</x:f>
        <x:v>5040</x:v>
      </x:c>
      <x:c r="Q77" s="6" t="n">
        <x:f>'浓度水平'!G24</x:f>
        <x:v>2417</x:v>
      </x:c>
      <x:c r="R77" s="6" t="n">
        <x:f>'浓度水平'!F37</x:f>
        <x:v>2100</x:v>
      </x:c>
      <x:c r="S77" s="6" t="n">
        <x:f>O77/'浓度水平'!E31</x:f>
        <x:v>3894.0325497287527</x:v>
      </x:c>
      <x:c r="T77" s="6" t="n">
        <x:f>P77/'浓度水平'!E36</x:f>
        <x:v>2</x:v>
      </x:c>
      <x:c r="U77" s="6" t="n">
        <x:f>Q77/'浓度水平'!E24</x:f>
        <x:v>6.213367609254499</x:v>
      </x:c>
      <x:c r="V77" s="6" t="n">
        <x:f>R77/'浓度水平'!E37</x:f>
        <x:v>2</x:v>
      </x:c>
      <x:c r="W77" s="6" t="n">
        <x:f>O77*'固定基底'!$B$4/1000</x:f>
        <x:v>4306.8</x:v>
      </x:c>
      <x:c r="X77" s="6" t="n">
        <x:f>P77*'固定基底'!$B$4/1000</x:f>
        <x:v>100.8</x:v>
      </x:c>
      <x:c r="Y77" s="6" t="n">
        <x:f>Q77*'固定基底'!$B$4/1000</x:f>
        <x:v>48.34</x:v>
      </x:c>
      <x:c r="Z77" s="6" t="n">
        <x:f>R77*'固定基底'!$B$4/1000</x:f>
        <x:v>42</x:v>
      </x:c>
      <x:c r="AA77" s="2" t="n">
        <x:f>'固定基底'!$C$7</x:f>
        <x:v>92796.92267241378</x:v>
      </x:c>
      <x:c r="AB77" s="2" t="n">
        <x:f>'固定基底'!$C$8</x:f>
        <x:v>104175.5097553192</x:v>
      </x:c>
      <x:c r="AC77" s="2" t="n">
        <x:f>'固定基底'!$E$7</x:f>
        <x:v>1855.9384534482756</x:v>
      </x:c>
      <x:c r="AD77" s="2" t="n">
        <x:f>'固定基底'!$E$8</x:f>
        <x:v>2083.510195106384</x:v>
      </x:c>
    </x:row>
    <x:row r="78" ht="25" customHeight="1">
      <x:c r="A78" s="5" t="str">
        <x:v>G03-18</x:v>
      </x:c>
      <x:c r="B78" s="5" t="str">
        <x:v>G03</x:v>
      </x:c>
      <x:c r="C78" s="5" t="str">
        <x:v>BBD</x:v>
      </x:c>
      <x:c r="D78" s="5" t="str">
        <x:v>拟合</x:v>
      </x:c>
      <x:c r="E78" s="5" t="str">
        <x:v>边点</x:v>
      </x:c>
      <x:c r="F78" s="5" t="str"/>
      <x:c r="G78" s="5" t="str">
        <x:v>己酸乙酯</x:v>
      </x:c>
      <x:c r="H78" s="5" t="str">
        <x:v>己酸</x:v>
      </x:c>
      <x:c r="I78" s="5" t="str">
        <x:v>戊酸</x:v>
      </x:c>
      <x:c r="J78" s="5" t="str">
        <x:v>异戊酸/3-甲基丁酸</x:v>
      </x:c>
      <x:c r="K78" s="5" t="str">
        <x:v>M</x:v>
      </x:c>
      <x:c r="L78" s="5" t="str">
        <x:v>L</x:v>
      </x:c>
      <x:c r="M78" s="5" t="str">
        <x:v>M</x:v>
      </x:c>
      <x:c r="N78" s="5" t="str">
        <x:v>H</x:v>
      </x:c>
      <x:c r="O78" s="6" t="n">
        <x:f>'浓度水平'!G31</x:f>
        <x:v>215340</x:v>
      </x:c>
      <x:c r="P78" s="6" t="n">
        <x:f>'浓度水平'!F36</x:f>
        <x:v>5040</x:v>
      </x:c>
      <x:c r="Q78" s="6" t="n">
        <x:f>'浓度水平'!G24</x:f>
        <x:v>2417</x:v>
      </x:c>
      <x:c r="R78" s="6" t="n">
        <x:f>'浓度水平'!H37</x:f>
        <x:v>44000</x:v>
      </x:c>
      <x:c r="S78" s="6" t="n">
        <x:f>O78/'浓度水平'!E31</x:f>
        <x:v>3894.0325497287527</x:v>
      </x:c>
      <x:c r="T78" s="6" t="n">
        <x:f>P78/'浓度水平'!E36</x:f>
        <x:v>2</x:v>
      </x:c>
      <x:c r="U78" s="6" t="n">
        <x:f>Q78/'浓度水平'!E24</x:f>
        <x:v>6.213367609254499</x:v>
      </x:c>
      <x:c r="V78" s="6" t="n">
        <x:f>R78/'浓度水平'!E37</x:f>
        <x:v>41.904761904761905</x:v>
      </x:c>
      <x:c r="W78" s="6" t="n">
        <x:f>O78*'固定基底'!$B$4/1000</x:f>
        <x:v>4306.8</x:v>
      </x:c>
      <x:c r="X78" s="6" t="n">
        <x:f>P78*'固定基底'!$B$4/1000</x:f>
        <x:v>100.8</x:v>
      </x:c>
      <x:c r="Y78" s="6" t="n">
        <x:f>Q78*'固定基底'!$B$4/1000</x:f>
        <x:v>48.34</x:v>
      </x:c>
      <x:c r="Z78" s="6" t="n">
        <x:f>R78*'固定基底'!$B$4/1000</x:f>
        <x:v>880</x:v>
      </x:c>
      <x:c r="AA78" s="2" t="n">
        <x:f>'固定基底'!$C$7</x:f>
        <x:v>92796.92267241378</x:v>
      </x:c>
      <x:c r="AB78" s="2" t="n">
        <x:f>'固定基底'!$C$8</x:f>
        <x:v>104175.5097553192</x:v>
      </x:c>
      <x:c r="AC78" s="2" t="n">
        <x:f>'固定基底'!$E$7</x:f>
        <x:v>1855.9384534482756</x:v>
      </x:c>
      <x:c r="AD78" s="2" t="n">
        <x:f>'固定基底'!$E$8</x:f>
        <x:v>2083.510195106384</x:v>
      </x:c>
    </x:row>
    <x:row r="79" ht="25" customHeight="1">
      <x:c r="A79" s="5" t="str">
        <x:v>G03-19</x:v>
      </x:c>
      <x:c r="B79" s="5" t="str">
        <x:v>G03</x:v>
      </x:c>
      <x:c r="C79" s="5" t="str">
        <x:v>BBD</x:v>
      </x:c>
      <x:c r="D79" s="5" t="str">
        <x:v>拟合</x:v>
      </x:c>
      <x:c r="E79" s="5" t="str">
        <x:v>边点</x:v>
      </x:c>
      <x:c r="F79" s="5" t="str"/>
      <x:c r="G79" s="5" t="str">
        <x:v>己酸乙酯</x:v>
      </x:c>
      <x:c r="H79" s="5" t="str">
        <x:v>己酸</x:v>
      </x:c>
      <x:c r="I79" s="5" t="str">
        <x:v>戊酸</x:v>
      </x:c>
      <x:c r="J79" s="5" t="str">
        <x:v>异戊酸/3-甲基丁酸</x:v>
      </x:c>
      <x:c r="K79" s="5" t="str">
        <x:v>M</x:v>
      </x:c>
      <x:c r="L79" s="5" t="str">
        <x:v>H</x:v>
      </x:c>
      <x:c r="M79" s="5" t="str">
        <x:v>M</x:v>
      </x:c>
      <x:c r="N79" s="5" t="str">
        <x:v>L</x:v>
      </x:c>
      <x:c r="O79" s="6" t="n">
        <x:f>'浓度水平'!G31</x:f>
        <x:v>215340</x:v>
      </x:c>
      <x:c r="P79" s="6" t="n">
        <x:f>'浓度水平'!H36</x:f>
        <x:v>1551340.76</x:v>
      </x:c>
      <x:c r="Q79" s="6" t="n">
        <x:f>'浓度水平'!G24</x:f>
        <x:v>2417</x:v>
      </x:c>
      <x:c r="R79" s="6" t="n">
        <x:f>'浓度水平'!F37</x:f>
        <x:v>2100</x:v>
      </x:c>
      <x:c r="S79" s="6" t="n">
        <x:f>O79/'浓度水平'!E31</x:f>
        <x:v>3894.0325497287527</x:v>
      </x:c>
      <x:c r="T79" s="6" t="n">
        <x:f>P79/'浓度水平'!E36</x:f>
        <x:v>615.6114126984127</x:v>
      </x:c>
      <x:c r="U79" s="6" t="n">
        <x:f>Q79/'浓度水平'!E24</x:f>
        <x:v>6.213367609254499</x:v>
      </x:c>
      <x:c r="V79" s="6" t="n">
        <x:f>R79/'浓度水平'!E37</x:f>
        <x:v>2</x:v>
      </x:c>
      <x:c r="W79" s="6" t="n">
        <x:f>O79*'固定基底'!$B$4/1000</x:f>
        <x:v>4306.8</x:v>
      </x:c>
      <x:c r="X79" s="6" t="n">
        <x:f>P79*'固定基底'!$B$4/1000</x:f>
        <x:v>31026.8152</x:v>
      </x:c>
      <x:c r="Y79" s="6" t="n">
        <x:f>Q79*'固定基底'!$B$4/1000</x:f>
        <x:v>48.34</x:v>
      </x:c>
      <x:c r="Z79" s="6" t="n">
        <x:f>R79*'固定基底'!$B$4/1000</x:f>
        <x:v>42</x:v>
      </x:c>
      <x:c r="AA79" s="2" t="n">
        <x:f>'固定基底'!$C$7</x:f>
        <x:v>92796.92267241378</x:v>
      </x:c>
      <x:c r="AB79" s="2" t="n">
        <x:f>'固定基底'!$C$8</x:f>
        <x:v>104175.5097553192</x:v>
      </x:c>
      <x:c r="AC79" s="2" t="n">
        <x:f>'固定基底'!$E$7</x:f>
        <x:v>1855.9384534482756</x:v>
      </x:c>
      <x:c r="AD79" s="2" t="n">
        <x:f>'固定基底'!$E$8</x:f>
        <x:v>2083.510195106384</x:v>
      </x:c>
    </x:row>
    <x:row r="80" ht="25" customHeight="1">
      <x:c r="A80" s="5" t="str">
        <x:v>G03-20</x:v>
      </x:c>
      <x:c r="B80" s="5" t="str">
        <x:v>G03</x:v>
      </x:c>
      <x:c r="C80" s="5" t="str">
        <x:v>BBD</x:v>
      </x:c>
      <x:c r="D80" s="5" t="str">
        <x:v>拟合</x:v>
      </x:c>
      <x:c r="E80" s="5" t="str">
        <x:v>边点</x:v>
      </x:c>
      <x:c r="F80" s="5" t="str"/>
      <x:c r="G80" s="5" t="str">
        <x:v>己酸乙酯</x:v>
      </x:c>
      <x:c r="H80" s="5" t="str">
        <x:v>己酸</x:v>
      </x:c>
      <x:c r="I80" s="5" t="str">
        <x:v>戊酸</x:v>
      </x:c>
      <x:c r="J80" s="5" t="str">
        <x:v>异戊酸/3-甲基丁酸</x:v>
      </x:c>
      <x:c r="K80" s="5" t="str">
        <x:v>M</x:v>
      </x:c>
      <x:c r="L80" s="5" t="str">
        <x:v>H</x:v>
      </x:c>
      <x:c r="M80" s="5" t="str">
        <x:v>M</x:v>
      </x:c>
      <x:c r="N80" s="5" t="str">
        <x:v>H</x:v>
      </x:c>
      <x:c r="O80" s="6" t="n">
        <x:f>'浓度水平'!G31</x:f>
        <x:v>215340</x:v>
      </x:c>
      <x:c r="P80" s="6" t="n">
        <x:f>'浓度水平'!H36</x:f>
        <x:v>1551340.76</x:v>
      </x:c>
      <x:c r="Q80" s="6" t="n">
        <x:f>'浓度水平'!G24</x:f>
        <x:v>2417</x:v>
      </x:c>
      <x:c r="R80" s="6" t="n">
        <x:f>'浓度水平'!H37</x:f>
        <x:v>44000</x:v>
      </x:c>
      <x:c r="S80" s="6" t="n">
        <x:f>O80/'浓度水平'!E31</x:f>
        <x:v>3894.0325497287527</x:v>
      </x:c>
      <x:c r="T80" s="6" t="n">
        <x:f>P80/'浓度水平'!E36</x:f>
        <x:v>615.6114126984127</x:v>
      </x:c>
      <x:c r="U80" s="6" t="n">
        <x:f>Q80/'浓度水平'!E24</x:f>
        <x:v>6.213367609254499</x:v>
      </x:c>
      <x:c r="V80" s="6" t="n">
        <x:f>R80/'浓度水平'!E37</x:f>
        <x:v>41.904761904761905</x:v>
      </x:c>
      <x:c r="W80" s="6" t="n">
        <x:f>O80*'固定基底'!$B$4/1000</x:f>
        <x:v>4306.8</x:v>
      </x:c>
      <x:c r="X80" s="6" t="n">
        <x:f>P80*'固定基底'!$B$4/1000</x:f>
        <x:v>31026.8152</x:v>
      </x:c>
      <x:c r="Y80" s="6" t="n">
        <x:f>Q80*'固定基底'!$B$4/1000</x:f>
        <x:v>48.34</x:v>
      </x:c>
      <x:c r="Z80" s="6" t="n">
        <x:f>R80*'固定基底'!$B$4/1000</x:f>
        <x:v>880</x:v>
      </x:c>
      <x:c r="AA80" s="2" t="n">
        <x:f>'固定基底'!$C$7</x:f>
        <x:v>92796.92267241378</x:v>
      </x:c>
      <x:c r="AB80" s="2" t="n">
        <x:f>'固定基底'!$C$8</x:f>
        <x:v>104175.5097553192</x:v>
      </x:c>
      <x:c r="AC80" s="2" t="n">
        <x:f>'固定基底'!$E$7</x:f>
        <x:v>1855.9384534482756</x:v>
      </x:c>
      <x:c r="AD80" s="2" t="n">
        <x:f>'固定基底'!$E$8</x:f>
        <x:v>2083.510195106384</x:v>
      </x:c>
    </x:row>
    <x:row r="81" ht="25" customHeight="1">
      <x:c r="A81" s="5" t="str">
        <x:v>G03-21</x:v>
      </x:c>
      <x:c r="B81" s="5" t="str">
        <x:v>G03</x:v>
      </x:c>
      <x:c r="C81" s="5" t="str">
        <x:v>BBD</x:v>
      </x:c>
      <x:c r="D81" s="5" t="str">
        <x:v>拟合</x:v>
      </x:c>
      <x:c r="E81" s="5" t="str">
        <x:v>边点</x:v>
      </x:c>
      <x:c r="F81" s="5" t="str"/>
      <x:c r="G81" s="5" t="str">
        <x:v>己酸乙酯</x:v>
      </x:c>
      <x:c r="H81" s="5" t="str">
        <x:v>己酸</x:v>
      </x:c>
      <x:c r="I81" s="5" t="str">
        <x:v>戊酸</x:v>
      </x:c>
      <x:c r="J81" s="5" t="str">
        <x:v>异戊酸/3-甲基丁酸</x:v>
      </x:c>
      <x:c r="K81" s="5" t="str">
        <x:v>M</x:v>
      </x:c>
      <x:c r="L81" s="5" t="str">
        <x:v>M</x:v>
      </x:c>
      <x:c r="M81" s="5" t="str">
        <x:v>L</x:v>
      </x:c>
      <x:c r="N81" s="5" t="str">
        <x:v>L</x:v>
      </x:c>
      <x:c r="O81" s="6" t="n">
        <x:f>'浓度水平'!G31</x:f>
        <x:v>215340</x:v>
      </x:c>
      <x:c r="P81" s="6" t="n">
        <x:f>'浓度水平'!G36</x:f>
        <x:v>21500</x:v>
      </x:c>
      <x:c r="Q81" s="6" t="n">
        <x:f>'浓度水平'!F24</x:f>
        <x:v>778</x:v>
      </x:c>
      <x:c r="R81" s="6" t="n">
        <x:f>'浓度水平'!F37</x:f>
        <x:v>2100</x:v>
      </x:c>
      <x:c r="S81" s="6" t="n">
        <x:f>O81/'浓度水平'!E31</x:f>
        <x:v>3894.0325497287527</x:v>
      </x:c>
      <x:c r="T81" s="6" t="n">
        <x:f>P81/'浓度水平'!E36</x:f>
        <x:v>8.531746031746032</x:v>
      </x:c>
      <x:c r="U81" s="6" t="n">
        <x:f>Q81/'浓度水平'!E24</x:f>
        <x:v>2</x:v>
      </x:c>
      <x:c r="V81" s="6" t="n">
        <x:f>R81/'浓度水平'!E37</x:f>
        <x:v>2</x:v>
      </x:c>
      <x:c r="W81" s="6" t="n">
        <x:f>O81*'固定基底'!$B$4/1000</x:f>
        <x:v>4306.8</x:v>
      </x:c>
      <x:c r="X81" s="6" t="n">
        <x:f>P81*'固定基底'!$B$4/1000</x:f>
        <x:v>430</x:v>
      </x:c>
      <x:c r="Y81" s="6" t="n">
        <x:f>Q81*'固定基底'!$B$4/1000</x:f>
        <x:v>15.56</x:v>
      </x:c>
      <x:c r="Z81" s="6" t="n">
        <x:f>R81*'固定基底'!$B$4/1000</x:f>
        <x:v>42</x:v>
      </x:c>
      <x:c r="AA81" s="2" t="n">
        <x:f>'固定基底'!$C$7</x:f>
        <x:v>92796.92267241378</x:v>
      </x:c>
      <x:c r="AB81" s="2" t="n">
        <x:f>'固定基底'!$C$8</x:f>
        <x:v>104175.5097553192</x:v>
      </x:c>
      <x:c r="AC81" s="2" t="n">
        <x:f>'固定基底'!$E$7</x:f>
        <x:v>1855.9384534482756</x:v>
      </x:c>
      <x:c r="AD81" s="2" t="n">
        <x:f>'固定基底'!$E$8</x:f>
        <x:v>2083.510195106384</x:v>
      </x:c>
    </x:row>
    <x:row r="82" ht="25" customHeight="1">
      <x:c r="A82" s="5" t="str">
        <x:v>G03-22</x:v>
      </x:c>
      <x:c r="B82" s="5" t="str">
        <x:v>G03</x:v>
      </x:c>
      <x:c r="C82" s="5" t="str">
        <x:v>BBD</x:v>
      </x:c>
      <x:c r="D82" s="5" t="str">
        <x:v>拟合</x:v>
      </x:c>
      <x:c r="E82" s="5" t="str">
        <x:v>边点</x:v>
      </x:c>
      <x:c r="F82" s="5" t="str"/>
      <x:c r="G82" s="5" t="str">
        <x:v>己酸乙酯</x:v>
      </x:c>
      <x:c r="H82" s="5" t="str">
        <x:v>己酸</x:v>
      </x:c>
      <x:c r="I82" s="5" t="str">
        <x:v>戊酸</x:v>
      </x:c>
      <x:c r="J82" s="5" t="str">
        <x:v>异戊酸/3-甲基丁酸</x:v>
      </x:c>
      <x:c r="K82" s="5" t="str">
        <x:v>M</x:v>
      </x:c>
      <x:c r="L82" s="5" t="str">
        <x:v>M</x:v>
      </x:c>
      <x:c r="M82" s="5" t="str">
        <x:v>L</x:v>
      </x:c>
      <x:c r="N82" s="5" t="str">
        <x:v>H</x:v>
      </x:c>
      <x:c r="O82" s="6" t="n">
        <x:f>'浓度水平'!G31</x:f>
        <x:v>215340</x:v>
      </x:c>
      <x:c r="P82" s="6" t="n">
        <x:f>'浓度水平'!G36</x:f>
        <x:v>21500</x:v>
      </x:c>
      <x:c r="Q82" s="6" t="n">
        <x:f>'浓度水平'!F24</x:f>
        <x:v>778</x:v>
      </x:c>
      <x:c r="R82" s="6" t="n">
        <x:f>'浓度水平'!H37</x:f>
        <x:v>44000</x:v>
      </x:c>
      <x:c r="S82" s="6" t="n">
        <x:f>O82/'浓度水平'!E31</x:f>
        <x:v>3894.0325497287527</x:v>
      </x:c>
      <x:c r="T82" s="6" t="n">
        <x:f>P82/'浓度水平'!E36</x:f>
        <x:v>8.531746031746032</x:v>
      </x:c>
      <x:c r="U82" s="6" t="n">
        <x:f>Q82/'浓度水平'!E24</x:f>
        <x:v>2</x:v>
      </x:c>
      <x:c r="V82" s="6" t="n">
        <x:f>R82/'浓度水平'!E37</x:f>
        <x:v>41.904761904761905</x:v>
      </x:c>
      <x:c r="W82" s="6" t="n">
        <x:f>O82*'固定基底'!$B$4/1000</x:f>
        <x:v>4306.8</x:v>
      </x:c>
      <x:c r="X82" s="6" t="n">
        <x:f>P82*'固定基底'!$B$4/1000</x:f>
        <x:v>430</x:v>
      </x:c>
      <x:c r="Y82" s="6" t="n">
        <x:f>Q82*'固定基底'!$B$4/1000</x:f>
        <x:v>15.56</x:v>
      </x:c>
      <x:c r="Z82" s="6" t="n">
        <x:f>R82*'固定基底'!$B$4/1000</x:f>
        <x:v>880</x:v>
      </x:c>
      <x:c r="AA82" s="2" t="n">
        <x:f>'固定基底'!$C$7</x:f>
        <x:v>92796.92267241378</x:v>
      </x:c>
      <x:c r="AB82" s="2" t="n">
        <x:f>'固定基底'!$C$8</x:f>
        <x:v>104175.5097553192</x:v>
      </x:c>
      <x:c r="AC82" s="2" t="n">
        <x:f>'固定基底'!$E$7</x:f>
        <x:v>1855.9384534482756</x:v>
      </x:c>
      <x:c r="AD82" s="2" t="n">
        <x:f>'固定基底'!$E$8</x:f>
        <x:v>2083.510195106384</x:v>
      </x:c>
    </x:row>
    <x:row r="83" ht="25" customHeight="1">
      <x:c r="A83" s="5" t="str">
        <x:v>G03-23</x:v>
      </x:c>
      <x:c r="B83" s="5" t="str">
        <x:v>G03</x:v>
      </x:c>
      <x:c r="C83" s="5" t="str">
        <x:v>BBD</x:v>
      </x:c>
      <x:c r="D83" s="5" t="str">
        <x:v>拟合</x:v>
      </x:c>
      <x:c r="E83" s="5" t="str">
        <x:v>边点</x:v>
      </x:c>
      <x:c r="F83" s="5" t="str"/>
      <x:c r="G83" s="5" t="str">
        <x:v>己酸乙酯</x:v>
      </x:c>
      <x:c r="H83" s="5" t="str">
        <x:v>己酸</x:v>
      </x:c>
      <x:c r="I83" s="5" t="str">
        <x:v>戊酸</x:v>
      </x:c>
      <x:c r="J83" s="5" t="str">
        <x:v>异戊酸/3-甲基丁酸</x:v>
      </x:c>
      <x:c r="K83" s="5" t="str">
        <x:v>M</x:v>
      </x:c>
      <x:c r="L83" s="5" t="str">
        <x:v>M</x:v>
      </x:c>
      <x:c r="M83" s="5" t="str">
        <x:v>H</x:v>
      </x:c>
      <x:c r="N83" s="5" t="str">
        <x:v>L</x:v>
      </x:c>
      <x:c r="O83" s="6" t="n">
        <x:f>'浓度水平'!G31</x:f>
        <x:v>215340</x:v>
      </x:c>
      <x:c r="P83" s="6" t="n">
        <x:f>'浓度水平'!G36</x:f>
        <x:v>21500</x:v>
      </x:c>
      <x:c r="Q83" s="6" t="n">
        <x:f>'浓度水平'!H24</x:f>
        <x:v>62700</x:v>
      </x:c>
      <x:c r="R83" s="6" t="n">
        <x:f>'浓度水平'!F37</x:f>
        <x:v>2100</x:v>
      </x:c>
      <x:c r="S83" s="6" t="n">
        <x:f>O83/'浓度水平'!E31</x:f>
        <x:v>3894.0325497287527</x:v>
      </x:c>
      <x:c r="T83" s="6" t="n">
        <x:f>P83/'浓度水平'!E36</x:f>
        <x:v>8.531746031746032</x:v>
      </x:c>
      <x:c r="U83" s="6" t="n">
        <x:f>Q83/'浓度水平'!E24</x:f>
        <x:v>161.18251928020567</x:v>
      </x:c>
      <x:c r="V83" s="6" t="n">
        <x:f>R83/'浓度水平'!E37</x:f>
        <x:v>2</x:v>
      </x:c>
      <x:c r="W83" s="6" t="n">
        <x:f>O83*'固定基底'!$B$4/1000</x:f>
        <x:v>4306.8</x:v>
      </x:c>
      <x:c r="X83" s="6" t="n">
        <x:f>P83*'固定基底'!$B$4/1000</x:f>
        <x:v>430</x:v>
      </x:c>
      <x:c r="Y83" s="6" t="n">
        <x:f>Q83*'固定基底'!$B$4/1000</x:f>
        <x:v>1254</x:v>
      </x:c>
      <x:c r="Z83" s="6" t="n">
        <x:f>R83*'固定基底'!$B$4/1000</x:f>
        <x:v>42</x:v>
      </x:c>
      <x:c r="AA83" s="2" t="n">
        <x:f>'固定基底'!$C$7</x:f>
        <x:v>92796.92267241378</x:v>
      </x:c>
      <x:c r="AB83" s="2" t="n">
        <x:f>'固定基底'!$C$8</x:f>
        <x:v>104175.5097553192</x:v>
      </x:c>
      <x:c r="AC83" s="2" t="n">
        <x:f>'固定基底'!$E$7</x:f>
        <x:v>1855.9384534482756</x:v>
      </x:c>
      <x:c r="AD83" s="2" t="n">
        <x:f>'固定基底'!$E$8</x:f>
        <x:v>2083.510195106384</x:v>
      </x:c>
    </x:row>
    <x:row r="84" ht="25" customHeight="1">
      <x:c r="A84" s="5" t="str">
        <x:v>G03-24</x:v>
      </x:c>
      <x:c r="B84" s="5" t="str">
        <x:v>G03</x:v>
      </x:c>
      <x:c r="C84" s="5" t="str">
        <x:v>BBD</x:v>
      </x:c>
      <x:c r="D84" s="5" t="str">
        <x:v>拟合</x:v>
      </x:c>
      <x:c r="E84" s="5" t="str">
        <x:v>边点</x:v>
      </x:c>
      <x:c r="F84" s="5" t="str"/>
      <x:c r="G84" s="5" t="str">
        <x:v>己酸乙酯</x:v>
      </x:c>
      <x:c r="H84" s="5" t="str">
        <x:v>己酸</x:v>
      </x:c>
      <x:c r="I84" s="5" t="str">
        <x:v>戊酸</x:v>
      </x:c>
      <x:c r="J84" s="5" t="str">
        <x:v>异戊酸/3-甲基丁酸</x:v>
      </x:c>
      <x:c r="K84" s="5" t="str">
        <x:v>M</x:v>
      </x:c>
      <x:c r="L84" s="5" t="str">
        <x:v>M</x:v>
      </x:c>
      <x:c r="M84" s="5" t="str">
        <x:v>H</x:v>
      </x:c>
      <x:c r="N84" s="5" t="str">
        <x:v>H</x:v>
      </x:c>
      <x:c r="O84" s="6" t="n">
        <x:f>'浓度水平'!G31</x:f>
        <x:v>215340</x:v>
      </x:c>
      <x:c r="P84" s="6" t="n">
        <x:f>'浓度水平'!G36</x:f>
        <x:v>21500</x:v>
      </x:c>
      <x:c r="Q84" s="6" t="n">
        <x:f>'浓度水平'!H24</x:f>
        <x:v>62700</x:v>
      </x:c>
      <x:c r="R84" s="6" t="n">
        <x:f>'浓度水平'!H37</x:f>
        <x:v>44000</x:v>
      </x:c>
      <x:c r="S84" s="6" t="n">
        <x:f>O84/'浓度水平'!E31</x:f>
        <x:v>3894.0325497287527</x:v>
      </x:c>
      <x:c r="T84" s="6" t="n">
        <x:f>P84/'浓度水平'!E36</x:f>
        <x:v>8.531746031746032</x:v>
      </x:c>
      <x:c r="U84" s="6" t="n">
        <x:f>Q84/'浓度水平'!E24</x:f>
        <x:v>161.18251928020567</x:v>
      </x:c>
      <x:c r="V84" s="6" t="n">
        <x:f>R84/'浓度水平'!E37</x:f>
        <x:v>41.904761904761905</x:v>
      </x:c>
      <x:c r="W84" s="6" t="n">
        <x:f>O84*'固定基底'!$B$4/1000</x:f>
        <x:v>4306.8</x:v>
      </x:c>
      <x:c r="X84" s="6" t="n">
        <x:f>P84*'固定基底'!$B$4/1000</x:f>
        <x:v>430</x:v>
      </x:c>
      <x:c r="Y84" s="6" t="n">
        <x:f>Q84*'固定基底'!$B$4/1000</x:f>
        <x:v>1254</x:v>
      </x:c>
      <x:c r="Z84" s="6" t="n">
        <x:f>R84*'固定基底'!$B$4/1000</x:f>
        <x:v>880</x:v>
      </x:c>
      <x:c r="AA84" s="2" t="n">
        <x:f>'固定基底'!$C$7</x:f>
        <x:v>92796.92267241378</x:v>
      </x:c>
      <x:c r="AB84" s="2" t="n">
        <x:f>'固定基底'!$C$8</x:f>
        <x:v>104175.5097553192</x:v>
      </x:c>
      <x:c r="AC84" s="2" t="n">
        <x:f>'固定基底'!$E$7</x:f>
        <x:v>1855.9384534482756</x:v>
      </x:c>
      <x:c r="AD84" s="2" t="n">
        <x:f>'固定基底'!$E$8</x:f>
        <x:v>2083.510195106384</x:v>
      </x:c>
    </x:row>
    <x:row r="85" ht="25" customHeight="1">
      <x:c r="A85" s="5" t="str">
        <x:v>G03-25</x:v>
      </x:c>
      <x:c r="B85" s="5" t="str">
        <x:v>G03</x:v>
      </x:c>
      <x:c r="C85" s="5" t="str">
        <x:v>BBD</x:v>
      </x:c>
      <x:c r="D85" s="5" t="str">
        <x:v>拟合</x:v>
      </x:c>
      <x:c r="E85" s="5" t="str">
        <x:v>中心点独立配制</x:v>
      </x:c>
      <x:c r="F85" s="5" t="str"/>
      <x:c r="G85" s="5" t="str">
        <x:v>己酸乙酯</x:v>
      </x:c>
      <x:c r="H85" s="5" t="str">
        <x:v>己酸</x:v>
      </x:c>
      <x:c r="I85" s="5" t="str">
        <x:v>戊酸</x:v>
      </x:c>
      <x:c r="J85" s="5" t="str">
        <x:v>异戊酸/3-甲基丁酸</x:v>
      </x:c>
      <x:c r="K85" s="5" t="str">
        <x:v>M</x:v>
      </x:c>
      <x:c r="L85" s="5" t="str">
        <x:v>M</x:v>
      </x:c>
      <x:c r="M85" s="5" t="str">
        <x:v>M</x:v>
      </x:c>
      <x:c r="N85" s="5" t="str">
        <x:v>M</x:v>
      </x:c>
      <x:c r="O85" s="6" t="n">
        <x:f>'浓度水平'!G31</x:f>
        <x:v>215340</x:v>
      </x:c>
      <x:c r="P85" s="6" t="n">
        <x:f>'浓度水平'!G36</x:f>
        <x:v>21500</x:v>
      </x:c>
      <x:c r="Q85" s="6" t="n">
        <x:f>'浓度水平'!G24</x:f>
        <x:v>2417</x:v>
      </x:c>
      <x:c r="R85" s="6" t="n">
        <x:f>'浓度水平'!G37</x:f>
        <x:v>3885</x:v>
      </x:c>
      <x:c r="S85" s="6" t="n">
        <x:f>O85/'浓度水平'!E31</x:f>
        <x:v>3894.0325497287527</x:v>
      </x:c>
      <x:c r="T85" s="6" t="n">
        <x:f>P85/'浓度水平'!E36</x:f>
        <x:v>8.531746031746032</x:v>
      </x:c>
      <x:c r="U85" s="6" t="n">
        <x:f>Q85/'浓度水平'!E24</x:f>
        <x:v>6.213367609254499</x:v>
      </x:c>
      <x:c r="V85" s="6" t="n">
        <x:f>R85/'浓度水平'!E37</x:f>
        <x:v>3.7</x:v>
      </x:c>
      <x:c r="W85" s="6" t="n">
        <x:f>O85*'固定基底'!$B$4/1000</x:f>
        <x:v>4306.8</x:v>
      </x:c>
      <x:c r="X85" s="6" t="n">
        <x:f>P85*'固定基底'!$B$4/1000</x:f>
        <x:v>430</x:v>
      </x:c>
      <x:c r="Y85" s="6" t="n">
        <x:f>Q85*'固定基底'!$B$4/1000</x:f>
        <x:v>48.34</x:v>
      </x:c>
      <x:c r="Z85" s="6" t="n">
        <x:f>R85*'固定基底'!$B$4/1000</x:f>
        <x:v>77.7</x:v>
      </x:c>
      <x:c r="AA85" s="2" t="n">
        <x:f>'固定基底'!$C$7</x:f>
        <x:v>92796.92267241378</x:v>
      </x:c>
      <x:c r="AB85" s="2" t="n">
        <x:f>'固定基底'!$C$8</x:f>
        <x:v>104175.5097553192</x:v>
      </x:c>
      <x:c r="AC85" s="2" t="n">
        <x:f>'固定基底'!$E$7</x:f>
        <x:v>1855.9384534482756</x:v>
      </x:c>
      <x:c r="AD85" s="2" t="n">
        <x:f>'固定基底'!$E$8</x:f>
        <x:v>2083.510195106384</x:v>
      </x:c>
    </x:row>
    <x:row r="86" ht="25" customHeight="1">
      <x:c r="A86" s="5" t="str">
        <x:v>G03-26</x:v>
      </x:c>
      <x:c r="B86" s="5" t="str">
        <x:v>G03</x:v>
      </x:c>
      <x:c r="C86" s="5" t="str">
        <x:v>BBD</x:v>
      </x:c>
      <x:c r="D86" s="5" t="str">
        <x:v>拟合</x:v>
      </x:c>
      <x:c r="E86" s="5" t="str">
        <x:v>中心点独立配制</x:v>
      </x:c>
      <x:c r="F86" s="5" t="str">
        <x:v>G03-25</x:v>
      </x:c>
      <x:c r="G86" s="5" t="str">
        <x:v>己酸乙酯</x:v>
      </x:c>
      <x:c r="H86" s="5" t="str">
        <x:v>己酸</x:v>
      </x:c>
      <x:c r="I86" s="5" t="str">
        <x:v>戊酸</x:v>
      </x:c>
      <x:c r="J86" s="5" t="str">
        <x:v>异戊酸/3-甲基丁酸</x:v>
      </x:c>
      <x:c r="K86" s="5" t="str">
        <x:v>M</x:v>
      </x:c>
      <x:c r="L86" s="5" t="str">
        <x:v>M</x:v>
      </x:c>
      <x:c r="M86" s="5" t="str">
        <x:v>M</x:v>
      </x:c>
      <x:c r="N86" s="5" t="str">
        <x:v>M</x:v>
      </x:c>
      <x:c r="O86" s="6" t="n">
        <x:f>'浓度水平'!G31</x:f>
        <x:v>215340</x:v>
      </x:c>
      <x:c r="P86" s="6" t="n">
        <x:f>'浓度水平'!G36</x:f>
        <x:v>21500</x:v>
      </x:c>
      <x:c r="Q86" s="6" t="n">
        <x:f>'浓度水平'!G24</x:f>
        <x:v>2417</x:v>
      </x:c>
      <x:c r="R86" s="6" t="n">
        <x:f>'浓度水平'!G37</x:f>
        <x:v>3885</x:v>
      </x:c>
      <x:c r="S86" s="6" t="n">
        <x:f>O86/'浓度水平'!E31</x:f>
        <x:v>3894.0325497287527</x:v>
      </x:c>
      <x:c r="T86" s="6" t="n">
        <x:f>P86/'浓度水平'!E36</x:f>
        <x:v>8.531746031746032</x:v>
      </x:c>
      <x:c r="U86" s="6" t="n">
        <x:f>Q86/'浓度水平'!E24</x:f>
        <x:v>6.213367609254499</x:v>
      </x:c>
      <x:c r="V86" s="6" t="n">
        <x:f>R86/'浓度水平'!E37</x:f>
        <x:v>3.7</x:v>
      </x:c>
      <x:c r="W86" s="6" t="n">
        <x:f>O86*'固定基底'!$B$4/1000</x:f>
        <x:v>4306.8</x:v>
      </x:c>
      <x:c r="X86" s="6" t="n">
        <x:f>P86*'固定基底'!$B$4/1000</x:f>
        <x:v>430</x:v>
      </x:c>
      <x:c r="Y86" s="6" t="n">
        <x:f>Q86*'固定基底'!$B$4/1000</x:f>
        <x:v>48.34</x:v>
      </x:c>
      <x:c r="Z86" s="6" t="n">
        <x:f>R86*'固定基底'!$B$4/1000</x:f>
        <x:v>77.7</x:v>
      </x:c>
      <x:c r="AA86" s="2" t="n">
        <x:f>'固定基底'!$C$7</x:f>
        <x:v>92796.92267241378</x:v>
      </x:c>
      <x:c r="AB86" s="2" t="n">
        <x:f>'固定基底'!$C$8</x:f>
        <x:v>104175.5097553192</x:v>
      </x:c>
      <x:c r="AC86" s="2" t="n">
        <x:f>'固定基底'!$E$7</x:f>
        <x:v>1855.9384534482756</x:v>
      </x:c>
      <x:c r="AD86" s="2" t="n">
        <x:f>'固定基底'!$E$8</x:f>
        <x:v>2083.510195106384</x:v>
      </x:c>
    </x:row>
    <x:row r="87" ht="25" customHeight="1">
      <x:c r="A87" s="5" t="str">
        <x:v>G03-27</x:v>
      </x:c>
      <x:c r="B87" s="5" t="str">
        <x:v>G03</x:v>
      </x:c>
      <x:c r="C87" s="5" t="str">
        <x:v>BBD</x:v>
      </x:c>
      <x:c r="D87" s="5" t="str">
        <x:v>拟合</x:v>
      </x:c>
      <x:c r="E87" s="5" t="str">
        <x:v>中心点独立配制</x:v>
      </x:c>
      <x:c r="F87" s="5" t="str">
        <x:v>G03-25</x:v>
      </x:c>
      <x:c r="G87" s="5" t="str">
        <x:v>己酸乙酯</x:v>
      </x:c>
      <x:c r="H87" s="5" t="str">
        <x:v>己酸</x:v>
      </x:c>
      <x:c r="I87" s="5" t="str">
        <x:v>戊酸</x:v>
      </x:c>
      <x:c r="J87" s="5" t="str">
        <x:v>异戊酸/3-甲基丁酸</x:v>
      </x:c>
      <x:c r="K87" s="5" t="str">
        <x:v>M</x:v>
      </x:c>
      <x:c r="L87" s="5" t="str">
        <x:v>M</x:v>
      </x:c>
      <x:c r="M87" s="5" t="str">
        <x:v>M</x:v>
      </x:c>
      <x:c r="N87" s="5" t="str">
        <x:v>M</x:v>
      </x:c>
      <x:c r="O87" s="6" t="n">
        <x:f>'浓度水平'!G31</x:f>
        <x:v>215340</x:v>
      </x:c>
      <x:c r="P87" s="6" t="n">
        <x:f>'浓度水平'!G36</x:f>
        <x:v>21500</x:v>
      </x:c>
      <x:c r="Q87" s="6" t="n">
        <x:f>'浓度水平'!G24</x:f>
        <x:v>2417</x:v>
      </x:c>
      <x:c r="R87" s="6" t="n">
        <x:f>'浓度水平'!G37</x:f>
        <x:v>3885</x:v>
      </x:c>
      <x:c r="S87" s="6" t="n">
        <x:f>O87/'浓度水平'!E31</x:f>
        <x:v>3894.0325497287527</x:v>
      </x:c>
      <x:c r="T87" s="6" t="n">
        <x:f>P87/'浓度水平'!E36</x:f>
        <x:v>8.531746031746032</x:v>
      </x:c>
      <x:c r="U87" s="6" t="n">
        <x:f>Q87/'浓度水平'!E24</x:f>
        <x:v>6.213367609254499</x:v>
      </x:c>
      <x:c r="V87" s="6" t="n">
        <x:f>R87/'浓度水平'!E37</x:f>
        <x:v>3.7</x:v>
      </x:c>
      <x:c r="W87" s="6" t="n">
        <x:f>O87*'固定基底'!$B$4/1000</x:f>
        <x:v>4306.8</x:v>
      </x:c>
      <x:c r="X87" s="6" t="n">
        <x:f>P87*'固定基底'!$B$4/1000</x:f>
        <x:v>430</x:v>
      </x:c>
      <x:c r="Y87" s="6" t="n">
        <x:f>Q87*'固定基底'!$B$4/1000</x:f>
        <x:v>48.34</x:v>
      </x:c>
      <x:c r="Z87" s="6" t="n">
        <x:f>R87*'固定基底'!$B$4/1000</x:f>
        <x:v>77.7</x:v>
      </x:c>
      <x:c r="AA87" s="2" t="n">
        <x:f>'固定基底'!$C$7</x:f>
        <x:v>92796.92267241378</x:v>
      </x:c>
      <x:c r="AB87" s="2" t="n">
        <x:f>'固定基底'!$C$8</x:f>
        <x:v>104175.5097553192</x:v>
      </x:c>
      <x:c r="AC87" s="2" t="n">
        <x:f>'固定基底'!$E$7</x:f>
        <x:v>1855.9384534482756</x:v>
      </x:c>
      <x:c r="AD87" s="2" t="n">
        <x:f>'固定基底'!$E$8</x:f>
        <x:v>2083.510195106384</x:v>
      </x:c>
    </x:row>
    <x:row r="88" ht="25" customHeight="1">
      <x:c r="A88" s="5" t="str">
        <x:v>G03-V01</x:v>
      </x:c>
      <x:c r="B88" s="5" t="str">
        <x:v>G03</x:v>
      </x:c>
      <x:c r="C88" s="5" t="str">
        <x:v>域内轴向验证</x:v>
      </x:c>
      <x:c r="D88" s="5" t="str">
        <x:v>验证不参与拟合</x:v>
      </x:c>
      <x:c r="E88" s="5" t="str">
        <x:v>独立验证</x:v>
      </x:c>
      <x:c r="F88" s="5" t="str"/>
      <x:c r="G88" s="5" t="str">
        <x:v>己酸乙酯</x:v>
      </x:c>
      <x:c r="H88" s="5" t="str">
        <x:v>己酸</x:v>
      </x:c>
      <x:c r="I88" s="5" t="str">
        <x:v>戊酸</x:v>
      </x:c>
      <x:c r="J88" s="5" t="str">
        <x:v>异戊酸/3-甲基丁酸</x:v>
      </x:c>
      <x:c r="K88" s="5" t="str">
        <x:v>H</x:v>
      </x:c>
      <x:c r="L88" s="5" t="str">
        <x:v>M</x:v>
      </x:c>
      <x:c r="M88" s="5" t="str">
        <x:v>M</x:v>
      </x:c>
      <x:c r="N88" s="5" t="str">
        <x:v>M</x:v>
      </x:c>
      <x:c r="O88" s="6" t="n">
        <x:f>'浓度水平'!H31</x:f>
        <x:v>9622120</x:v>
      </x:c>
      <x:c r="P88" s="6" t="n">
        <x:f>'浓度水平'!G36</x:f>
        <x:v>21500</x:v>
      </x:c>
      <x:c r="Q88" s="6" t="n">
        <x:f>'浓度水平'!G24</x:f>
        <x:v>2417</x:v>
      </x:c>
      <x:c r="R88" s="6" t="n">
        <x:f>'浓度水平'!G37</x:f>
        <x:v>3885</x:v>
      </x:c>
      <x:c r="S88" s="6" t="n">
        <x:f>O88/'浓度水平'!E31</x:f>
        <x:v>173998.5533453888</x:v>
      </x:c>
      <x:c r="T88" s="6" t="n">
        <x:f>P88/'浓度水平'!E36</x:f>
        <x:v>8.531746031746032</x:v>
      </x:c>
      <x:c r="U88" s="6" t="n">
        <x:f>Q88/'浓度水平'!E24</x:f>
        <x:v>6.213367609254499</x:v>
      </x:c>
      <x:c r="V88" s="6" t="n">
        <x:f>R88/'浓度水平'!E37</x:f>
        <x:v>3.7</x:v>
      </x:c>
      <x:c r="W88" s="6" t="n">
        <x:f>O88*'固定基底'!$B$4/1000</x:f>
        <x:v>192442.4</x:v>
      </x:c>
      <x:c r="X88" s="6" t="n">
        <x:f>P88*'固定基底'!$B$4/1000</x:f>
        <x:v>430</x:v>
      </x:c>
      <x:c r="Y88" s="6" t="n">
        <x:f>Q88*'固定基底'!$B$4/1000</x:f>
        <x:v>48.34</x:v>
      </x:c>
      <x:c r="Z88" s="6" t="n">
        <x:f>R88*'固定基底'!$B$4/1000</x:f>
        <x:v>77.7</x:v>
      </x:c>
      <x:c r="AA88" s="2" t="n">
        <x:f>'固定基底'!$C$7</x:f>
        <x:v>92796.92267241378</x:v>
      </x:c>
      <x:c r="AB88" s="2" t="n">
        <x:f>'固定基底'!$C$8</x:f>
        <x:v>104175.5097553192</x:v>
      </x:c>
      <x:c r="AC88" s="2" t="n">
        <x:f>'固定基底'!$E$7</x:f>
        <x:v>1855.9384534482756</x:v>
      </x:c>
      <x:c r="AD88" s="2" t="n">
        <x:f>'固定基底'!$E$8</x:f>
        <x:v>2083.510195106384</x:v>
      </x:c>
    </x:row>
    <x:row r="89" ht="25" customHeight="1">
      <x:c r="A89" s="5" t="str">
        <x:v>G04-01</x:v>
      </x:c>
      <x:c r="B89" s="5" t="str">
        <x:v>G04</x:v>
      </x:c>
      <x:c r="C89" s="5" t="str">
        <x:v>BBD</x:v>
      </x:c>
      <x:c r="D89" s="5" t="str">
        <x:v>拟合</x:v>
      </x:c>
      <x:c r="E89" s="5" t="str">
        <x:v>边点</x:v>
      </x:c>
      <x:c r="F89" s="5" t="str"/>
      <x:c r="G89" s="5" t="str">
        <x:v>丁酸乙酯</x:v>
      </x:c>
      <x:c r="H89" s="5" t="str">
        <x:v>1-丁醇</x:v>
      </x:c>
      <x:c r="I89" s="5" t="str">
        <x:v>1-辛烯-3-醇</x:v>
      </x:c>
      <x:c r="J89" s="5" t="str">
        <x:v>己醛</x:v>
      </x:c>
      <x:c r="K89" s="5" t="str">
        <x:v>L</x:v>
      </x:c>
      <x:c r="L89" s="5" t="str">
        <x:v>L</x:v>
      </x:c>
      <x:c r="M89" s="5" t="str">
        <x:v>M</x:v>
      </x:c>
      <x:c r="N89" s="5" t="str">
        <x:v>M</x:v>
      </x:c>
      <x:c r="O89" s="6" t="n">
        <x:f>'浓度水平'!F16</x:f>
        <x:v>163</x:v>
      </x:c>
      <x:c r="P89" s="6" t="n">
        <x:f>'浓度水平'!F9</x:f>
        <x:v>5466</x:v>
      </x:c>
      <x:c r="Q89" s="6" t="n">
        <x:f>'浓度水平'!G42</x:f>
        <x:v>99.18</x:v>
      </x:c>
      <x:c r="R89" s="6" t="n">
        <x:f>'浓度水平'!G7</x:f>
        <x:v>788.69</x:v>
      </x:c>
      <x:c r="S89" s="6" t="n">
        <x:f>O89/'浓度水平'!E16</x:f>
        <x:v>2</x:v>
      </x:c>
      <x:c r="T89" s="6" t="n">
        <x:f>P89/'浓度水平'!E9</x:f>
        <x:v>2</x:v>
      </x:c>
      <x:c r="U89" s="6" t="n">
        <x:f>Q89/'浓度水平'!E42</x:f>
        <x:v>16.205882352941178</x:v>
      </x:c>
      <x:c r="V89" s="6" t="n">
        <x:f>R89/'浓度水平'!E7</x:f>
        <x:v>30.929019607843138</x:v>
      </x:c>
      <x:c r="W89" s="6" t="n">
        <x:f>O89*'固定基底'!$B$4/1000</x:f>
        <x:v>3.26</x:v>
      </x:c>
      <x:c r="X89" s="6" t="n">
        <x:f>P89*'固定基底'!$B$4/1000</x:f>
        <x:v>109.32</x:v>
      </x:c>
      <x:c r="Y89" s="6" t="n">
        <x:f>Q89*'固定基底'!$B$4/1000</x:f>
        <x:v>1.9836</x:v>
      </x:c>
      <x:c r="Z89" s="6" t="n">
        <x:f>R89*'固定基底'!$B$4/1000</x:f>
        <x:v>15.773800000000001</x:v>
      </x:c>
      <x:c r="AA89" s="2" t="n">
        <x:f>'固定基底'!$C$7</x:f>
        <x:v>92796.92267241378</x:v>
      </x:c>
      <x:c r="AB89" s="2" t="n">
        <x:f>'固定基底'!$C$8</x:f>
        <x:v>104175.5097553192</x:v>
      </x:c>
      <x:c r="AC89" s="2" t="n">
        <x:f>'固定基底'!$E$7</x:f>
        <x:v>1855.9384534482756</x:v>
      </x:c>
      <x:c r="AD89" s="2" t="n">
        <x:f>'固定基底'!$E$8</x:f>
        <x:v>2083.510195106384</x:v>
      </x:c>
    </x:row>
    <x:row r="90" ht="25" customHeight="1">
      <x:c r="A90" s="5" t="str">
        <x:v>G04-02</x:v>
      </x:c>
      <x:c r="B90" s="5" t="str">
        <x:v>G04</x:v>
      </x:c>
      <x:c r="C90" s="5" t="str">
        <x:v>BBD</x:v>
      </x:c>
      <x:c r="D90" s="5" t="str">
        <x:v>拟合</x:v>
      </x:c>
      <x:c r="E90" s="5" t="str">
        <x:v>边点</x:v>
      </x:c>
      <x:c r="F90" s="5" t="str"/>
      <x:c r="G90" s="5" t="str">
        <x:v>丁酸乙酯</x:v>
      </x:c>
      <x:c r="H90" s="5" t="str">
        <x:v>1-丁醇</x:v>
      </x:c>
      <x:c r="I90" s="5" t="str">
        <x:v>1-辛烯-3-醇</x:v>
      </x:c>
      <x:c r="J90" s="5" t="str">
        <x:v>己醛</x:v>
      </x:c>
      <x:c r="K90" s="5" t="str">
        <x:v>L</x:v>
      </x:c>
      <x:c r="L90" s="5" t="str">
        <x:v>H</x:v>
      </x:c>
      <x:c r="M90" s="5" t="str">
        <x:v>M</x:v>
      </x:c>
      <x:c r="N90" s="5" t="str">
        <x:v>M</x:v>
      </x:c>
      <x:c r="O90" s="6" t="n">
        <x:f>'浓度水平'!F16</x:f>
        <x:v>163</x:v>
      </x:c>
      <x:c r="P90" s="6" t="n">
        <x:f>'浓度水平'!H9</x:f>
        <x:v>1038900</x:v>
      </x:c>
      <x:c r="Q90" s="6" t="n">
        <x:f>'浓度水平'!G42</x:f>
        <x:v>99.18</x:v>
      </x:c>
      <x:c r="R90" s="6" t="n">
        <x:f>'浓度水平'!G7</x:f>
        <x:v>788.69</x:v>
      </x:c>
      <x:c r="S90" s="6" t="n">
        <x:f>O90/'浓度水平'!E16</x:f>
        <x:v>2</x:v>
      </x:c>
      <x:c r="T90" s="6" t="n">
        <x:f>P90/'浓度水平'!E9</x:f>
        <x:v>380.1317233809001</x:v>
      </x:c>
      <x:c r="U90" s="6" t="n">
        <x:f>Q90/'浓度水平'!E42</x:f>
        <x:v>16.205882352941178</x:v>
      </x:c>
      <x:c r="V90" s="6" t="n">
        <x:f>R90/'浓度水平'!E7</x:f>
        <x:v>30.929019607843138</x:v>
      </x:c>
      <x:c r="W90" s="6" t="n">
        <x:f>O90*'固定基底'!$B$4/1000</x:f>
        <x:v>3.26</x:v>
      </x:c>
      <x:c r="X90" s="6" t="n">
        <x:f>P90*'固定基底'!$B$4/1000</x:f>
        <x:v>20778</x:v>
      </x:c>
      <x:c r="Y90" s="6" t="n">
        <x:f>Q90*'固定基底'!$B$4/1000</x:f>
        <x:v>1.9836</x:v>
      </x:c>
      <x:c r="Z90" s="6" t="n">
        <x:f>R90*'固定基底'!$B$4/1000</x:f>
        <x:v>15.773800000000001</x:v>
      </x:c>
      <x:c r="AA90" s="2" t="n">
        <x:f>'固定基底'!$C$7</x:f>
        <x:v>92796.92267241378</x:v>
      </x:c>
      <x:c r="AB90" s="2" t="n">
        <x:f>'固定基底'!$C$8</x:f>
        <x:v>104175.5097553192</x:v>
      </x:c>
      <x:c r="AC90" s="2" t="n">
        <x:f>'固定基底'!$E$7</x:f>
        <x:v>1855.9384534482756</x:v>
      </x:c>
      <x:c r="AD90" s="2" t="n">
        <x:f>'固定基底'!$E$8</x:f>
        <x:v>2083.510195106384</x:v>
      </x:c>
    </x:row>
    <x:row r="91" ht="25" customHeight="1">
      <x:c r="A91" s="5" t="str">
        <x:v>G04-03</x:v>
      </x:c>
      <x:c r="B91" s="5" t="str">
        <x:v>G04</x:v>
      </x:c>
      <x:c r="C91" s="5" t="str">
        <x:v>BBD</x:v>
      </x:c>
      <x:c r="D91" s="5" t="str">
        <x:v>拟合</x:v>
      </x:c>
      <x:c r="E91" s="5" t="str">
        <x:v>边点</x:v>
      </x:c>
      <x:c r="F91" s="5" t="str"/>
      <x:c r="G91" s="5" t="str">
        <x:v>丁酸乙酯</x:v>
      </x:c>
      <x:c r="H91" s="5" t="str">
        <x:v>1-丁醇</x:v>
      </x:c>
      <x:c r="I91" s="5" t="str">
        <x:v>1-辛烯-3-醇</x:v>
      </x:c>
      <x:c r="J91" s="5" t="str">
        <x:v>己醛</x:v>
      </x:c>
      <x:c r="K91" s="5" t="str">
        <x:v>H</x:v>
      </x:c>
      <x:c r="L91" s="5" t="str">
        <x:v>L</x:v>
      </x:c>
      <x:c r="M91" s="5" t="str">
        <x:v>M</x:v>
      </x:c>
      <x:c r="N91" s="5" t="str">
        <x:v>M</x:v>
      </x:c>
      <x:c r="O91" s="6" t="n">
        <x:f>'浓度水平'!H16</x:f>
        <x:v>1290235</x:v>
      </x:c>
      <x:c r="P91" s="6" t="n">
        <x:f>'浓度水平'!F9</x:f>
        <x:v>5466</x:v>
      </x:c>
      <x:c r="Q91" s="6" t="n">
        <x:f>'浓度水平'!G42</x:f>
        <x:v>99.18</x:v>
      </x:c>
      <x:c r="R91" s="6" t="n">
        <x:f>'浓度水平'!G7</x:f>
        <x:v>788.69</x:v>
      </x:c>
      <x:c r="S91" s="6" t="n">
        <x:f>O91/'浓度水平'!E16</x:f>
        <x:v>15831.104294478528</x:v>
      </x:c>
      <x:c r="T91" s="6" t="n">
        <x:f>P91/'浓度水平'!E9</x:f>
        <x:v>2</x:v>
      </x:c>
      <x:c r="U91" s="6" t="n">
        <x:f>Q91/'浓度水平'!E42</x:f>
        <x:v>16.205882352941178</x:v>
      </x:c>
      <x:c r="V91" s="6" t="n">
        <x:f>R91/'浓度水平'!E7</x:f>
        <x:v>30.929019607843138</x:v>
      </x:c>
      <x:c r="W91" s="6" t="n">
        <x:f>O91*'固定基底'!$B$4/1000</x:f>
        <x:v>25804.7</x:v>
      </x:c>
      <x:c r="X91" s="6" t="n">
        <x:f>P91*'固定基底'!$B$4/1000</x:f>
        <x:v>109.32</x:v>
      </x:c>
      <x:c r="Y91" s="6" t="n">
        <x:f>Q91*'固定基底'!$B$4/1000</x:f>
        <x:v>1.9836</x:v>
      </x:c>
      <x:c r="Z91" s="6" t="n">
        <x:f>R91*'固定基底'!$B$4/1000</x:f>
        <x:v>15.773800000000001</x:v>
      </x:c>
      <x:c r="AA91" s="2" t="n">
        <x:f>'固定基底'!$C$7</x:f>
        <x:v>92796.92267241378</x:v>
      </x:c>
      <x:c r="AB91" s="2" t="n">
        <x:f>'固定基底'!$C$8</x:f>
        <x:v>104175.5097553192</x:v>
      </x:c>
      <x:c r="AC91" s="2" t="n">
        <x:f>'固定基底'!$E$7</x:f>
        <x:v>1855.9384534482756</x:v>
      </x:c>
      <x:c r="AD91" s="2" t="n">
        <x:f>'固定基底'!$E$8</x:f>
        <x:v>2083.510195106384</x:v>
      </x:c>
    </x:row>
    <x:row r="92" ht="25" customHeight="1">
      <x:c r="A92" s="5" t="str">
        <x:v>G04-04</x:v>
      </x:c>
      <x:c r="B92" s="5" t="str">
        <x:v>G04</x:v>
      </x:c>
      <x:c r="C92" s="5" t="str">
        <x:v>BBD</x:v>
      </x:c>
      <x:c r="D92" s="5" t="str">
        <x:v>拟合</x:v>
      </x:c>
      <x:c r="E92" s="5" t="str">
        <x:v>边点</x:v>
      </x:c>
      <x:c r="F92" s="5" t="str"/>
      <x:c r="G92" s="5" t="str">
        <x:v>丁酸乙酯</x:v>
      </x:c>
      <x:c r="H92" s="5" t="str">
        <x:v>1-丁醇</x:v>
      </x:c>
      <x:c r="I92" s="5" t="str">
        <x:v>1-辛烯-3-醇</x:v>
      </x:c>
      <x:c r="J92" s="5" t="str">
        <x:v>己醛</x:v>
      </x:c>
      <x:c r="K92" s="5" t="str">
        <x:v>H</x:v>
      </x:c>
      <x:c r="L92" s="5" t="str">
        <x:v>H</x:v>
      </x:c>
      <x:c r="M92" s="5" t="str">
        <x:v>M</x:v>
      </x:c>
      <x:c r="N92" s="5" t="str">
        <x:v>M</x:v>
      </x:c>
      <x:c r="O92" s="6" t="n">
        <x:f>'浓度水平'!H16</x:f>
        <x:v>1290235</x:v>
      </x:c>
      <x:c r="P92" s="6" t="n">
        <x:f>'浓度水平'!H9</x:f>
        <x:v>1038900</x:v>
      </x:c>
      <x:c r="Q92" s="6" t="n">
        <x:f>'浓度水平'!G42</x:f>
        <x:v>99.18</x:v>
      </x:c>
      <x:c r="R92" s="6" t="n">
        <x:f>'浓度水平'!G7</x:f>
        <x:v>788.69</x:v>
      </x:c>
      <x:c r="S92" s="6" t="n">
        <x:f>O92/'浓度水平'!E16</x:f>
        <x:v>15831.104294478528</x:v>
      </x:c>
      <x:c r="T92" s="6" t="n">
        <x:f>P92/'浓度水平'!E9</x:f>
        <x:v>380.1317233809001</x:v>
      </x:c>
      <x:c r="U92" s="6" t="n">
        <x:f>Q92/'浓度水平'!E42</x:f>
        <x:v>16.205882352941178</x:v>
      </x:c>
      <x:c r="V92" s="6" t="n">
        <x:f>R92/'浓度水平'!E7</x:f>
        <x:v>30.929019607843138</x:v>
      </x:c>
      <x:c r="W92" s="6" t="n">
        <x:f>O92*'固定基底'!$B$4/1000</x:f>
        <x:v>25804.7</x:v>
      </x:c>
      <x:c r="X92" s="6" t="n">
        <x:f>P92*'固定基底'!$B$4/1000</x:f>
        <x:v>20778</x:v>
      </x:c>
      <x:c r="Y92" s="6" t="n">
        <x:f>Q92*'固定基底'!$B$4/1000</x:f>
        <x:v>1.9836</x:v>
      </x:c>
      <x:c r="Z92" s="6" t="n">
        <x:f>R92*'固定基底'!$B$4/1000</x:f>
        <x:v>15.773800000000001</x:v>
      </x:c>
      <x:c r="AA92" s="2" t="n">
        <x:f>'固定基底'!$C$7</x:f>
        <x:v>92796.92267241378</x:v>
      </x:c>
      <x:c r="AB92" s="2" t="n">
        <x:f>'固定基底'!$C$8</x:f>
        <x:v>104175.5097553192</x:v>
      </x:c>
      <x:c r="AC92" s="2" t="n">
        <x:f>'固定基底'!$E$7</x:f>
        <x:v>1855.9384534482756</x:v>
      </x:c>
      <x:c r="AD92" s="2" t="n">
        <x:f>'固定基底'!$E$8</x:f>
        <x:v>2083.510195106384</x:v>
      </x:c>
    </x:row>
    <x:row r="93" ht="25" customHeight="1">
      <x:c r="A93" s="5" t="str">
        <x:v>G04-05</x:v>
      </x:c>
      <x:c r="B93" s="5" t="str">
        <x:v>G04</x:v>
      </x:c>
      <x:c r="C93" s="5" t="str">
        <x:v>BBD</x:v>
      </x:c>
      <x:c r="D93" s="5" t="str">
        <x:v>拟合</x:v>
      </x:c>
      <x:c r="E93" s="5" t="str">
        <x:v>边点</x:v>
      </x:c>
      <x:c r="F93" s="5" t="str"/>
      <x:c r="G93" s="5" t="str">
        <x:v>丁酸乙酯</x:v>
      </x:c>
      <x:c r="H93" s="5" t="str">
        <x:v>1-丁醇</x:v>
      </x:c>
      <x:c r="I93" s="5" t="str">
        <x:v>1-辛烯-3-醇</x:v>
      </x:c>
      <x:c r="J93" s="5" t="str">
        <x:v>己醛</x:v>
      </x:c>
      <x:c r="K93" s="5" t="str">
        <x:v>L</x:v>
      </x:c>
      <x:c r="L93" s="5" t="str">
        <x:v>M</x:v>
      </x:c>
      <x:c r="M93" s="5" t="str">
        <x:v>L</x:v>
      </x:c>
      <x:c r="N93" s="5" t="str">
        <x:v>M</x:v>
      </x:c>
      <x:c r="O93" s="6" t="n">
        <x:f>'浓度水平'!F16</x:f>
        <x:v>163</x:v>
      </x:c>
      <x:c r="P93" s="6" t="n">
        <x:f>'浓度水平'!G9</x:f>
        <x:v>10974.445</x:v>
      </x:c>
      <x:c r="Q93" s="6" t="n">
        <x:f>'浓度水平'!F42</x:f>
        <x:v>12.24</x:v>
      </x:c>
      <x:c r="R93" s="6" t="n">
        <x:f>'浓度水平'!G7</x:f>
        <x:v>788.69</x:v>
      </x:c>
      <x:c r="S93" s="6" t="n">
        <x:f>O93/'浓度水平'!E16</x:f>
        <x:v>2</x:v>
      </x:c>
      <x:c r="T93" s="6" t="n">
        <x:f>P93/'浓度水平'!E9</x:f>
        <x:v>4.015530552506403</x:v>
      </x:c>
      <x:c r="U93" s="6" t="n">
        <x:f>Q93/'浓度水平'!E42</x:f>
        <x:v>2</x:v>
      </x:c>
      <x:c r="V93" s="6" t="n">
        <x:f>R93/'浓度水平'!E7</x:f>
        <x:v>30.929019607843138</x:v>
      </x:c>
      <x:c r="W93" s="6" t="n">
        <x:f>O93*'固定基底'!$B$4/1000</x:f>
        <x:v>3.26</x:v>
      </x:c>
      <x:c r="X93" s="6" t="n">
        <x:f>P93*'固定基底'!$B$4/1000</x:f>
        <x:v>219.4889</x:v>
      </x:c>
      <x:c r="Y93" s="6" t="n">
        <x:f>Q93*'固定基底'!$B$4/1000</x:f>
        <x:v>0.24480000000000002</x:v>
      </x:c>
      <x:c r="Z93" s="6" t="n">
        <x:f>R93*'固定基底'!$B$4/1000</x:f>
        <x:v>15.773800000000001</x:v>
      </x:c>
      <x:c r="AA93" s="2" t="n">
        <x:f>'固定基底'!$C$7</x:f>
        <x:v>92796.92267241378</x:v>
      </x:c>
      <x:c r="AB93" s="2" t="n">
        <x:f>'固定基底'!$C$8</x:f>
        <x:v>104175.5097553192</x:v>
      </x:c>
      <x:c r="AC93" s="2" t="n">
        <x:f>'固定基底'!$E$7</x:f>
        <x:v>1855.9384534482756</x:v>
      </x:c>
      <x:c r="AD93" s="2" t="n">
        <x:f>'固定基底'!$E$8</x:f>
        <x:v>2083.510195106384</x:v>
      </x:c>
    </x:row>
    <x:row r="94" ht="25" customHeight="1">
      <x:c r="A94" s="5" t="str">
        <x:v>G04-06</x:v>
      </x:c>
      <x:c r="B94" s="5" t="str">
        <x:v>G04</x:v>
      </x:c>
      <x:c r="C94" s="5" t="str">
        <x:v>BBD</x:v>
      </x:c>
      <x:c r="D94" s="5" t="str">
        <x:v>拟合</x:v>
      </x:c>
      <x:c r="E94" s="5" t="str">
        <x:v>边点</x:v>
      </x:c>
      <x:c r="F94" s="5" t="str"/>
      <x:c r="G94" s="5" t="str">
        <x:v>丁酸乙酯</x:v>
      </x:c>
      <x:c r="H94" s="5" t="str">
        <x:v>1-丁醇</x:v>
      </x:c>
      <x:c r="I94" s="5" t="str">
        <x:v>1-辛烯-3-醇</x:v>
      </x:c>
      <x:c r="J94" s="5" t="str">
        <x:v>己醛</x:v>
      </x:c>
      <x:c r="K94" s="5" t="str">
        <x:v>L</x:v>
      </x:c>
      <x:c r="L94" s="5" t="str">
        <x:v>M</x:v>
      </x:c>
      <x:c r="M94" s="5" t="str">
        <x:v>H</x:v>
      </x:c>
      <x:c r="N94" s="5" t="str">
        <x:v>M</x:v>
      </x:c>
      <x:c r="O94" s="6" t="n">
        <x:f>'浓度水平'!F16</x:f>
        <x:v>163</x:v>
      </x:c>
      <x:c r="P94" s="6" t="n">
        <x:f>'浓度水平'!G9</x:f>
        <x:v>10974.445</x:v>
      </x:c>
      <x:c r="Q94" s="6" t="n">
        <x:f>'浓度水平'!H42</x:f>
        <x:v>271.45</x:v>
      </x:c>
      <x:c r="R94" s="6" t="n">
        <x:f>'浓度水平'!G7</x:f>
        <x:v>788.69</x:v>
      </x:c>
      <x:c r="S94" s="6" t="n">
        <x:f>O94/'浓度水平'!E16</x:f>
        <x:v>2</x:v>
      </x:c>
      <x:c r="T94" s="6" t="n">
        <x:f>P94/'浓度水平'!E9</x:f>
        <x:v>4.015530552506403</x:v>
      </x:c>
      <x:c r="U94" s="6" t="n">
        <x:f>Q94/'浓度水平'!E42</x:f>
        <x:v>44.35457516339869</x:v>
      </x:c>
      <x:c r="V94" s="6" t="n">
        <x:f>R94/'浓度水平'!E7</x:f>
        <x:v>30.929019607843138</x:v>
      </x:c>
      <x:c r="W94" s="6" t="n">
        <x:f>O94*'固定基底'!$B$4/1000</x:f>
        <x:v>3.26</x:v>
      </x:c>
      <x:c r="X94" s="6" t="n">
        <x:f>P94*'固定基底'!$B$4/1000</x:f>
        <x:v>219.4889</x:v>
      </x:c>
      <x:c r="Y94" s="6" t="n">
        <x:f>Q94*'固定基底'!$B$4/1000</x:f>
        <x:v>5.429</x:v>
      </x:c>
      <x:c r="Z94" s="6" t="n">
        <x:f>R94*'固定基底'!$B$4/1000</x:f>
        <x:v>15.773800000000001</x:v>
      </x:c>
      <x:c r="AA94" s="2" t="n">
        <x:f>'固定基底'!$C$7</x:f>
        <x:v>92796.92267241378</x:v>
      </x:c>
      <x:c r="AB94" s="2" t="n">
        <x:f>'固定基底'!$C$8</x:f>
        <x:v>104175.5097553192</x:v>
      </x:c>
      <x:c r="AC94" s="2" t="n">
        <x:f>'固定基底'!$E$7</x:f>
        <x:v>1855.9384534482756</x:v>
      </x:c>
      <x:c r="AD94" s="2" t="n">
        <x:f>'固定基底'!$E$8</x:f>
        <x:v>2083.510195106384</x:v>
      </x:c>
    </x:row>
    <x:row r="95" ht="25" customHeight="1">
      <x:c r="A95" s="5" t="str">
        <x:v>G04-07</x:v>
      </x:c>
      <x:c r="B95" s="5" t="str">
        <x:v>G04</x:v>
      </x:c>
      <x:c r="C95" s="5" t="str">
        <x:v>BBD</x:v>
      </x:c>
      <x:c r="D95" s="5" t="str">
        <x:v>拟合</x:v>
      </x:c>
      <x:c r="E95" s="5" t="str">
        <x:v>边点</x:v>
      </x:c>
      <x:c r="F95" s="5" t="str"/>
      <x:c r="G95" s="5" t="str">
        <x:v>丁酸乙酯</x:v>
      </x:c>
      <x:c r="H95" s="5" t="str">
        <x:v>1-丁醇</x:v>
      </x:c>
      <x:c r="I95" s="5" t="str">
        <x:v>1-辛烯-3-醇</x:v>
      </x:c>
      <x:c r="J95" s="5" t="str">
        <x:v>己醛</x:v>
      </x:c>
      <x:c r="K95" s="5" t="str">
        <x:v>H</x:v>
      </x:c>
      <x:c r="L95" s="5" t="str">
        <x:v>M</x:v>
      </x:c>
      <x:c r="M95" s="5" t="str">
        <x:v>L</x:v>
      </x:c>
      <x:c r="N95" s="5" t="str">
        <x:v>M</x:v>
      </x:c>
      <x:c r="O95" s="6" t="n">
        <x:f>'浓度水平'!H16</x:f>
        <x:v>1290235</x:v>
      </x:c>
      <x:c r="P95" s="6" t="n">
        <x:f>'浓度水平'!G9</x:f>
        <x:v>10974.445</x:v>
      </x:c>
      <x:c r="Q95" s="6" t="n">
        <x:f>'浓度水平'!F42</x:f>
        <x:v>12.24</x:v>
      </x:c>
      <x:c r="R95" s="6" t="n">
        <x:f>'浓度水平'!G7</x:f>
        <x:v>788.69</x:v>
      </x:c>
      <x:c r="S95" s="6" t="n">
        <x:f>O95/'浓度水平'!E16</x:f>
        <x:v>15831.104294478528</x:v>
      </x:c>
      <x:c r="T95" s="6" t="n">
        <x:f>P95/'浓度水平'!E9</x:f>
        <x:v>4.015530552506403</x:v>
      </x:c>
      <x:c r="U95" s="6" t="n">
        <x:f>Q95/'浓度水平'!E42</x:f>
        <x:v>2</x:v>
      </x:c>
      <x:c r="V95" s="6" t="n">
        <x:f>R95/'浓度水平'!E7</x:f>
        <x:v>30.929019607843138</x:v>
      </x:c>
      <x:c r="W95" s="6" t="n">
        <x:f>O95*'固定基底'!$B$4/1000</x:f>
        <x:v>25804.7</x:v>
      </x:c>
      <x:c r="X95" s="6" t="n">
        <x:f>P95*'固定基底'!$B$4/1000</x:f>
        <x:v>219.4889</x:v>
      </x:c>
      <x:c r="Y95" s="6" t="n">
        <x:f>Q95*'固定基底'!$B$4/1000</x:f>
        <x:v>0.24480000000000002</x:v>
      </x:c>
      <x:c r="Z95" s="6" t="n">
        <x:f>R95*'固定基底'!$B$4/1000</x:f>
        <x:v>15.773800000000001</x:v>
      </x:c>
      <x:c r="AA95" s="2" t="n">
        <x:f>'固定基底'!$C$7</x:f>
        <x:v>92796.92267241378</x:v>
      </x:c>
      <x:c r="AB95" s="2" t="n">
        <x:f>'固定基底'!$C$8</x:f>
        <x:v>104175.5097553192</x:v>
      </x:c>
      <x:c r="AC95" s="2" t="n">
        <x:f>'固定基底'!$E$7</x:f>
        <x:v>1855.9384534482756</x:v>
      </x:c>
      <x:c r="AD95" s="2" t="n">
        <x:f>'固定基底'!$E$8</x:f>
        <x:v>2083.510195106384</x:v>
      </x:c>
    </x:row>
    <x:row r="96" ht="25" customHeight="1">
      <x:c r="A96" s="5" t="str">
        <x:v>G04-08</x:v>
      </x:c>
      <x:c r="B96" s="5" t="str">
        <x:v>G04</x:v>
      </x:c>
      <x:c r="C96" s="5" t="str">
        <x:v>BBD</x:v>
      </x:c>
      <x:c r="D96" s="5" t="str">
        <x:v>拟合</x:v>
      </x:c>
      <x:c r="E96" s="5" t="str">
        <x:v>边点</x:v>
      </x:c>
      <x:c r="F96" s="5" t="str"/>
      <x:c r="G96" s="5" t="str">
        <x:v>丁酸乙酯</x:v>
      </x:c>
      <x:c r="H96" s="5" t="str">
        <x:v>1-丁醇</x:v>
      </x:c>
      <x:c r="I96" s="5" t="str">
        <x:v>1-辛烯-3-醇</x:v>
      </x:c>
      <x:c r="J96" s="5" t="str">
        <x:v>己醛</x:v>
      </x:c>
      <x:c r="K96" s="5" t="str">
        <x:v>H</x:v>
      </x:c>
      <x:c r="L96" s="5" t="str">
        <x:v>M</x:v>
      </x:c>
      <x:c r="M96" s="5" t="str">
        <x:v>H</x:v>
      </x:c>
      <x:c r="N96" s="5" t="str">
        <x:v>M</x:v>
      </x:c>
      <x:c r="O96" s="6" t="n">
        <x:f>'浓度水平'!H16</x:f>
        <x:v>1290235</x:v>
      </x:c>
      <x:c r="P96" s="6" t="n">
        <x:f>'浓度水平'!G9</x:f>
        <x:v>10974.445</x:v>
      </x:c>
      <x:c r="Q96" s="6" t="n">
        <x:f>'浓度水平'!H42</x:f>
        <x:v>271.45</x:v>
      </x:c>
      <x:c r="R96" s="6" t="n">
        <x:f>'浓度水平'!G7</x:f>
        <x:v>788.69</x:v>
      </x:c>
      <x:c r="S96" s="6" t="n">
        <x:f>O96/'浓度水平'!E16</x:f>
        <x:v>15831.104294478528</x:v>
      </x:c>
      <x:c r="T96" s="6" t="n">
        <x:f>P96/'浓度水平'!E9</x:f>
        <x:v>4.015530552506403</x:v>
      </x:c>
      <x:c r="U96" s="6" t="n">
        <x:f>Q96/'浓度水平'!E42</x:f>
        <x:v>44.35457516339869</x:v>
      </x:c>
      <x:c r="V96" s="6" t="n">
        <x:f>R96/'浓度水平'!E7</x:f>
        <x:v>30.929019607843138</x:v>
      </x:c>
      <x:c r="W96" s="6" t="n">
        <x:f>O96*'固定基底'!$B$4/1000</x:f>
        <x:v>25804.7</x:v>
      </x:c>
      <x:c r="X96" s="6" t="n">
        <x:f>P96*'固定基底'!$B$4/1000</x:f>
        <x:v>219.4889</x:v>
      </x:c>
      <x:c r="Y96" s="6" t="n">
        <x:f>Q96*'固定基底'!$B$4/1000</x:f>
        <x:v>5.429</x:v>
      </x:c>
      <x:c r="Z96" s="6" t="n">
        <x:f>R96*'固定基底'!$B$4/1000</x:f>
        <x:v>15.773800000000001</x:v>
      </x:c>
      <x:c r="AA96" s="2" t="n">
        <x:f>'固定基底'!$C$7</x:f>
        <x:v>92796.92267241378</x:v>
      </x:c>
      <x:c r="AB96" s="2" t="n">
        <x:f>'固定基底'!$C$8</x:f>
        <x:v>104175.5097553192</x:v>
      </x:c>
      <x:c r="AC96" s="2" t="n">
        <x:f>'固定基底'!$E$7</x:f>
        <x:v>1855.9384534482756</x:v>
      </x:c>
      <x:c r="AD96" s="2" t="n">
        <x:f>'固定基底'!$E$8</x:f>
        <x:v>2083.510195106384</x:v>
      </x:c>
    </x:row>
    <x:row r="97" ht="25" customHeight="1">
      <x:c r="A97" s="5" t="str">
        <x:v>G04-09</x:v>
      </x:c>
      <x:c r="B97" s="5" t="str">
        <x:v>G04</x:v>
      </x:c>
      <x:c r="C97" s="5" t="str">
        <x:v>BBD</x:v>
      </x:c>
      <x:c r="D97" s="5" t="str">
        <x:v>拟合</x:v>
      </x:c>
      <x:c r="E97" s="5" t="str">
        <x:v>边点</x:v>
      </x:c>
      <x:c r="F97" s="5" t="str"/>
      <x:c r="G97" s="5" t="str">
        <x:v>丁酸乙酯</x:v>
      </x:c>
      <x:c r="H97" s="5" t="str">
        <x:v>1-丁醇</x:v>
      </x:c>
      <x:c r="I97" s="5" t="str">
        <x:v>1-辛烯-3-醇</x:v>
      </x:c>
      <x:c r="J97" s="5" t="str">
        <x:v>己醛</x:v>
      </x:c>
      <x:c r="K97" s="5" t="str">
        <x:v>L</x:v>
      </x:c>
      <x:c r="L97" s="5" t="str">
        <x:v>M</x:v>
      </x:c>
      <x:c r="M97" s="5" t="str">
        <x:v>M</x:v>
      </x:c>
      <x:c r="N97" s="5" t="str">
        <x:v>L</x:v>
      </x:c>
      <x:c r="O97" s="6" t="n">
        <x:f>'浓度水平'!F16</x:f>
        <x:v>163</x:v>
      </x:c>
      <x:c r="P97" s="6" t="n">
        <x:f>'浓度水平'!G9</x:f>
        <x:v>10974.445</x:v>
      </x:c>
      <x:c r="Q97" s="6" t="n">
        <x:f>'浓度水平'!G42</x:f>
        <x:v>99.18</x:v>
      </x:c>
      <x:c r="R97" s="6" t="n">
        <x:f>'浓度水平'!F7</x:f>
        <x:v>51</x:v>
      </x:c>
      <x:c r="S97" s="6" t="n">
        <x:f>O97/'浓度水平'!E16</x:f>
        <x:v>2</x:v>
      </x:c>
      <x:c r="T97" s="6" t="n">
        <x:f>P97/'浓度水平'!E9</x:f>
        <x:v>4.015530552506403</x:v>
      </x:c>
      <x:c r="U97" s="6" t="n">
        <x:f>Q97/'浓度水平'!E42</x:f>
        <x:v>16.205882352941178</x:v>
      </x:c>
      <x:c r="V97" s="6" t="n">
        <x:f>R97/'浓度水平'!E7</x:f>
        <x:v>2</x:v>
      </x:c>
      <x:c r="W97" s="6" t="n">
        <x:f>O97*'固定基底'!$B$4/1000</x:f>
        <x:v>3.26</x:v>
      </x:c>
      <x:c r="X97" s="6" t="n">
        <x:f>P97*'固定基底'!$B$4/1000</x:f>
        <x:v>219.4889</x:v>
      </x:c>
      <x:c r="Y97" s="6" t="n">
        <x:f>Q97*'固定基底'!$B$4/1000</x:f>
        <x:v>1.9836</x:v>
      </x:c>
      <x:c r="Z97" s="6" t="n">
        <x:f>R97*'固定基底'!$B$4/1000</x:f>
        <x:v>1.02</x:v>
      </x:c>
      <x:c r="AA97" s="2" t="n">
        <x:f>'固定基底'!$C$7</x:f>
        <x:v>92796.92267241378</x:v>
      </x:c>
      <x:c r="AB97" s="2" t="n">
        <x:f>'固定基底'!$C$8</x:f>
        <x:v>104175.5097553192</x:v>
      </x:c>
      <x:c r="AC97" s="2" t="n">
        <x:f>'固定基底'!$E$7</x:f>
        <x:v>1855.9384534482756</x:v>
      </x:c>
      <x:c r="AD97" s="2" t="n">
        <x:f>'固定基底'!$E$8</x:f>
        <x:v>2083.510195106384</x:v>
      </x:c>
    </x:row>
    <x:row r="98" ht="25" customHeight="1">
      <x:c r="A98" s="5" t="str">
        <x:v>G04-10</x:v>
      </x:c>
      <x:c r="B98" s="5" t="str">
        <x:v>G04</x:v>
      </x:c>
      <x:c r="C98" s="5" t="str">
        <x:v>BBD</x:v>
      </x:c>
      <x:c r="D98" s="5" t="str">
        <x:v>拟合</x:v>
      </x:c>
      <x:c r="E98" s="5" t="str">
        <x:v>边点</x:v>
      </x:c>
      <x:c r="F98" s="5" t="str"/>
      <x:c r="G98" s="5" t="str">
        <x:v>丁酸乙酯</x:v>
      </x:c>
      <x:c r="H98" s="5" t="str">
        <x:v>1-丁醇</x:v>
      </x:c>
      <x:c r="I98" s="5" t="str">
        <x:v>1-辛烯-3-醇</x:v>
      </x:c>
      <x:c r="J98" s="5" t="str">
        <x:v>己醛</x:v>
      </x:c>
      <x:c r="K98" s="5" t="str">
        <x:v>L</x:v>
      </x:c>
      <x:c r="L98" s="5" t="str">
        <x:v>M</x:v>
      </x:c>
      <x:c r="M98" s="5" t="str">
        <x:v>M</x:v>
      </x:c>
      <x:c r="N98" s="5" t="str">
        <x:v>H</x:v>
      </x:c>
      <x:c r="O98" s="6" t="n">
        <x:f>'浓度水平'!F16</x:f>
        <x:v>163</x:v>
      </x:c>
      <x:c r="P98" s="6" t="n">
        <x:f>'浓度水平'!G9</x:f>
        <x:v>10974.445</x:v>
      </x:c>
      <x:c r="Q98" s="6" t="n">
        <x:f>'浓度水平'!G42</x:f>
        <x:v>99.18</x:v>
      </x:c>
      <x:c r="R98" s="6" t="n">
        <x:f>'浓度水平'!H7</x:f>
        <x:v>3075.94</x:v>
      </x:c>
      <x:c r="S98" s="6" t="n">
        <x:f>O98/'浓度水平'!E16</x:f>
        <x:v>2</x:v>
      </x:c>
      <x:c r="T98" s="6" t="n">
        <x:f>P98/'浓度水平'!E9</x:f>
        <x:v>4.015530552506403</x:v>
      </x:c>
      <x:c r="U98" s="6" t="n">
        <x:f>Q98/'浓度水平'!E42</x:f>
        <x:v>16.205882352941178</x:v>
      </x:c>
      <x:c r="V98" s="6" t="n">
        <x:f>R98/'浓度水平'!E7</x:f>
        <x:v>120.62509803921569</x:v>
      </x:c>
      <x:c r="W98" s="6" t="n">
        <x:f>O98*'固定基底'!$B$4/1000</x:f>
        <x:v>3.26</x:v>
      </x:c>
      <x:c r="X98" s="6" t="n">
        <x:f>P98*'固定基底'!$B$4/1000</x:f>
        <x:v>219.4889</x:v>
      </x:c>
      <x:c r="Y98" s="6" t="n">
        <x:f>Q98*'固定基底'!$B$4/1000</x:f>
        <x:v>1.9836</x:v>
      </x:c>
      <x:c r="Z98" s="6" t="n">
        <x:f>R98*'固定基底'!$B$4/1000</x:f>
        <x:v>61.518800000000006</x:v>
      </x:c>
      <x:c r="AA98" s="2" t="n">
        <x:f>'固定基底'!$C$7</x:f>
        <x:v>92796.92267241378</x:v>
      </x:c>
      <x:c r="AB98" s="2" t="n">
        <x:f>'固定基底'!$C$8</x:f>
        <x:v>104175.5097553192</x:v>
      </x:c>
      <x:c r="AC98" s="2" t="n">
        <x:f>'固定基底'!$E$7</x:f>
        <x:v>1855.9384534482756</x:v>
      </x:c>
      <x:c r="AD98" s="2" t="n">
        <x:f>'固定基底'!$E$8</x:f>
        <x:v>2083.510195106384</x:v>
      </x:c>
    </x:row>
    <x:row r="99" ht="25" customHeight="1">
      <x:c r="A99" s="5" t="str">
        <x:v>G04-11</x:v>
      </x:c>
      <x:c r="B99" s="5" t="str">
        <x:v>G04</x:v>
      </x:c>
      <x:c r="C99" s="5" t="str">
        <x:v>BBD</x:v>
      </x:c>
      <x:c r="D99" s="5" t="str">
        <x:v>拟合</x:v>
      </x:c>
      <x:c r="E99" s="5" t="str">
        <x:v>边点</x:v>
      </x:c>
      <x:c r="F99" s="5" t="str"/>
      <x:c r="G99" s="5" t="str">
        <x:v>丁酸乙酯</x:v>
      </x:c>
      <x:c r="H99" s="5" t="str">
        <x:v>1-丁醇</x:v>
      </x:c>
      <x:c r="I99" s="5" t="str">
        <x:v>1-辛烯-3-醇</x:v>
      </x:c>
      <x:c r="J99" s="5" t="str">
        <x:v>己醛</x:v>
      </x:c>
      <x:c r="K99" s="5" t="str">
        <x:v>H</x:v>
      </x:c>
      <x:c r="L99" s="5" t="str">
        <x:v>M</x:v>
      </x:c>
      <x:c r="M99" s="5" t="str">
        <x:v>M</x:v>
      </x:c>
      <x:c r="N99" s="5" t="str">
        <x:v>L</x:v>
      </x:c>
      <x:c r="O99" s="6" t="n">
        <x:f>'浓度水平'!H16</x:f>
        <x:v>1290235</x:v>
      </x:c>
      <x:c r="P99" s="6" t="n">
        <x:f>'浓度水平'!G9</x:f>
        <x:v>10974.445</x:v>
      </x:c>
      <x:c r="Q99" s="6" t="n">
        <x:f>'浓度水平'!G42</x:f>
        <x:v>99.18</x:v>
      </x:c>
      <x:c r="R99" s="6" t="n">
        <x:f>'浓度水平'!F7</x:f>
        <x:v>51</x:v>
      </x:c>
      <x:c r="S99" s="6" t="n">
        <x:f>O99/'浓度水平'!E16</x:f>
        <x:v>15831.104294478528</x:v>
      </x:c>
      <x:c r="T99" s="6" t="n">
        <x:f>P99/'浓度水平'!E9</x:f>
        <x:v>4.015530552506403</x:v>
      </x:c>
      <x:c r="U99" s="6" t="n">
        <x:f>Q99/'浓度水平'!E42</x:f>
        <x:v>16.205882352941178</x:v>
      </x:c>
      <x:c r="V99" s="6" t="n">
        <x:f>R99/'浓度水平'!E7</x:f>
        <x:v>2</x:v>
      </x:c>
      <x:c r="W99" s="6" t="n">
        <x:f>O99*'固定基底'!$B$4/1000</x:f>
        <x:v>25804.7</x:v>
      </x:c>
      <x:c r="X99" s="6" t="n">
        <x:f>P99*'固定基底'!$B$4/1000</x:f>
        <x:v>219.4889</x:v>
      </x:c>
      <x:c r="Y99" s="6" t="n">
        <x:f>Q99*'固定基底'!$B$4/1000</x:f>
        <x:v>1.9836</x:v>
      </x:c>
      <x:c r="Z99" s="6" t="n">
        <x:f>R99*'固定基底'!$B$4/1000</x:f>
        <x:v>1.02</x:v>
      </x:c>
      <x:c r="AA99" s="2" t="n">
        <x:f>'固定基底'!$C$7</x:f>
        <x:v>92796.92267241378</x:v>
      </x:c>
      <x:c r="AB99" s="2" t="n">
        <x:f>'固定基底'!$C$8</x:f>
        <x:v>104175.5097553192</x:v>
      </x:c>
      <x:c r="AC99" s="2" t="n">
        <x:f>'固定基底'!$E$7</x:f>
        <x:v>1855.9384534482756</x:v>
      </x:c>
      <x:c r="AD99" s="2" t="n">
        <x:f>'固定基底'!$E$8</x:f>
        <x:v>2083.510195106384</x:v>
      </x:c>
    </x:row>
    <x:row r="100" ht="25" customHeight="1">
      <x:c r="A100" s="5" t="str">
        <x:v>G04-12</x:v>
      </x:c>
      <x:c r="B100" s="5" t="str">
        <x:v>G04</x:v>
      </x:c>
      <x:c r="C100" s="5" t="str">
        <x:v>BBD</x:v>
      </x:c>
      <x:c r="D100" s="5" t="str">
        <x:v>拟合</x:v>
      </x:c>
      <x:c r="E100" s="5" t="str">
        <x:v>边点</x:v>
      </x:c>
      <x:c r="F100" s="5" t="str"/>
      <x:c r="G100" s="5" t="str">
        <x:v>丁酸乙酯</x:v>
      </x:c>
      <x:c r="H100" s="5" t="str">
        <x:v>1-丁醇</x:v>
      </x:c>
      <x:c r="I100" s="5" t="str">
        <x:v>1-辛烯-3-醇</x:v>
      </x:c>
      <x:c r="J100" s="5" t="str">
        <x:v>己醛</x:v>
      </x:c>
      <x:c r="K100" s="5" t="str">
        <x:v>H</x:v>
      </x:c>
      <x:c r="L100" s="5" t="str">
        <x:v>M</x:v>
      </x:c>
      <x:c r="M100" s="5" t="str">
        <x:v>M</x:v>
      </x:c>
      <x:c r="N100" s="5" t="str">
        <x:v>H</x:v>
      </x:c>
      <x:c r="O100" s="6" t="n">
        <x:f>'浓度水平'!H16</x:f>
        <x:v>1290235</x:v>
      </x:c>
      <x:c r="P100" s="6" t="n">
        <x:f>'浓度水平'!G9</x:f>
        <x:v>10974.445</x:v>
      </x:c>
      <x:c r="Q100" s="6" t="n">
        <x:f>'浓度水平'!G42</x:f>
        <x:v>99.18</x:v>
      </x:c>
      <x:c r="R100" s="6" t="n">
        <x:f>'浓度水平'!H7</x:f>
        <x:v>3075.94</x:v>
      </x:c>
      <x:c r="S100" s="6" t="n">
        <x:f>O100/'浓度水平'!E16</x:f>
        <x:v>15831.104294478528</x:v>
      </x:c>
      <x:c r="T100" s="6" t="n">
        <x:f>P100/'浓度水平'!E9</x:f>
        <x:v>4.015530552506403</x:v>
      </x:c>
      <x:c r="U100" s="6" t="n">
        <x:f>Q100/'浓度水平'!E42</x:f>
        <x:v>16.205882352941178</x:v>
      </x:c>
      <x:c r="V100" s="6" t="n">
        <x:f>R100/'浓度水平'!E7</x:f>
        <x:v>120.62509803921569</x:v>
      </x:c>
      <x:c r="W100" s="6" t="n">
        <x:f>O100*'固定基底'!$B$4/1000</x:f>
        <x:v>25804.7</x:v>
      </x:c>
      <x:c r="X100" s="6" t="n">
        <x:f>P100*'固定基底'!$B$4/1000</x:f>
        <x:v>219.4889</x:v>
      </x:c>
      <x:c r="Y100" s="6" t="n">
        <x:f>Q100*'固定基底'!$B$4/1000</x:f>
        <x:v>1.9836</x:v>
      </x:c>
      <x:c r="Z100" s="6" t="n">
        <x:f>R100*'固定基底'!$B$4/1000</x:f>
        <x:v>61.518800000000006</x:v>
      </x:c>
      <x:c r="AA100" s="2" t="n">
        <x:f>'固定基底'!$C$7</x:f>
        <x:v>92796.92267241378</x:v>
      </x:c>
      <x:c r="AB100" s="2" t="n">
        <x:f>'固定基底'!$C$8</x:f>
        <x:v>104175.5097553192</x:v>
      </x:c>
      <x:c r="AC100" s="2" t="n">
        <x:f>'固定基底'!$E$7</x:f>
        <x:v>1855.9384534482756</x:v>
      </x:c>
      <x:c r="AD100" s="2" t="n">
        <x:f>'固定基底'!$E$8</x:f>
        <x:v>2083.510195106384</x:v>
      </x:c>
    </x:row>
    <x:row r="101" ht="25" customHeight="1">
      <x:c r="A101" s="5" t="str">
        <x:v>G04-13</x:v>
      </x:c>
      <x:c r="B101" s="5" t="str">
        <x:v>G04</x:v>
      </x:c>
      <x:c r="C101" s="5" t="str">
        <x:v>BBD</x:v>
      </x:c>
      <x:c r="D101" s="5" t="str">
        <x:v>拟合</x:v>
      </x:c>
      <x:c r="E101" s="5" t="str">
        <x:v>边点</x:v>
      </x:c>
      <x:c r="F101" s="5" t="str"/>
      <x:c r="G101" s="5" t="str">
        <x:v>丁酸乙酯</x:v>
      </x:c>
      <x:c r="H101" s="5" t="str">
        <x:v>1-丁醇</x:v>
      </x:c>
      <x:c r="I101" s="5" t="str">
        <x:v>1-辛烯-3-醇</x:v>
      </x:c>
      <x:c r="J101" s="5" t="str">
        <x:v>己醛</x:v>
      </x:c>
      <x:c r="K101" s="5" t="str">
        <x:v>M</x:v>
      </x:c>
      <x:c r="L101" s="5" t="str">
        <x:v>L</x:v>
      </x:c>
      <x:c r="M101" s="5" t="str">
        <x:v>L</x:v>
      </x:c>
      <x:c r="N101" s="5" t="str">
        <x:v>M</x:v>
      </x:c>
      <x:c r="O101" s="6" t="n">
        <x:f>'浓度水平'!G16</x:f>
        <x:v>11516</x:v>
      </x:c>
      <x:c r="P101" s="6" t="n">
        <x:f>'浓度水平'!F9</x:f>
        <x:v>5466</x:v>
      </x:c>
      <x:c r="Q101" s="6" t="n">
        <x:f>'浓度水平'!F42</x:f>
        <x:v>12.24</x:v>
      </x:c>
      <x:c r="R101" s="6" t="n">
        <x:f>'浓度水平'!G7</x:f>
        <x:v>788.69</x:v>
      </x:c>
      <x:c r="S101" s="6" t="n">
        <x:f>O101/'浓度水平'!E16</x:f>
        <x:v>141.30061349693253</x:v>
      </x:c>
      <x:c r="T101" s="6" t="n">
        <x:f>P101/'浓度水平'!E9</x:f>
        <x:v>2</x:v>
      </x:c>
      <x:c r="U101" s="6" t="n">
        <x:f>Q101/'浓度水平'!E42</x:f>
        <x:v>2</x:v>
      </x:c>
      <x:c r="V101" s="6" t="n">
        <x:f>R101/'浓度水平'!E7</x:f>
        <x:v>30.929019607843138</x:v>
      </x:c>
      <x:c r="W101" s="6" t="n">
        <x:f>O101*'固定基底'!$B$4/1000</x:f>
        <x:v>230.32</x:v>
      </x:c>
      <x:c r="X101" s="6" t="n">
        <x:f>P101*'固定基底'!$B$4/1000</x:f>
        <x:v>109.32</x:v>
      </x:c>
      <x:c r="Y101" s="6" t="n">
        <x:f>Q101*'固定基底'!$B$4/1000</x:f>
        <x:v>0.24480000000000002</x:v>
      </x:c>
      <x:c r="Z101" s="6" t="n">
        <x:f>R101*'固定基底'!$B$4/1000</x:f>
        <x:v>15.773800000000001</x:v>
      </x:c>
      <x:c r="AA101" s="2" t="n">
        <x:f>'固定基底'!$C$7</x:f>
        <x:v>92796.92267241378</x:v>
      </x:c>
      <x:c r="AB101" s="2" t="n">
        <x:f>'固定基底'!$C$8</x:f>
        <x:v>104175.5097553192</x:v>
      </x:c>
      <x:c r="AC101" s="2" t="n">
        <x:f>'固定基底'!$E$7</x:f>
        <x:v>1855.9384534482756</x:v>
      </x:c>
      <x:c r="AD101" s="2" t="n">
        <x:f>'固定基底'!$E$8</x:f>
        <x:v>2083.510195106384</x:v>
      </x:c>
    </x:row>
    <x:row r="102" ht="25" customHeight="1">
      <x:c r="A102" s="5" t="str">
        <x:v>G04-14</x:v>
      </x:c>
      <x:c r="B102" s="5" t="str">
        <x:v>G04</x:v>
      </x:c>
      <x:c r="C102" s="5" t="str">
        <x:v>BBD</x:v>
      </x:c>
      <x:c r="D102" s="5" t="str">
        <x:v>拟合</x:v>
      </x:c>
      <x:c r="E102" s="5" t="str">
        <x:v>边点</x:v>
      </x:c>
      <x:c r="F102" s="5" t="str"/>
      <x:c r="G102" s="5" t="str">
        <x:v>丁酸乙酯</x:v>
      </x:c>
      <x:c r="H102" s="5" t="str">
        <x:v>1-丁醇</x:v>
      </x:c>
      <x:c r="I102" s="5" t="str">
        <x:v>1-辛烯-3-醇</x:v>
      </x:c>
      <x:c r="J102" s="5" t="str">
        <x:v>己醛</x:v>
      </x:c>
      <x:c r="K102" s="5" t="str">
        <x:v>M</x:v>
      </x:c>
      <x:c r="L102" s="5" t="str">
        <x:v>L</x:v>
      </x:c>
      <x:c r="M102" s="5" t="str">
        <x:v>H</x:v>
      </x:c>
      <x:c r="N102" s="5" t="str">
        <x:v>M</x:v>
      </x:c>
      <x:c r="O102" s="6" t="n">
        <x:f>'浓度水平'!G16</x:f>
        <x:v>11516</x:v>
      </x:c>
      <x:c r="P102" s="6" t="n">
        <x:f>'浓度水平'!F9</x:f>
        <x:v>5466</x:v>
      </x:c>
      <x:c r="Q102" s="6" t="n">
        <x:f>'浓度水平'!H42</x:f>
        <x:v>271.45</x:v>
      </x:c>
      <x:c r="R102" s="6" t="n">
        <x:f>'浓度水平'!G7</x:f>
        <x:v>788.69</x:v>
      </x:c>
      <x:c r="S102" s="6" t="n">
        <x:f>O102/'浓度水平'!E16</x:f>
        <x:v>141.30061349693253</x:v>
      </x:c>
      <x:c r="T102" s="6" t="n">
        <x:f>P102/'浓度水平'!E9</x:f>
        <x:v>2</x:v>
      </x:c>
      <x:c r="U102" s="6" t="n">
        <x:f>Q102/'浓度水平'!E42</x:f>
        <x:v>44.35457516339869</x:v>
      </x:c>
      <x:c r="V102" s="6" t="n">
        <x:f>R102/'浓度水平'!E7</x:f>
        <x:v>30.929019607843138</x:v>
      </x:c>
      <x:c r="W102" s="6" t="n">
        <x:f>O102*'固定基底'!$B$4/1000</x:f>
        <x:v>230.32</x:v>
      </x:c>
      <x:c r="X102" s="6" t="n">
        <x:f>P102*'固定基底'!$B$4/1000</x:f>
        <x:v>109.32</x:v>
      </x:c>
      <x:c r="Y102" s="6" t="n">
        <x:f>Q102*'固定基底'!$B$4/1000</x:f>
        <x:v>5.429</x:v>
      </x:c>
      <x:c r="Z102" s="6" t="n">
        <x:f>R102*'固定基底'!$B$4/1000</x:f>
        <x:v>15.773800000000001</x:v>
      </x:c>
      <x:c r="AA102" s="2" t="n">
        <x:f>'固定基底'!$C$7</x:f>
        <x:v>92796.92267241378</x:v>
      </x:c>
      <x:c r="AB102" s="2" t="n">
        <x:f>'固定基底'!$C$8</x:f>
        <x:v>104175.5097553192</x:v>
      </x:c>
      <x:c r="AC102" s="2" t="n">
        <x:f>'固定基底'!$E$7</x:f>
        <x:v>1855.9384534482756</x:v>
      </x:c>
      <x:c r="AD102" s="2" t="n">
        <x:f>'固定基底'!$E$8</x:f>
        <x:v>2083.510195106384</x:v>
      </x:c>
    </x:row>
    <x:row r="103" ht="25" customHeight="1">
      <x:c r="A103" s="5" t="str">
        <x:v>G04-15</x:v>
      </x:c>
      <x:c r="B103" s="5" t="str">
        <x:v>G04</x:v>
      </x:c>
      <x:c r="C103" s="5" t="str">
        <x:v>BBD</x:v>
      </x:c>
      <x:c r="D103" s="5" t="str">
        <x:v>拟合</x:v>
      </x:c>
      <x:c r="E103" s="5" t="str">
        <x:v>边点</x:v>
      </x:c>
      <x:c r="F103" s="5" t="str"/>
      <x:c r="G103" s="5" t="str">
        <x:v>丁酸乙酯</x:v>
      </x:c>
      <x:c r="H103" s="5" t="str">
        <x:v>1-丁醇</x:v>
      </x:c>
      <x:c r="I103" s="5" t="str">
        <x:v>1-辛烯-3-醇</x:v>
      </x:c>
      <x:c r="J103" s="5" t="str">
        <x:v>己醛</x:v>
      </x:c>
      <x:c r="K103" s="5" t="str">
        <x:v>M</x:v>
      </x:c>
      <x:c r="L103" s="5" t="str">
        <x:v>H</x:v>
      </x:c>
      <x:c r="M103" s="5" t="str">
        <x:v>L</x:v>
      </x:c>
      <x:c r="N103" s="5" t="str">
        <x:v>M</x:v>
      </x:c>
      <x:c r="O103" s="6" t="n">
        <x:f>'浓度水平'!G16</x:f>
        <x:v>11516</x:v>
      </x:c>
      <x:c r="P103" s="6" t="n">
        <x:f>'浓度水平'!H9</x:f>
        <x:v>1038900</x:v>
      </x:c>
      <x:c r="Q103" s="6" t="n">
        <x:f>'浓度水平'!F42</x:f>
        <x:v>12.24</x:v>
      </x:c>
      <x:c r="R103" s="6" t="n">
        <x:f>'浓度水平'!G7</x:f>
        <x:v>788.69</x:v>
      </x:c>
      <x:c r="S103" s="6" t="n">
        <x:f>O103/'浓度水平'!E16</x:f>
        <x:v>141.30061349693253</x:v>
      </x:c>
      <x:c r="T103" s="6" t="n">
        <x:f>P103/'浓度水平'!E9</x:f>
        <x:v>380.1317233809001</x:v>
      </x:c>
      <x:c r="U103" s="6" t="n">
        <x:f>Q103/'浓度水平'!E42</x:f>
        <x:v>2</x:v>
      </x:c>
      <x:c r="V103" s="6" t="n">
        <x:f>R103/'浓度水平'!E7</x:f>
        <x:v>30.929019607843138</x:v>
      </x:c>
      <x:c r="W103" s="6" t="n">
        <x:f>O103*'固定基底'!$B$4/1000</x:f>
        <x:v>230.32</x:v>
      </x:c>
      <x:c r="X103" s="6" t="n">
        <x:f>P103*'固定基底'!$B$4/1000</x:f>
        <x:v>20778</x:v>
      </x:c>
      <x:c r="Y103" s="6" t="n">
        <x:f>Q103*'固定基底'!$B$4/1000</x:f>
        <x:v>0.24480000000000002</x:v>
      </x:c>
      <x:c r="Z103" s="6" t="n">
        <x:f>R103*'固定基底'!$B$4/1000</x:f>
        <x:v>15.773800000000001</x:v>
      </x:c>
      <x:c r="AA103" s="2" t="n">
        <x:f>'固定基底'!$C$7</x:f>
        <x:v>92796.92267241378</x:v>
      </x:c>
      <x:c r="AB103" s="2" t="n">
        <x:f>'固定基底'!$C$8</x:f>
        <x:v>104175.5097553192</x:v>
      </x:c>
      <x:c r="AC103" s="2" t="n">
        <x:f>'固定基底'!$E$7</x:f>
        <x:v>1855.9384534482756</x:v>
      </x:c>
      <x:c r="AD103" s="2" t="n">
        <x:f>'固定基底'!$E$8</x:f>
        <x:v>2083.510195106384</x:v>
      </x:c>
    </x:row>
    <x:row r="104" ht="25" customHeight="1">
      <x:c r="A104" s="5" t="str">
        <x:v>G04-16</x:v>
      </x:c>
      <x:c r="B104" s="5" t="str">
        <x:v>G04</x:v>
      </x:c>
      <x:c r="C104" s="5" t="str">
        <x:v>BBD</x:v>
      </x:c>
      <x:c r="D104" s="5" t="str">
        <x:v>拟合</x:v>
      </x:c>
      <x:c r="E104" s="5" t="str">
        <x:v>边点</x:v>
      </x:c>
      <x:c r="F104" s="5" t="str"/>
      <x:c r="G104" s="5" t="str">
        <x:v>丁酸乙酯</x:v>
      </x:c>
      <x:c r="H104" s="5" t="str">
        <x:v>1-丁醇</x:v>
      </x:c>
      <x:c r="I104" s="5" t="str">
        <x:v>1-辛烯-3-醇</x:v>
      </x:c>
      <x:c r="J104" s="5" t="str">
        <x:v>己醛</x:v>
      </x:c>
      <x:c r="K104" s="5" t="str">
        <x:v>M</x:v>
      </x:c>
      <x:c r="L104" s="5" t="str">
        <x:v>H</x:v>
      </x:c>
      <x:c r="M104" s="5" t="str">
        <x:v>H</x:v>
      </x:c>
      <x:c r="N104" s="5" t="str">
        <x:v>M</x:v>
      </x:c>
      <x:c r="O104" s="6" t="n">
        <x:f>'浓度水平'!G16</x:f>
        <x:v>11516</x:v>
      </x:c>
      <x:c r="P104" s="6" t="n">
        <x:f>'浓度水平'!H9</x:f>
        <x:v>1038900</x:v>
      </x:c>
      <x:c r="Q104" s="6" t="n">
        <x:f>'浓度水平'!H42</x:f>
        <x:v>271.45</x:v>
      </x:c>
      <x:c r="R104" s="6" t="n">
        <x:f>'浓度水平'!G7</x:f>
        <x:v>788.69</x:v>
      </x:c>
      <x:c r="S104" s="6" t="n">
        <x:f>O104/'浓度水平'!E16</x:f>
        <x:v>141.30061349693253</x:v>
      </x:c>
      <x:c r="T104" s="6" t="n">
        <x:f>P104/'浓度水平'!E9</x:f>
        <x:v>380.1317233809001</x:v>
      </x:c>
      <x:c r="U104" s="6" t="n">
        <x:f>Q104/'浓度水平'!E42</x:f>
        <x:v>44.35457516339869</x:v>
      </x:c>
      <x:c r="V104" s="6" t="n">
        <x:f>R104/'浓度水平'!E7</x:f>
        <x:v>30.929019607843138</x:v>
      </x:c>
      <x:c r="W104" s="6" t="n">
        <x:f>O104*'固定基底'!$B$4/1000</x:f>
        <x:v>230.32</x:v>
      </x:c>
      <x:c r="X104" s="6" t="n">
        <x:f>P104*'固定基底'!$B$4/1000</x:f>
        <x:v>20778</x:v>
      </x:c>
      <x:c r="Y104" s="6" t="n">
        <x:f>Q104*'固定基底'!$B$4/1000</x:f>
        <x:v>5.429</x:v>
      </x:c>
      <x:c r="Z104" s="6" t="n">
        <x:f>R104*'固定基底'!$B$4/1000</x:f>
        <x:v>15.773800000000001</x:v>
      </x:c>
      <x:c r="AA104" s="2" t="n">
        <x:f>'固定基底'!$C$7</x:f>
        <x:v>92796.92267241378</x:v>
      </x:c>
      <x:c r="AB104" s="2" t="n">
        <x:f>'固定基底'!$C$8</x:f>
        <x:v>104175.5097553192</x:v>
      </x:c>
      <x:c r="AC104" s="2" t="n">
        <x:f>'固定基底'!$E$7</x:f>
        <x:v>1855.9384534482756</x:v>
      </x:c>
      <x:c r="AD104" s="2" t="n">
        <x:f>'固定基底'!$E$8</x:f>
        <x:v>2083.510195106384</x:v>
      </x:c>
    </x:row>
    <x:row r="105" ht="25" customHeight="1">
      <x:c r="A105" s="5" t="str">
        <x:v>G04-17</x:v>
      </x:c>
      <x:c r="B105" s="5" t="str">
        <x:v>G04</x:v>
      </x:c>
      <x:c r="C105" s="5" t="str">
        <x:v>BBD</x:v>
      </x:c>
      <x:c r="D105" s="5" t="str">
        <x:v>拟合</x:v>
      </x:c>
      <x:c r="E105" s="5" t="str">
        <x:v>边点</x:v>
      </x:c>
      <x:c r="F105" s="5" t="str"/>
      <x:c r="G105" s="5" t="str">
        <x:v>丁酸乙酯</x:v>
      </x:c>
      <x:c r="H105" s="5" t="str">
        <x:v>1-丁醇</x:v>
      </x:c>
      <x:c r="I105" s="5" t="str">
        <x:v>1-辛烯-3-醇</x:v>
      </x:c>
      <x:c r="J105" s="5" t="str">
        <x:v>己醛</x:v>
      </x:c>
      <x:c r="K105" s="5" t="str">
        <x:v>M</x:v>
      </x:c>
      <x:c r="L105" s="5" t="str">
        <x:v>L</x:v>
      </x:c>
      <x:c r="M105" s="5" t="str">
        <x:v>M</x:v>
      </x:c>
      <x:c r="N105" s="5" t="str">
        <x:v>L</x:v>
      </x:c>
      <x:c r="O105" s="6" t="n">
        <x:f>'浓度水平'!G16</x:f>
        <x:v>11516</x:v>
      </x:c>
      <x:c r="P105" s="6" t="n">
        <x:f>'浓度水平'!F9</x:f>
        <x:v>5466</x:v>
      </x:c>
      <x:c r="Q105" s="6" t="n">
        <x:f>'浓度水平'!G42</x:f>
        <x:v>99.18</x:v>
      </x:c>
      <x:c r="R105" s="6" t="n">
        <x:f>'浓度水平'!F7</x:f>
        <x:v>51</x:v>
      </x:c>
      <x:c r="S105" s="6" t="n">
        <x:f>O105/'浓度水平'!E16</x:f>
        <x:v>141.30061349693253</x:v>
      </x:c>
      <x:c r="T105" s="6" t="n">
        <x:f>P105/'浓度水平'!E9</x:f>
        <x:v>2</x:v>
      </x:c>
      <x:c r="U105" s="6" t="n">
        <x:f>Q105/'浓度水平'!E42</x:f>
        <x:v>16.205882352941178</x:v>
      </x:c>
      <x:c r="V105" s="6" t="n">
        <x:f>R105/'浓度水平'!E7</x:f>
        <x:v>2</x:v>
      </x:c>
      <x:c r="W105" s="6" t="n">
        <x:f>O105*'固定基底'!$B$4/1000</x:f>
        <x:v>230.32</x:v>
      </x:c>
      <x:c r="X105" s="6" t="n">
        <x:f>P105*'固定基底'!$B$4/1000</x:f>
        <x:v>109.32</x:v>
      </x:c>
      <x:c r="Y105" s="6" t="n">
        <x:f>Q105*'固定基底'!$B$4/1000</x:f>
        <x:v>1.9836</x:v>
      </x:c>
      <x:c r="Z105" s="6" t="n">
        <x:f>R105*'固定基底'!$B$4/1000</x:f>
        <x:v>1.02</x:v>
      </x:c>
      <x:c r="AA105" s="2" t="n">
        <x:f>'固定基底'!$C$7</x:f>
        <x:v>92796.92267241378</x:v>
      </x:c>
      <x:c r="AB105" s="2" t="n">
        <x:f>'固定基底'!$C$8</x:f>
        <x:v>104175.5097553192</x:v>
      </x:c>
      <x:c r="AC105" s="2" t="n">
        <x:f>'固定基底'!$E$7</x:f>
        <x:v>1855.9384534482756</x:v>
      </x:c>
      <x:c r="AD105" s="2" t="n">
        <x:f>'固定基底'!$E$8</x:f>
        <x:v>2083.510195106384</x:v>
      </x:c>
    </x:row>
    <x:row r="106" ht="25" customHeight="1">
      <x:c r="A106" s="5" t="str">
        <x:v>G04-18</x:v>
      </x:c>
      <x:c r="B106" s="5" t="str">
        <x:v>G04</x:v>
      </x:c>
      <x:c r="C106" s="5" t="str">
        <x:v>BBD</x:v>
      </x:c>
      <x:c r="D106" s="5" t="str">
        <x:v>拟合</x:v>
      </x:c>
      <x:c r="E106" s="5" t="str">
        <x:v>边点</x:v>
      </x:c>
      <x:c r="F106" s="5" t="str"/>
      <x:c r="G106" s="5" t="str">
        <x:v>丁酸乙酯</x:v>
      </x:c>
      <x:c r="H106" s="5" t="str">
        <x:v>1-丁醇</x:v>
      </x:c>
      <x:c r="I106" s="5" t="str">
        <x:v>1-辛烯-3-醇</x:v>
      </x:c>
      <x:c r="J106" s="5" t="str">
        <x:v>己醛</x:v>
      </x:c>
      <x:c r="K106" s="5" t="str">
        <x:v>M</x:v>
      </x:c>
      <x:c r="L106" s="5" t="str">
        <x:v>L</x:v>
      </x:c>
      <x:c r="M106" s="5" t="str">
        <x:v>M</x:v>
      </x:c>
      <x:c r="N106" s="5" t="str">
        <x:v>H</x:v>
      </x:c>
      <x:c r="O106" s="6" t="n">
        <x:f>'浓度水平'!G16</x:f>
        <x:v>11516</x:v>
      </x:c>
      <x:c r="P106" s="6" t="n">
        <x:f>'浓度水平'!F9</x:f>
        <x:v>5466</x:v>
      </x:c>
      <x:c r="Q106" s="6" t="n">
        <x:f>'浓度水平'!G42</x:f>
        <x:v>99.18</x:v>
      </x:c>
      <x:c r="R106" s="6" t="n">
        <x:f>'浓度水平'!H7</x:f>
        <x:v>3075.94</x:v>
      </x:c>
      <x:c r="S106" s="6" t="n">
        <x:f>O106/'浓度水平'!E16</x:f>
        <x:v>141.30061349693253</x:v>
      </x:c>
      <x:c r="T106" s="6" t="n">
        <x:f>P106/'浓度水平'!E9</x:f>
        <x:v>2</x:v>
      </x:c>
      <x:c r="U106" s="6" t="n">
        <x:f>Q106/'浓度水平'!E42</x:f>
        <x:v>16.205882352941178</x:v>
      </x:c>
      <x:c r="V106" s="6" t="n">
        <x:f>R106/'浓度水平'!E7</x:f>
        <x:v>120.62509803921569</x:v>
      </x:c>
      <x:c r="W106" s="6" t="n">
        <x:f>O106*'固定基底'!$B$4/1000</x:f>
        <x:v>230.32</x:v>
      </x:c>
      <x:c r="X106" s="6" t="n">
        <x:f>P106*'固定基底'!$B$4/1000</x:f>
        <x:v>109.32</x:v>
      </x:c>
      <x:c r="Y106" s="6" t="n">
        <x:f>Q106*'固定基底'!$B$4/1000</x:f>
        <x:v>1.9836</x:v>
      </x:c>
      <x:c r="Z106" s="6" t="n">
        <x:f>R106*'固定基底'!$B$4/1000</x:f>
        <x:v>61.518800000000006</x:v>
      </x:c>
      <x:c r="AA106" s="2" t="n">
        <x:f>'固定基底'!$C$7</x:f>
        <x:v>92796.92267241378</x:v>
      </x:c>
      <x:c r="AB106" s="2" t="n">
        <x:f>'固定基底'!$C$8</x:f>
        <x:v>104175.5097553192</x:v>
      </x:c>
      <x:c r="AC106" s="2" t="n">
        <x:f>'固定基底'!$E$7</x:f>
        <x:v>1855.9384534482756</x:v>
      </x:c>
      <x:c r="AD106" s="2" t="n">
        <x:f>'固定基底'!$E$8</x:f>
        <x:v>2083.510195106384</x:v>
      </x:c>
    </x:row>
    <x:row r="107" ht="25" customHeight="1">
      <x:c r="A107" s="5" t="str">
        <x:v>G04-19</x:v>
      </x:c>
      <x:c r="B107" s="5" t="str">
        <x:v>G04</x:v>
      </x:c>
      <x:c r="C107" s="5" t="str">
        <x:v>BBD</x:v>
      </x:c>
      <x:c r="D107" s="5" t="str">
        <x:v>拟合</x:v>
      </x:c>
      <x:c r="E107" s="5" t="str">
        <x:v>边点</x:v>
      </x:c>
      <x:c r="F107" s="5" t="str"/>
      <x:c r="G107" s="5" t="str">
        <x:v>丁酸乙酯</x:v>
      </x:c>
      <x:c r="H107" s="5" t="str">
        <x:v>1-丁醇</x:v>
      </x:c>
      <x:c r="I107" s="5" t="str">
        <x:v>1-辛烯-3-醇</x:v>
      </x:c>
      <x:c r="J107" s="5" t="str">
        <x:v>己醛</x:v>
      </x:c>
      <x:c r="K107" s="5" t="str">
        <x:v>M</x:v>
      </x:c>
      <x:c r="L107" s="5" t="str">
        <x:v>H</x:v>
      </x:c>
      <x:c r="M107" s="5" t="str">
        <x:v>M</x:v>
      </x:c>
      <x:c r="N107" s="5" t="str">
        <x:v>L</x:v>
      </x:c>
      <x:c r="O107" s="6" t="n">
        <x:f>'浓度水平'!G16</x:f>
        <x:v>11516</x:v>
      </x:c>
      <x:c r="P107" s="6" t="n">
        <x:f>'浓度水平'!H9</x:f>
        <x:v>1038900</x:v>
      </x:c>
      <x:c r="Q107" s="6" t="n">
        <x:f>'浓度水平'!G42</x:f>
        <x:v>99.18</x:v>
      </x:c>
      <x:c r="R107" s="6" t="n">
        <x:f>'浓度水平'!F7</x:f>
        <x:v>51</x:v>
      </x:c>
      <x:c r="S107" s="6" t="n">
        <x:f>O107/'浓度水平'!E16</x:f>
        <x:v>141.30061349693253</x:v>
      </x:c>
      <x:c r="T107" s="6" t="n">
        <x:f>P107/'浓度水平'!E9</x:f>
        <x:v>380.1317233809001</x:v>
      </x:c>
      <x:c r="U107" s="6" t="n">
        <x:f>Q107/'浓度水平'!E42</x:f>
        <x:v>16.205882352941178</x:v>
      </x:c>
      <x:c r="V107" s="6" t="n">
        <x:f>R107/'浓度水平'!E7</x:f>
        <x:v>2</x:v>
      </x:c>
      <x:c r="W107" s="6" t="n">
        <x:f>O107*'固定基底'!$B$4/1000</x:f>
        <x:v>230.32</x:v>
      </x:c>
      <x:c r="X107" s="6" t="n">
        <x:f>P107*'固定基底'!$B$4/1000</x:f>
        <x:v>20778</x:v>
      </x:c>
      <x:c r="Y107" s="6" t="n">
        <x:f>Q107*'固定基底'!$B$4/1000</x:f>
        <x:v>1.9836</x:v>
      </x:c>
      <x:c r="Z107" s="6" t="n">
        <x:f>R107*'固定基底'!$B$4/1000</x:f>
        <x:v>1.02</x:v>
      </x:c>
      <x:c r="AA107" s="2" t="n">
        <x:f>'固定基底'!$C$7</x:f>
        <x:v>92796.92267241378</x:v>
      </x:c>
      <x:c r="AB107" s="2" t="n">
        <x:f>'固定基底'!$C$8</x:f>
        <x:v>104175.5097553192</x:v>
      </x:c>
      <x:c r="AC107" s="2" t="n">
        <x:f>'固定基底'!$E$7</x:f>
        <x:v>1855.9384534482756</x:v>
      </x:c>
      <x:c r="AD107" s="2" t="n">
        <x:f>'固定基底'!$E$8</x:f>
        <x:v>2083.510195106384</x:v>
      </x:c>
    </x:row>
    <x:row r="108" ht="25" customHeight="1">
      <x:c r="A108" s="5" t="str">
        <x:v>G04-20</x:v>
      </x:c>
      <x:c r="B108" s="5" t="str">
        <x:v>G04</x:v>
      </x:c>
      <x:c r="C108" s="5" t="str">
        <x:v>BBD</x:v>
      </x:c>
      <x:c r="D108" s="5" t="str">
        <x:v>拟合</x:v>
      </x:c>
      <x:c r="E108" s="5" t="str">
        <x:v>边点</x:v>
      </x:c>
      <x:c r="F108" s="5" t="str"/>
      <x:c r="G108" s="5" t="str">
        <x:v>丁酸乙酯</x:v>
      </x:c>
      <x:c r="H108" s="5" t="str">
        <x:v>1-丁醇</x:v>
      </x:c>
      <x:c r="I108" s="5" t="str">
        <x:v>1-辛烯-3-醇</x:v>
      </x:c>
      <x:c r="J108" s="5" t="str">
        <x:v>己醛</x:v>
      </x:c>
      <x:c r="K108" s="5" t="str">
        <x:v>M</x:v>
      </x:c>
      <x:c r="L108" s="5" t="str">
        <x:v>H</x:v>
      </x:c>
      <x:c r="M108" s="5" t="str">
        <x:v>M</x:v>
      </x:c>
      <x:c r="N108" s="5" t="str">
        <x:v>H</x:v>
      </x:c>
      <x:c r="O108" s="6" t="n">
        <x:f>'浓度水平'!G16</x:f>
        <x:v>11516</x:v>
      </x:c>
      <x:c r="P108" s="6" t="n">
        <x:f>'浓度水平'!H9</x:f>
        <x:v>1038900</x:v>
      </x:c>
      <x:c r="Q108" s="6" t="n">
        <x:f>'浓度水平'!G42</x:f>
        <x:v>99.18</x:v>
      </x:c>
      <x:c r="R108" s="6" t="n">
        <x:f>'浓度水平'!H7</x:f>
        <x:v>3075.94</x:v>
      </x:c>
      <x:c r="S108" s="6" t="n">
        <x:f>O108/'浓度水平'!E16</x:f>
        <x:v>141.30061349693253</x:v>
      </x:c>
      <x:c r="T108" s="6" t="n">
        <x:f>P108/'浓度水平'!E9</x:f>
        <x:v>380.1317233809001</x:v>
      </x:c>
      <x:c r="U108" s="6" t="n">
        <x:f>Q108/'浓度水平'!E42</x:f>
        <x:v>16.205882352941178</x:v>
      </x:c>
      <x:c r="V108" s="6" t="n">
        <x:f>R108/'浓度水平'!E7</x:f>
        <x:v>120.62509803921569</x:v>
      </x:c>
      <x:c r="W108" s="6" t="n">
        <x:f>O108*'固定基底'!$B$4/1000</x:f>
        <x:v>230.32</x:v>
      </x:c>
      <x:c r="X108" s="6" t="n">
        <x:f>P108*'固定基底'!$B$4/1000</x:f>
        <x:v>20778</x:v>
      </x:c>
      <x:c r="Y108" s="6" t="n">
        <x:f>Q108*'固定基底'!$B$4/1000</x:f>
        <x:v>1.9836</x:v>
      </x:c>
      <x:c r="Z108" s="6" t="n">
        <x:f>R108*'固定基底'!$B$4/1000</x:f>
        <x:v>61.518800000000006</x:v>
      </x:c>
      <x:c r="AA108" s="2" t="n">
        <x:f>'固定基底'!$C$7</x:f>
        <x:v>92796.92267241378</x:v>
      </x:c>
      <x:c r="AB108" s="2" t="n">
        <x:f>'固定基底'!$C$8</x:f>
        <x:v>104175.5097553192</x:v>
      </x:c>
      <x:c r="AC108" s="2" t="n">
        <x:f>'固定基底'!$E$7</x:f>
        <x:v>1855.9384534482756</x:v>
      </x:c>
      <x:c r="AD108" s="2" t="n">
        <x:f>'固定基底'!$E$8</x:f>
        <x:v>2083.510195106384</x:v>
      </x:c>
    </x:row>
    <x:row r="109" ht="25" customHeight="1">
      <x:c r="A109" s="5" t="str">
        <x:v>G04-21</x:v>
      </x:c>
      <x:c r="B109" s="5" t="str">
        <x:v>G04</x:v>
      </x:c>
      <x:c r="C109" s="5" t="str">
        <x:v>BBD</x:v>
      </x:c>
      <x:c r="D109" s="5" t="str">
        <x:v>拟合</x:v>
      </x:c>
      <x:c r="E109" s="5" t="str">
        <x:v>边点</x:v>
      </x:c>
      <x:c r="F109" s="5" t="str"/>
      <x:c r="G109" s="5" t="str">
        <x:v>丁酸乙酯</x:v>
      </x:c>
      <x:c r="H109" s="5" t="str">
        <x:v>1-丁醇</x:v>
      </x:c>
      <x:c r="I109" s="5" t="str">
        <x:v>1-辛烯-3-醇</x:v>
      </x:c>
      <x:c r="J109" s="5" t="str">
        <x:v>己醛</x:v>
      </x:c>
      <x:c r="K109" s="5" t="str">
        <x:v>M</x:v>
      </x:c>
      <x:c r="L109" s="5" t="str">
        <x:v>M</x:v>
      </x:c>
      <x:c r="M109" s="5" t="str">
        <x:v>L</x:v>
      </x:c>
      <x:c r="N109" s="5" t="str">
        <x:v>L</x:v>
      </x:c>
      <x:c r="O109" s="6" t="n">
        <x:f>'浓度水平'!G16</x:f>
        <x:v>11516</x:v>
      </x:c>
      <x:c r="P109" s="6" t="n">
        <x:f>'浓度水平'!G9</x:f>
        <x:v>10974.445</x:v>
      </x:c>
      <x:c r="Q109" s="6" t="n">
        <x:f>'浓度水平'!F42</x:f>
        <x:v>12.24</x:v>
      </x:c>
      <x:c r="R109" s="6" t="n">
        <x:f>'浓度水平'!F7</x:f>
        <x:v>51</x:v>
      </x:c>
      <x:c r="S109" s="6" t="n">
        <x:f>O109/'浓度水平'!E16</x:f>
        <x:v>141.30061349693253</x:v>
      </x:c>
      <x:c r="T109" s="6" t="n">
        <x:f>P109/'浓度水平'!E9</x:f>
        <x:v>4.015530552506403</x:v>
      </x:c>
      <x:c r="U109" s="6" t="n">
        <x:f>Q109/'浓度水平'!E42</x:f>
        <x:v>2</x:v>
      </x:c>
      <x:c r="V109" s="6" t="n">
        <x:f>R109/'浓度水平'!E7</x:f>
        <x:v>2</x:v>
      </x:c>
      <x:c r="W109" s="6" t="n">
        <x:f>O109*'固定基底'!$B$4/1000</x:f>
        <x:v>230.32</x:v>
      </x:c>
      <x:c r="X109" s="6" t="n">
        <x:f>P109*'固定基底'!$B$4/1000</x:f>
        <x:v>219.4889</x:v>
      </x:c>
      <x:c r="Y109" s="6" t="n">
        <x:f>Q109*'固定基底'!$B$4/1000</x:f>
        <x:v>0.24480000000000002</x:v>
      </x:c>
      <x:c r="Z109" s="6" t="n">
        <x:f>R109*'固定基底'!$B$4/1000</x:f>
        <x:v>1.02</x:v>
      </x:c>
      <x:c r="AA109" s="2" t="n">
        <x:f>'固定基底'!$C$7</x:f>
        <x:v>92796.92267241378</x:v>
      </x:c>
      <x:c r="AB109" s="2" t="n">
        <x:f>'固定基底'!$C$8</x:f>
        <x:v>104175.5097553192</x:v>
      </x:c>
      <x:c r="AC109" s="2" t="n">
        <x:f>'固定基底'!$E$7</x:f>
        <x:v>1855.9384534482756</x:v>
      </x:c>
      <x:c r="AD109" s="2" t="n">
        <x:f>'固定基底'!$E$8</x:f>
        <x:v>2083.510195106384</x:v>
      </x:c>
    </x:row>
    <x:row r="110" ht="25" customHeight="1">
      <x:c r="A110" s="5" t="str">
        <x:v>G04-22</x:v>
      </x:c>
      <x:c r="B110" s="5" t="str">
        <x:v>G04</x:v>
      </x:c>
      <x:c r="C110" s="5" t="str">
        <x:v>BBD</x:v>
      </x:c>
      <x:c r="D110" s="5" t="str">
        <x:v>拟合</x:v>
      </x:c>
      <x:c r="E110" s="5" t="str">
        <x:v>边点</x:v>
      </x:c>
      <x:c r="F110" s="5" t="str"/>
      <x:c r="G110" s="5" t="str">
        <x:v>丁酸乙酯</x:v>
      </x:c>
      <x:c r="H110" s="5" t="str">
        <x:v>1-丁醇</x:v>
      </x:c>
      <x:c r="I110" s="5" t="str">
        <x:v>1-辛烯-3-醇</x:v>
      </x:c>
      <x:c r="J110" s="5" t="str">
        <x:v>己醛</x:v>
      </x:c>
      <x:c r="K110" s="5" t="str">
        <x:v>M</x:v>
      </x:c>
      <x:c r="L110" s="5" t="str">
        <x:v>M</x:v>
      </x:c>
      <x:c r="M110" s="5" t="str">
        <x:v>L</x:v>
      </x:c>
      <x:c r="N110" s="5" t="str">
        <x:v>H</x:v>
      </x:c>
      <x:c r="O110" s="6" t="n">
        <x:f>'浓度水平'!G16</x:f>
        <x:v>11516</x:v>
      </x:c>
      <x:c r="P110" s="6" t="n">
        <x:f>'浓度水平'!G9</x:f>
        <x:v>10974.445</x:v>
      </x:c>
      <x:c r="Q110" s="6" t="n">
        <x:f>'浓度水平'!F42</x:f>
        <x:v>12.24</x:v>
      </x:c>
      <x:c r="R110" s="6" t="n">
        <x:f>'浓度水平'!H7</x:f>
        <x:v>3075.94</x:v>
      </x:c>
      <x:c r="S110" s="6" t="n">
        <x:f>O110/'浓度水平'!E16</x:f>
        <x:v>141.30061349693253</x:v>
      </x:c>
      <x:c r="T110" s="6" t="n">
        <x:f>P110/'浓度水平'!E9</x:f>
        <x:v>4.015530552506403</x:v>
      </x:c>
      <x:c r="U110" s="6" t="n">
        <x:f>Q110/'浓度水平'!E42</x:f>
        <x:v>2</x:v>
      </x:c>
      <x:c r="V110" s="6" t="n">
        <x:f>R110/'浓度水平'!E7</x:f>
        <x:v>120.62509803921569</x:v>
      </x:c>
      <x:c r="W110" s="6" t="n">
        <x:f>O110*'固定基底'!$B$4/1000</x:f>
        <x:v>230.32</x:v>
      </x:c>
      <x:c r="X110" s="6" t="n">
        <x:f>P110*'固定基底'!$B$4/1000</x:f>
        <x:v>219.4889</x:v>
      </x:c>
      <x:c r="Y110" s="6" t="n">
        <x:f>Q110*'固定基底'!$B$4/1000</x:f>
        <x:v>0.24480000000000002</x:v>
      </x:c>
      <x:c r="Z110" s="6" t="n">
        <x:f>R110*'固定基底'!$B$4/1000</x:f>
        <x:v>61.518800000000006</x:v>
      </x:c>
      <x:c r="AA110" s="2" t="n">
        <x:f>'固定基底'!$C$7</x:f>
        <x:v>92796.92267241378</x:v>
      </x:c>
      <x:c r="AB110" s="2" t="n">
        <x:f>'固定基底'!$C$8</x:f>
        <x:v>104175.5097553192</x:v>
      </x:c>
      <x:c r="AC110" s="2" t="n">
        <x:f>'固定基底'!$E$7</x:f>
        <x:v>1855.9384534482756</x:v>
      </x:c>
      <x:c r="AD110" s="2" t="n">
        <x:f>'固定基底'!$E$8</x:f>
        <x:v>2083.510195106384</x:v>
      </x:c>
    </x:row>
    <x:row r="111" ht="25" customHeight="1">
      <x:c r="A111" s="5" t="str">
        <x:v>G04-23</x:v>
      </x:c>
      <x:c r="B111" s="5" t="str">
        <x:v>G04</x:v>
      </x:c>
      <x:c r="C111" s="5" t="str">
        <x:v>BBD</x:v>
      </x:c>
      <x:c r="D111" s="5" t="str">
        <x:v>拟合</x:v>
      </x:c>
      <x:c r="E111" s="5" t="str">
        <x:v>边点</x:v>
      </x:c>
      <x:c r="F111" s="5" t="str"/>
      <x:c r="G111" s="5" t="str">
        <x:v>丁酸乙酯</x:v>
      </x:c>
      <x:c r="H111" s="5" t="str">
        <x:v>1-丁醇</x:v>
      </x:c>
      <x:c r="I111" s="5" t="str">
        <x:v>1-辛烯-3-醇</x:v>
      </x:c>
      <x:c r="J111" s="5" t="str">
        <x:v>己醛</x:v>
      </x:c>
      <x:c r="K111" s="5" t="str">
        <x:v>M</x:v>
      </x:c>
      <x:c r="L111" s="5" t="str">
        <x:v>M</x:v>
      </x:c>
      <x:c r="M111" s="5" t="str">
        <x:v>H</x:v>
      </x:c>
      <x:c r="N111" s="5" t="str">
        <x:v>L</x:v>
      </x:c>
      <x:c r="O111" s="6" t="n">
        <x:f>'浓度水平'!G16</x:f>
        <x:v>11516</x:v>
      </x:c>
      <x:c r="P111" s="6" t="n">
        <x:f>'浓度水平'!G9</x:f>
        <x:v>10974.445</x:v>
      </x:c>
      <x:c r="Q111" s="6" t="n">
        <x:f>'浓度水平'!H42</x:f>
        <x:v>271.45</x:v>
      </x:c>
      <x:c r="R111" s="6" t="n">
        <x:f>'浓度水平'!F7</x:f>
        <x:v>51</x:v>
      </x:c>
      <x:c r="S111" s="6" t="n">
        <x:f>O111/'浓度水平'!E16</x:f>
        <x:v>141.30061349693253</x:v>
      </x:c>
      <x:c r="T111" s="6" t="n">
        <x:f>P111/'浓度水平'!E9</x:f>
        <x:v>4.015530552506403</x:v>
      </x:c>
      <x:c r="U111" s="6" t="n">
        <x:f>Q111/'浓度水平'!E42</x:f>
        <x:v>44.35457516339869</x:v>
      </x:c>
      <x:c r="V111" s="6" t="n">
        <x:f>R111/'浓度水平'!E7</x:f>
        <x:v>2</x:v>
      </x:c>
      <x:c r="W111" s="6" t="n">
        <x:f>O111*'固定基底'!$B$4/1000</x:f>
        <x:v>230.32</x:v>
      </x:c>
      <x:c r="X111" s="6" t="n">
        <x:f>P111*'固定基底'!$B$4/1000</x:f>
        <x:v>219.4889</x:v>
      </x:c>
      <x:c r="Y111" s="6" t="n">
        <x:f>Q111*'固定基底'!$B$4/1000</x:f>
        <x:v>5.429</x:v>
      </x:c>
      <x:c r="Z111" s="6" t="n">
        <x:f>R111*'固定基底'!$B$4/1000</x:f>
        <x:v>1.02</x:v>
      </x:c>
      <x:c r="AA111" s="2" t="n">
        <x:f>'固定基底'!$C$7</x:f>
        <x:v>92796.92267241378</x:v>
      </x:c>
      <x:c r="AB111" s="2" t="n">
        <x:f>'固定基底'!$C$8</x:f>
        <x:v>104175.5097553192</x:v>
      </x:c>
      <x:c r="AC111" s="2" t="n">
        <x:f>'固定基底'!$E$7</x:f>
        <x:v>1855.9384534482756</x:v>
      </x:c>
      <x:c r="AD111" s="2" t="n">
        <x:f>'固定基底'!$E$8</x:f>
        <x:v>2083.510195106384</x:v>
      </x:c>
    </x:row>
    <x:row r="112" ht="25" customHeight="1">
      <x:c r="A112" s="5" t="str">
        <x:v>G04-24</x:v>
      </x:c>
      <x:c r="B112" s="5" t="str">
        <x:v>G04</x:v>
      </x:c>
      <x:c r="C112" s="5" t="str">
        <x:v>BBD</x:v>
      </x:c>
      <x:c r="D112" s="5" t="str">
        <x:v>拟合</x:v>
      </x:c>
      <x:c r="E112" s="5" t="str">
        <x:v>边点</x:v>
      </x:c>
      <x:c r="F112" s="5" t="str"/>
      <x:c r="G112" s="5" t="str">
        <x:v>丁酸乙酯</x:v>
      </x:c>
      <x:c r="H112" s="5" t="str">
        <x:v>1-丁醇</x:v>
      </x:c>
      <x:c r="I112" s="5" t="str">
        <x:v>1-辛烯-3-醇</x:v>
      </x:c>
      <x:c r="J112" s="5" t="str">
        <x:v>己醛</x:v>
      </x:c>
      <x:c r="K112" s="5" t="str">
        <x:v>M</x:v>
      </x:c>
      <x:c r="L112" s="5" t="str">
        <x:v>M</x:v>
      </x:c>
      <x:c r="M112" s="5" t="str">
        <x:v>H</x:v>
      </x:c>
      <x:c r="N112" s="5" t="str">
        <x:v>H</x:v>
      </x:c>
      <x:c r="O112" s="6" t="n">
        <x:f>'浓度水平'!G16</x:f>
        <x:v>11516</x:v>
      </x:c>
      <x:c r="P112" s="6" t="n">
        <x:f>'浓度水平'!G9</x:f>
        <x:v>10974.445</x:v>
      </x:c>
      <x:c r="Q112" s="6" t="n">
        <x:f>'浓度水平'!H42</x:f>
        <x:v>271.45</x:v>
      </x:c>
      <x:c r="R112" s="6" t="n">
        <x:f>'浓度水平'!H7</x:f>
        <x:v>3075.94</x:v>
      </x:c>
      <x:c r="S112" s="6" t="n">
        <x:f>O112/'浓度水平'!E16</x:f>
        <x:v>141.30061349693253</x:v>
      </x:c>
      <x:c r="T112" s="6" t="n">
        <x:f>P112/'浓度水平'!E9</x:f>
        <x:v>4.015530552506403</x:v>
      </x:c>
      <x:c r="U112" s="6" t="n">
        <x:f>Q112/'浓度水平'!E42</x:f>
        <x:v>44.35457516339869</x:v>
      </x:c>
      <x:c r="V112" s="6" t="n">
        <x:f>R112/'浓度水平'!E7</x:f>
        <x:v>120.62509803921569</x:v>
      </x:c>
      <x:c r="W112" s="6" t="n">
        <x:f>O112*'固定基底'!$B$4/1000</x:f>
        <x:v>230.32</x:v>
      </x:c>
      <x:c r="X112" s="6" t="n">
        <x:f>P112*'固定基底'!$B$4/1000</x:f>
        <x:v>219.4889</x:v>
      </x:c>
      <x:c r="Y112" s="6" t="n">
        <x:f>Q112*'固定基底'!$B$4/1000</x:f>
        <x:v>5.429</x:v>
      </x:c>
      <x:c r="Z112" s="6" t="n">
        <x:f>R112*'固定基底'!$B$4/1000</x:f>
        <x:v>61.518800000000006</x:v>
      </x:c>
      <x:c r="AA112" s="2" t="n">
        <x:f>'固定基底'!$C$7</x:f>
        <x:v>92796.92267241378</x:v>
      </x:c>
      <x:c r="AB112" s="2" t="n">
        <x:f>'固定基底'!$C$8</x:f>
        <x:v>104175.5097553192</x:v>
      </x:c>
      <x:c r="AC112" s="2" t="n">
        <x:f>'固定基底'!$E$7</x:f>
        <x:v>1855.9384534482756</x:v>
      </x:c>
      <x:c r="AD112" s="2" t="n">
        <x:f>'固定基底'!$E$8</x:f>
        <x:v>2083.510195106384</x:v>
      </x:c>
    </x:row>
    <x:row r="113" ht="25" customHeight="1">
      <x:c r="A113" s="5" t="str">
        <x:v>G04-25</x:v>
      </x:c>
      <x:c r="B113" s="5" t="str">
        <x:v>G04</x:v>
      </x:c>
      <x:c r="C113" s="5" t="str">
        <x:v>BBD</x:v>
      </x:c>
      <x:c r="D113" s="5" t="str">
        <x:v>拟合</x:v>
      </x:c>
      <x:c r="E113" s="5" t="str">
        <x:v>中心点独立配制</x:v>
      </x:c>
      <x:c r="F113" s="5" t="str"/>
      <x:c r="G113" s="5" t="str">
        <x:v>丁酸乙酯</x:v>
      </x:c>
      <x:c r="H113" s="5" t="str">
        <x:v>1-丁醇</x:v>
      </x:c>
      <x:c r="I113" s="5" t="str">
        <x:v>1-辛烯-3-醇</x:v>
      </x:c>
      <x:c r="J113" s="5" t="str">
        <x:v>己醛</x:v>
      </x:c>
      <x:c r="K113" s="5" t="str">
        <x:v>M</x:v>
      </x:c>
      <x:c r="L113" s="5" t="str">
        <x:v>M</x:v>
      </x:c>
      <x:c r="M113" s="5" t="str">
        <x:v>M</x:v>
      </x:c>
      <x:c r="N113" s="5" t="str">
        <x:v>M</x:v>
      </x:c>
      <x:c r="O113" s="6" t="n">
        <x:f>'浓度水平'!G16</x:f>
        <x:v>11516</x:v>
      </x:c>
      <x:c r="P113" s="6" t="n">
        <x:f>'浓度水平'!G9</x:f>
        <x:v>10974.445</x:v>
      </x:c>
      <x:c r="Q113" s="6" t="n">
        <x:f>'浓度水平'!G42</x:f>
        <x:v>99.18</x:v>
      </x:c>
      <x:c r="R113" s="6" t="n">
        <x:f>'浓度水平'!G7</x:f>
        <x:v>788.69</x:v>
      </x:c>
      <x:c r="S113" s="6" t="n">
        <x:f>O113/'浓度水平'!E16</x:f>
        <x:v>141.30061349693253</x:v>
      </x:c>
      <x:c r="T113" s="6" t="n">
        <x:f>P113/'浓度水平'!E9</x:f>
        <x:v>4.015530552506403</x:v>
      </x:c>
      <x:c r="U113" s="6" t="n">
        <x:f>Q113/'浓度水平'!E42</x:f>
        <x:v>16.205882352941178</x:v>
      </x:c>
      <x:c r="V113" s="6" t="n">
        <x:f>R113/'浓度水平'!E7</x:f>
        <x:v>30.929019607843138</x:v>
      </x:c>
      <x:c r="W113" s="6" t="n">
        <x:f>O113*'固定基底'!$B$4/1000</x:f>
        <x:v>230.32</x:v>
      </x:c>
      <x:c r="X113" s="6" t="n">
        <x:f>P113*'固定基底'!$B$4/1000</x:f>
        <x:v>219.4889</x:v>
      </x:c>
      <x:c r="Y113" s="6" t="n">
        <x:f>Q113*'固定基底'!$B$4/1000</x:f>
        <x:v>1.9836</x:v>
      </x:c>
      <x:c r="Z113" s="6" t="n">
        <x:f>R113*'固定基底'!$B$4/1000</x:f>
        <x:v>15.773800000000001</x:v>
      </x:c>
      <x:c r="AA113" s="2" t="n">
        <x:f>'固定基底'!$C$7</x:f>
        <x:v>92796.92267241378</x:v>
      </x:c>
      <x:c r="AB113" s="2" t="n">
        <x:f>'固定基底'!$C$8</x:f>
        <x:v>104175.5097553192</x:v>
      </x:c>
      <x:c r="AC113" s="2" t="n">
        <x:f>'固定基底'!$E$7</x:f>
        <x:v>1855.9384534482756</x:v>
      </x:c>
      <x:c r="AD113" s="2" t="n">
        <x:f>'固定基底'!$E$8</x:f>
        <x:v>2083.510195106384</x:v>
      </x:c>
    </x:row>
    <x:row r="114" ht="25" customHeight="1">
      <x:c r="A114" s="5" t="str">
        <x:v>G04-26</x:v>
      </x:c>
      <x:c r="B114" s="5" t="str">
        <x:v>G04</x:v>
      </x:c>
      <x:c r="C114" s="5" t="str">
        <x:v>BBD</x:v>
      </x:c>
      <x:c r="D114" s="5" t="str">
        <x:v>拟合</x:v>
      </x:c>
      <x:c r="E114" s="5" t="str">
        <x:v>中心点独立配制</x:v>
      </x:c>
      <x:c r="F114" s="5" t="str">
        <x:v>G04-25</x:v>
      </x:c>
      <x:c r="G114" s="5" t="str">
        <x:v>丁酸乙酯</x:v>
      </x:c>
      <x:c r="H114" s="5" t="str">
        <x:v>1-丁醇</x:v>
      </x:c>
      <x:c r="I114" s="5" t="str">
        <x:v>1-辛烯-3-醇</x:v>
      </x:c>
      <x:c r="J114" s="5" t="str">
        <x:v>己醛</x:v>
      </x:c>
      <x:c r="K114" s="5" t="str">
        <x:v>M</x:v>
      </x:c>
      <x:c r="L114" s="5" t="str">
        <x:v>M</x:v>
      </x:c>
      <x:c r="M114" s="5" t="str">
        <x:v>M</x:v>
      </x:c>
      <x:c r="N114" s="5" t="str">
        <x:v>M</x:v>
      </x:c>
      <x:c r="O114" s="6" t="n">
        <x:f>'浓度水平'!G16</x:f>
        <x:v>11516</x:v>
      </x:c>
      <x:c r="P114" s="6" t="n">
        <x:f>'浓度水平'!G9</x:f>
        <x:v>10974.445</x:v>
      </x:c>
      <x:c r="Q114" s="6" t="n">
        <x:f>'浓度水平'!G42</x:f>
        <x:v>99.18</x:v>
      </x:c>
      <x:c r="R114" s="6" t="n">
        <x:f>'浓度水平'!G7</x:f>
        <x:v>788.69</x:v>
      </x:c>
      <x:c r="S114" s="6" t="n">
        <x:f>O114/'浓度水平'!E16</x:f>
        <x:v>141.30061349693253</x:v>
      </x:c>
      <x:c r="T114" s="6" t="n">
        <x:f>P114/'浓度水平'!E9</x:f>
        <x:v>4.015530552506403</x:v>
      </x:c>
      <x:c r="U114" s="6" t="n">
        <x:f>Q114/'浓度水平'!E42</x:f>
        <x:v>16.205882352941178</x:v>
      </x:c>
      <x:c r="V114" s="6" t="n">
        <x:f>R114/'浓度水平'!E7</x:f>
        <x:v>30.929019607843138</x:v>
      </x:c>
      <x:c r="W114" s="6" t="n">
        <x:f>O114*'固定基底'!$B$4/1000</x:f>
        <x:v>230.32</x:v>
      </x:c>
      <x:c r="X114" s="6" t="n">
        <x:f>P114*'固定基底'!$B$4/1000</x:f>
        <x:v>219.4889</x:v>
      </x:c>
      <x:c r="Y114" s="6" t="n">
        <x:f>Q114*'固定基底'!$B$4/1000</x:f>
        <x:v>1.9836</x:v>
      </x:c>
      <x:c r="Z114" s="6" t="n">
        <x:f>R114*'固定基底'!$B$4/1000</x:f>
        <x:v>15.773800000000001</x:v>
      </x:c>
      <x:c r="AA114" s="2" t="n">
        <x:f>'固定基底'!$C$7</x:f>
        <x:v>92796.92267241378</x:v>
      </x:c>
      <x:c r="AB114" s="2" t="n">
        <x:f>'固定基底'!$C$8</x:f>
        <x:v>104175.5097553192</x:v>
      </x:c>
      <x:c r="AC114" s="2" t="n">
        <x:f>'固定基底'!$E$7</x:f>
        <x:v>1855.9384534482756</x:v>
      </x:c>
      <x:c r="AD114" s="2" t="n">
        <x:f>'固定基底'!$E$8</x:f>
        <x:v>2083.510195106384</x:v>
      </x:c>
    </x:row>
    <x:row r="115" ht="25" customHeight="1">
      <x:c r="A115" s="5" t="str">
        <x:v>G04-27</x:v>
      </x:c>
      <x:c r="B115" s="5" t="str">
        <x:v>G04</x:v>
      </x:c>
      <x:c r="C115" s="5" t="str">
        <x:v>BBD</x:v>
      </x:c>
      <x:c r="D115" s="5" t="str">
        <x:v>拟合</x:v>
      </x:c>
      <x:c r="E115" s="5" t="str">
        <x:v>中心点独立配制</x:v>
      </x:c>
      <x:c r="F115" s="5" t="str">
        <x:v>G04-25</x:v>
      </x:c>
      <x:c r="G115" s="5" t="str">
        <x:v>丁酸乙酯</x:v>
      </x:c>
      <x:c r="H115" s="5" t="str">
        <x:v>1-丁醇</x:v>
      </x:c>
      <x:c r="I115" s="5" t="str">
        <x:v>1-辛烯-3-醇</x:v>
      </x:c>
      <x:c r="J115" s="5" t="str">
        <x:v>己醛</x:v>
      </x:c>
      <x:c r="K115" s="5" t="str">
        <x:v>M</x:v>
      </x:c>
      <x:c r="L115" s="5" t="str">
        <x:v>M</x:v>
      </x:c>
      <x:c r="M115" s="5" t="str">
        <x:v>M</x:v>
      </x:c>
      <x:c r="N115" s="5" t="str">
        <x:v>M</x:v>
      </x:c>
      <x:c r="O115" s="6" t="n">
        <x:f>'浓度水平'!G16</x:f>
        <x:v>11516</x:v>
      </x:c>
      <x:c r="P115" s="6" t="n">
        <x:f>'浓度水平'!G9</x:f>
        <x:v>10974.445</x:v>
      </x:c>
      <x:c r="Q115" s="6" t="n">
        <x:f>'浓度水平'!G42</x:f>
        <x:v>99.18</x:v>
      </x:c>
      <x:c r="R115" s="6" t="n">
        <x:f>'浓度水平'!G7</x:f>
        <x:v>788.69</x:v>
      </x:c>
      <x:c r="S115" s="6" t="n">
        <x:f>O115/'浓度水平'!E16</x:f>
        <x:v>141.30061349693253</x:v>
      </x:c>
      <x:c r="T115" s="6" t="n">
        <x:f>P115/'浓度水平'!E9</x:f>
        <x:v>4.015530552506403</x:v>
      </x:c>
      <x:c r="U115" s="6" t="n">
        <x:f>Q115/'浓度水平'!E42</x:f>
        <x:v>16.205882352941178</x:v>
      </x:c>
      <x:c r="V115" s="6" t="n">
        <x:f>R115/'浓度水平'!E7</x:f>
        <x:v>30.929019607843138</x:v>
      </x:c>
      <x:c r="W115" s="6" t="n">
        <x:f>O115*'固定基底'!$B$4/1000</x:f>
        <x:v>230.32</x:v>
      </x:c>
      <x:c r="X115" s="6" t="n">
        <x:f>P115*'固定基底'!$B$4/1000</x:f>
        <x:v>219.4889</x:v>
      </x:c>
      <x:c r="Y115" s="6" t="n">
        <x:f>Q115*'固定基底'!$B$4/1000</x:f>
        <x:v>1.9836</x:v>
      </x:c>
      <x:c r="Z115" s="6" t="n">
        <x:f>R115*'固定基底'!$B$4/1000</x:f>
        <x:v>15.773800000000001</x:v>
      </x:c>
      <x:c r="AA115" s="2" t="n">
        <x:f>'固定基底'!$C$7</x:f>
        <x:v>92796.92267241378</x:v>
      </x:c>
      <x:c r="AB115" s="2" t="n">
        <x:f>'固定基底'!$C$8</x:f>
        <x:v>104175.5097553192</x:v>
      </x:c>
      <x:c r="AC115" s="2" t="n">
        <x:f>'固定基底'!$E$7</x:f>
        <x:v>1855.9384534482756</x:v>
      </x:c>
      <x:c r="AD115" s="2" t="n">
        <x:f>'固定基底'!$E$8</x:f>
        <x:v>2083.510195106384</x:v>
      </x:c>
    </x:row>
    <x:row r="116" ht="25" customHeight="1">
      <x:c r="A116" s="5" t="str">
        <x:v>G05-01</x:v>
      </x:c>
      <x:c r="B116" s="5" t="str">
        <x:v>G05</x:v>
      </x:c>
      <x:c r="C116" s="5" t="str">
        <x:v>BBD</x:v>
      </x:c>
      <x:c r="D116" s="5" t="str">
        <x:v>拟合</x:v>
      </x:c>
      <x:c r="E116" s="5" t="str">
        <x:v>边点</x:v>
      </x:c>
      <x:c r="F116" s="5" t="str"/>
      <x:c r="G116" s="5" t="str">
        <x:v>己酸乙酯</x:v>
      </x:c>
      <x:c r="H116" s="5" t="str">
        <x:v>二甲基三硫醚</x:v>
      </x:c>
      <x:c r="I116" s="5" t="str">
        <x:v>β-大马酮</x:v>
      </x:c>
      <x:c r="J116" s="5" t="str">
        <x:v>对甲酚</x:v>
      </x:c>
      <x:c r="K116" s="5" t="str">
        <x:v>L</x:v>
      </x:c>
      <x:c r="L116" s="5" t="str">
        <x:v>L</x:v>
      </x:c>
      <x:c r="M116" s="5" t="str">
        <x:v>M</x:v>
      </x:c>
      <x:c r="N116" s="5" t="str">
        <x:v>M</x:v>
      </x:c>
      <x:c r="O116" s="6" t="n">
        <x:f>'浓度水平'!F31</x:f>
        <x:v>110.6</x:v>
      </x:c>
      <x:c r="P116" s="6" t="n">
        <x:f>'浓度水平'!F43</x:f>
        <x:v>0.72</x:v>
      </x:c>
      <x:c r="Q116" s="6" t="n">
        <x:f>'浓度水平'!G46</x:f>
        <x:v>5.42</x:v>
      </x:c>
      <x:c r="R116" s="6" t="n">
        <x:f>'浓度水平'!G21</x:f>
        <x:v>359.87</x:v>
      </x:c>
      <x:c r="S116" s="6" t="n">
        <x:f>O116/'浓度水平'!E31</x:f>
        <x:v>2</x:v>
      </x:c>
      <x:c r="T116" s="6" t="n">
        <x:f>P116/'浓度水平'!E43</x:f>
        <x:v>2</x:v>
      </x:c>
      <x:c r="U116" s="6" t="n">
        <x:f>Q116/'浓度水平'!E46</x:f>
        <x:v>45.166666666666664</x:v>
      </x:c>
      <x:c r="V116" s="6" t="n">
        <x:f>R116/'浓度水平'!E21</x:f>
        <x:v>2.1549101796407184</x:v>
      </x:c>
      <x:c r="W116" s="6" t="n">
        <x:f>O116*'固定基底'!$B$4/1000</x:f>
        <x:v>2.212</x:v>
      </x:c>
      <x:c r="X116" s="6" t="n">
        <x:f>P116*'固定基底'!$B$4/1000</x:f>
        <x:v>0.014399999999999998</x:v>
      </x:c>
      <x:c r="Y116" s="6" t="n">
        <x:f>Q116*'固定基底'!$B$4/1000</x:f>
        <x:v>0.10840000000000001</x:v>
      </x:c>
      <x:c r="Z116" s="6" t="n">
        <x:f>R116*'固定基底'!$B$4/1000</x:f>
        <x:v>7.1974</x:v>
      </x:c>
      <x:c r="AA116" s="2" t="n">
        <x:f>'固定基底'!$C$7</x:f>
        <x:v>92796.92267241378</x:v>
      </x:c>
      <x:c r="AB116" s="2" t="n">
        <x:f>'固定基底'!$C$8</x:f>
        <x:v>104175.5097553192</x:v>
      </x:c>
      <x:c r="AC116" s="2" t="n">
        <x:f>'固定基底'!$E$7</x:f>
        <x:v>1855.9384534482756</x:v>
      </x:c>
      <x:c r="AD116" s="2" t="n">
        <x:f>'固定基底'!$E$8</x:f>
        <x:v>2083.510195106384</x:v>
      </x:c>
    </x:row>
    <x:row r="117" ht="25" customHeight="1">
      <x:c r="A117" s="5" t="str">
        <x:v>G05-02</x:v>
      </x:c>
      <x:c r="B117" s="5" t="str">
        <x:v>G05</x:v>
      </x:c>
      <x:c r="C117" s="5" t="str">
        <x:v>BBD</x:v>
      </x:c>
      <x:c r="D117" s="5" t="str">
        <x:v>拟合</x:v>
      </x:c>
      <x:c r="E117" s="5" t="str">
        <x:v>边点</x:v>
      </x:c>
      <x:c r="F117" s="5" t="str"/>
      <x:c r="G117" s="5" t="str">
        <x:v>己酸乙酯</x:v>
      </x:c>
      <x:c r="H117" s="5" t="str">
        <x:v>二甲基三硫醚</x:v>
      </x:c>
      <x:c r="I117" s="5" t="str">
        <x:v>β-大马酮</x:v>
      </x:c>
      <x:c r="J117" s="5" t="str">
        <x:v>对甲酚</x:v>
      </x:c>
      <x:c r="K117" s="5" t="str">
        <x:v>L</x:v>
      </x:c>
      <x:c r="L117" s="5" t="str">
        <x:v>H</x:v>
      </x:c>
      <x:c r="M117" s="5" t="str">
        <x:v>M</x:v>
      </x:c>
      <x:c r="N117" s="5" t="str">
        <x:v>M</x:v>
      </x:c>
      <x:c r="O117" s="6" t="n">
        <x:f>'浓度水平'!F31</x:f>
        <x:v>110.6</x:v>
      </x:c>
      <x:c r="P117" s="6" t="n">
        <x:f>'浓度水平'!H43</x:f>
        <x:v>4201.44</x:v>
      </x:c>
      <x:c r="Q117" s="6" t="n">
        <x:f>'浓度水平'!G46</x:f>
        <x:v>5.42</x:v>
      </x:c>
      <x:c r="R117" s="6" t="n">
        <x:f>'浓度水平'!G21</x:f>
        <x:v>359.87</x:v>
      </x:c>
      <x:c r="S117" s="6" t="n">
        <x:f>O117/'浓度水平'!E31</x:f>
        <x:v>2</x:v>
      </x:c>
      <x:c r="T117" s="6" t="n">
        <x:f>P117/'浓度水平'!E43</x:f>
        <x:v>11670.666666666666</x:v>
      </x:c>
      <x:c r="U117" s="6" t="n">
        <x:f>Q117/'浓度水平'!E46</x:f>
        <x:v>45.166666666666664</x:v>
      </x:c>
      <x:c r="V117" s="6" t="n">
        <x:f>R117/'浓度水平'!E21</x:f>
        <x:v>2.1549101796407184</x:v>
      </x:c>
      <x:c r="W117" s="6" t="n">
        <x:f>O117*'固定基底'!$B$4/1000</x:f>
        <x:v>2.212</x:v>
      </x:c>
      <x:c r="X117" s="6" t="n">
        <x:f>P117*'固定基底'!$B$4/1000</x:f>
        <x:v>84.02879999999999</x:v>
      </x:c>
      <x:c r="Y117" s="6" t="n">
        <x:f>Q117*'固定基底'!$B$4/1000</x:f>
        <x:v>0.10840000000000001</x:v>
      </x:c>
      <x:c r="Z117" s="6" t="n">
        <x:f>R117*'固定基底'!$B$4/1000</x:f>
        <x:v>7.1974</x:v>
      </x:c>
      <x:c r="AA117" s="2" t="n">
        <x:f>'固定基底'!$C$7</x:f>
        <x:v>92796.92267241378</x:v>
      </x:c>
      <x:c r="AB117" s="2" t="n">
        <x:f>'固定基底'!$C$8</x:f>
        <x:v>104175.5097553192</x:v>
      </x:c>
      <x:c r="AC117" s="2" t="n">
        <x:f>'固定基底'!$E$7</x:f>
        <x:v>1855.9384534482756</x:v>
      </x:c>
      <x:c r="AD117" s="2" t="n">
        <x:f>'固定基底'!$E$8</x:f>
        <x:v>2083.510195106384</x:v>
      </x:c>
    </x:row>
    <x:row r="118" ht="25" customHeight="1">
      <x:c r="A118" s="5" t="str">
        <x:v>G05-03</x:v>
      </x:c>
      <x:c r="B118" s="5" t="str">
        <x:v>G05</x:v>
      </x:c>
      <x:c r="C118" s="5" t="str">
        <x:v>BBD</x:v>
      </x:c>
      <x:c r="D118" s="5" t="str">
        <x:v>拟合</x:v>
      </x:c>
      <x:c r="E118" s="5" t="str">
        <x:v>边点</x:v>
      </x:c>
      <x:c r="F118" s="5" t="str"/>
      <x:c r="G118" s="5" t="str">
        <x:v>己酸乙酯</x:v>
      </x:c>
      <x:c r="H118" s="5" t="str">
        <x:v>二甲基三硫醚</x:v>
      </x:c>
      <x:c r="I118" s="5" t="str">
        <x:v>β-大马酮</x:v>
      </x:c>
      <x:c r="J118" s="5" t="str">
        <x:v>对甲酚</x:v>
      </x:c>
      <x:c r="K118" s="5" t="str">
        <x:v>H</x:v>
      </x:c>
      <x:c r="L118" s="5" t="str">
        <x:v>L</x:v>
      </x:c>
      <x:c r="M118" s="5" t="str">
        <x:v>M</x:v>
      </x:c>
      <x:c r="N118" s="5" t="str">
        <x:v>M</x:v>
      </x:c>
      <x:c r="O118" s="6" t="n">
        <x:f>'浓度水平'!H31</x:f>
        <x:v>9622120</x:v>
      </x:c>
      <x:c r="P118" s="6" t="n">
        <x:f>'浓度水平'!F43</x:f>
        <x:v>0.72</x:v>
      </x:c>
      <x:c r="Q118" s="6" t="n">
        <x:f>'浓度水平'!G46</x:f>
        <x:v>5.42</x:v>
      </x:c>
      <x:c r="R118" s="6" t="n">
        <x:f>'浓度水平'!G21</x:f>
        <x:v>359.87</x:v>
      </x:c>
      <x:c r="S118" s="6" t="n">
        <x:f>O118/'浓度水平'!E31</x:f>
        <x:v>173998.5533453888</x:v>
      </x:c>
      <x:c r="T118" s="6" t="n">
        <x:f>P118/'浓度水平'!E43</x:f>
        <x:v>2</x:v>
      </x:c>
      <x:c r="U118" s="6" t="n">
        <x:f>Q118/'浓度水平'!E46</x:f>
        <x:v>45.166666666666664</x:v>
      </x:c>
      <x:c r="V118" s="6" t="n">
        <x:f>R118/'浓度水平'!E21</x:f>
        <x:v>2.1549101796407184</x:v>
      </x:c>
      <x:c r="W118" s="6" t="n">
        <x:f>O118*'固定基底'!$B$4/1000</x:f>
        <x:v>192442.4</x:v>
      </x:c>
      <x:c r="X118" s="6" t="n">
        <x:f>P118*'固定基底'!$B$4/1000</x:f>
        <x:v>0.014399999999999998</x:v>
      </x:c>
      <x:c r="Y118" s="6" t="n">
        <x:f>Q118*'固定基底'!$B$4/1000</x:f>
        <x:v>0.10840000000000001</x:v>
      </x:c>
      <x:c r="Z118" s="6" t="n">
        <x:f>R118*'固定基底'!$B$4/1000</x:f>
        <x:v>7.1974</x:v>
      </x:c>
      <x:c r="AA118" s="2" t="n">
        <x:f>'固定基底'!$C$7</x:f>
        <x:v>92796.92267241378</x:v>
      </x:c>
      <x:c r="AB118" s="2" t="n">
        <x:f>'固定基底'!$C$8</x:f>
        <x:v>104175.5097553192</x:v>
      </x:c>
      <x:c r="AC118" s="2" t="n">
        <x:f>'固定基底'!$E$7</x:f>
        <x:v>1855.9384534482756</x:v>
      </x:c>
      <x:c r="AD118" s="2" t="n">
        <x:f>'固定基底'!$E$8</x:f>
        <x:v>2083.510195106384</x:v>
      </x:c>
    </x:row>
    <x:row r="119" ht="25" customHeight="1">
      <x:c r="A119" s="5" t="str">
        <x:v>G05-04</x:v>
      </x:c>
      <x:c r="B119" s="5" t="str">
        <x:v>G05</x:v>
      </x:c>
      <x:c r="C119" s="5" t="str">
        <x:v>BBD</x:v>
      </x:c>
      <x:c r="D119" s="5" t="str">
        <x:v>拟合</x:v>
      </x:c>
      <x:c r="E119" s="5" t="str">
        <x:v>边点</x:v>
      </x:c>
      <x:c r="F119" s="5" t="str"/>
      <x:c r="G119" s="5" t="str">
        <x:v>己酸乙酯</x:v>
      </x:c>
      <x:c r="H119" s="5" t="str">
        <x:v>二甲基三硫醚</x:v>
      </x:c>
      <x:c r="I119" s="5" t="str">
        <x:v>β-大马酮</x:v>
      </x:c>
      <x:c r="J119" s="5" t="str">
        <x:v>对甲酚</x:v>
      </x:c>
      <x:c r="K119" s="5" t="str">
        <x:v>H</x:v>
      </x:c>
      <x:c r="L119" s="5" t="str">
        <x:v>H</x:v>
      </x:c>
      <x:c r="M119" s="5" t="str">
        <x:v>M</x:v>
      </x:c>
      <x:c r="N119" s="5" t="str">
        <x:v>M</x:v>
      </x:c>
      <x:c r="O119" s="6" t="n">
        <x:f>'浓度水平'!H31</x:f>
        <x:v>9622120</x:v>
      </x:c>
      <x:c r="P119" s="6" t="n">
        <x:f>'浓度水平'!H43</x:f>
        <x:v>4201.44</x:v>
      </x:c>
      <x:c r="Q119" s="6" t="n">
        <x:f>'浓度水平'!G46</x:f>
        <x:v>5.42</x:v>
      </x:c>
      <x:c r="R119" s="6" t="n">
        <x:f>'浓度水平'!G21</x:f>
        <x:v>359.87</x:v>
      </x:c>
      <x:c r="S119" s="6" t="n">
        <x:f>O119/'浓度水平'!E31</x:f>
        <x:v>173998.5533453888</x:v>
      </x:c>
      <x:c r="T119" s="6" t="n">
        <x:f>P119/'浓度水平'!E43</x:f>
        <x:v>11670.666666666666</x:v>
      </x:c>
      <x:c r="U119" s="6" t="n">
        <x:f>Q119/'浓度水平'!E46</x:f>
        <x:v>45.166666666666664</x:v>
      </x:c>
      <x:c r="V119" s="6" t="n">
        <x:f>R119/'浓度水平'!E21</x:f>
        <x:v>2.1549101796407184</x:v>
      </x:c>
      <x:c r="W119" s="6" t="n">
        <x:f>O119*'固定基底'!$B$4/1000</x:f>
        <x:v>192442.4</x:v>
      </x:c>
      <x:c r="X119" s="6" t="n">
        <x:f>P119*'固定基底'!$B$4/1000</x:f>
        <x:v>84.02879999999999</x:v>
      </x:c>
      <x:c r="Y119" s="6" t="n">
        <x:f>Q119*'固定基底'!$B$4/1000</x:f>
        <x:v>0.10840000000000001</x:v>
      </x:c>
      <x:c r="Z119" s="6" t="n">
        <x:f>R119*'固定基底'!$B$4/1000</x:f>
        <x:v>7.1974</x:v>
      </x:c>
      <x:c r="AA119" s="2" t="n">
        <x:f>'固定基底'!$C$7</x:f>
        <x:v>92796.92267241378</x:v>
      </x:c>
      <x:c r="AB119" s="2" t="n">
        <x:f>'固定基底'!$C$8</x:f>
        <x:v>104175.5097553192</x:v>
      </x:c>
      <x:c r="AC119" s="2" t="n">
        <x:f>'固定基底'!$E$7</x:f>
        <x:v>1855.9384534482756</x:v>
      </x:c>
      <x:c r="AD119" s="2" t="n">
        <x:f>'固定基底'!$E$8</x:f>
        <x:v>2083.510195106384</x:v>
      </x:c>
    </x:row>
    <x:row r="120" ht="25" customHeight="1">
      <x:c r="A120" s="5" t="str">
        <x:v>G05-05</x:v>
      </x:c>
      <x:c r="B120" s="5" t="str">
        <x:v>G05</x:v>
      </x:c>
      <x:c r="C120" s="5" t="str">
        <x:v>BBD</x:v>
      </x:c>
      <x:c r="D120" s="5" t="str">
        <x:v>拟合</x:v>
      </x:c>
      <x:c r="E120" s="5" t="str">
        <x:v>边点</x:v>
      </x:c>
      <x:c r="F120" s="5" t="str"/>
      <x:c r="G120" s="5" t="str">
        <x:v>己酸乙酯</x:v>
      </x:c>
      <x:c r="H120" s="5" t="str">
        <x:v>二甲基三硫醚</x:v>
      </x:c>
      <x:c r="I120" s="5" t="str">
        <x:v>β-大马酮</x:v>
      </x:c>
      <x:c r="J120" s="5" t="str">
        <x:v>对甲酚</x:v>
      </x:c>
      <x:c r="K120" s="5" t="str">
        <x:v>L</x:v>
      </x:c>
      <x:c r="L120" s="5" t="str">
        <x:v>M</x:v>
      </x:c>
      <x:c r="M120" s="5" t="str">
        <x:v>L</x:v>
      </x:c>
      <x:c r="N120" s="5" t="str">
        <x:v>M</x:v>
      </x:c>
      <x:c r="O120" s="6" t="n">
        <x:f>'浓度水平'!F31</x:f>
        <x:v>110.6</x:v>
      </x:c>
      <x:c r="P120" s="6" t="n">
        <x:f>'浓度水平'!G43</x:f>
        <x:v>623.375</x:v>
      </x:c>
      <x:c r="Q120" s="6" t="n">
        <x:f>'浓度水平'!F46</x:f>
        <x:v>0.24</x:v>
      </x:c>
      <x:c r="R120" s="6" t="n">
        <x:f>'浓度水平'!G21</x:f>
        <x:v>359.87</x:v>
      </x:c>
      <x:c r="S120" s="6" t="n">
        <x:f>O120/'浓度水平'!E31</x:f>
        <x:v>2</x:v>
      </x:c>
      <x:c r="T120" s="6" t="n">
        <x:f>P120/'浓度水平'!E43</x:f>
        <x:v>1731.5972222222224</x:v>
      </x:c>
      <x:c r="U120" s="6" t="n">
        <x:f>Q120/'浓度水平'!E46</x:f>
        <x:v>2</x:v>
      </x:c>
      <x:c r="V120" s="6" t="n">
        <x:f>R120/'浓度水平'!E21</x:f>
        <x:v>2.1549101796407184</x:v>
      </x:c>
      <x:c r="W120" s="6" t="n">
        <x:f>O120*'固定基底'!$B$4/1000</x:f>
        <x:v>2.212</x:v>
      </x:c>
      <x:c r="X120" s="6" t="n">
        <x:f>P120*'固定基底'!$B$4/1000</x:f>
        <x:v>12.4675</x:v>
      </x:c>
      <x:c r="Y120" s="6" t="n">
        <x:f>Q120*'固定基底'!$B$4/1000</x:f>
        <x:v>0.0048</x:v>
      </x:c>
      <x:c r="Z120" s="6" t="n">
        <x:f>R120*'固定基底'!$B$4/1000</x:f>
        <x:v>7.1974</x:v>
      </x:c>
      <x:c r="AA120" s="2" t="n">
        <x:f>'固定基底'!$C$7</x:f>
        <x:v>92796.92267241378</x:v>
      </x:c>
      <x:c r="AB120" s="2" t="n">
        <x:f>'固定基底'!$C$8</x:f>
        <x:v>104175.5097553192</x:v>
      </x:c>
      <x:c r="AC120" s="2" t="n">
        <x:f>'固定基底'!$E$7</x:f>
        <x:v>1855.9384534482756</x:v>
      </x:c>
      <x:c r="AD120" s="2" t="n">
        <x:f>'固定基底'!$E$8</x:f>
        <x:v>2083.510195106384</x:v>
      </x:c>
    </x:row>
    <x:row r="121" ht="25" customHeight="1">
      <x:c r="A121" s="5" t="str">
        <x:v>G05-06</x:v>
      </x:c>
      <x:c r="B121" s="5" t="str">
        <x:v>G05</x:v>
      </x:c>
      <x:c r="C121" s="5" t="str">
        <x:v>BBD</x:v>
      </x:c>
      <x:c r="D121" s="5" t="str">
        <x:v>拟合</x:v>
      </x:c>
      <x:c r="E121" s="5" t="str">
        <x:v>边点</x:v>
      </x:c>
      <x:c r="F121" s="5" t="str"/>
      <x:c r="G121" s="5" t="str">
        <x:v>己酸乙酯</x:v>
      </x:c>
      <x:c r="H121" s="5" t="str">
        <x:v>二甲基三硫醚</x:v>
      </x:c>
      <x:c r="I121" s="5" t="str">
        <x:v>β-大马酮</x:v>
      </x:c>
      <x:c r="J121" s="5" t="str">
        <x:v>对甲酚</x:v>
      </x:c>
      <x:c r="K121" s="5" t="str">
        <x:v>L</x:v>
      </x:c>
      <x:c r="L121" s="5" t="str">
        <x:v>M</x:v>
      </x:c>
      <x:c r="M121" s="5" t="str">
        <x:v>H</x:v>
      </x:c>
      <x:c r="N121" s="5" t="str">
        <x:v>M</x:v>
      </x:c>
      <x:c r="O121" s="6" t="n">
        <x:f>'浓度水平'!F31</x:f>
        <x:v>110.6</x:v>
      </x:c>
      <x:c r="P121" s="6" t="n">
        <x:f>'浓度水平'!G43</x:f>
        <x:v>623.375</x:v>
      </x:c>
      <x:c r="Q121" s="6" t="n">
        <x:f>'浓度水平'!H46</x:f>
        <x:v>60.76</x:v>
      </x:c>
      <x:c r="R121" s="6" t="n">
        <x:f>'浓度水平'!G21</x:f>
        <x:v>359.87</x:v>
      </x:c>
      <x:c r="S121" s="6" t="n">
        <x:f>O121/'浓度水平'!E31</x:f>
        <x:v>2</x:v>
      </x:c>
      <x:c r="T121" s="6" t="n">
        <x:f>P121/'浓度水平'!E43</x:f>
        <x:v>1731.5972222222224</x:v>
      </x:c>
      <x:c r="U121" s="6" t="n">
        <x:f>Q121/'浓度水平'!E46</x:f>
        <x:v>506.3333333333333</x:v>
      </x:c>
      <x:c r="V121" s="6" t="n">
        <x:f>R121/'浓度水平'!E21</x:f>
        <x:v>2.1549101796407184</x:v>
      </x:c>
      <x:c r="W121" s="6" t="n">
        <x:f>O121*'固定基底'!$B$4/1000</x:f>
        <x:v>2.212</x:v>
      </x:c>
      <x:c r="X121" s="6" t="n">
        <x:f>P121*'固定基底'!$B$4/1000</x:f>
        <x:v>12.4675</x:v>
      </x:c>
      <x:c r="Y121" s="6" t="n">
        <x:f>Q121*'固定基底'!$B$4/1000</x:f>
        <x:v>1.2152</x:v>
      </x:c>
      <x:c r="Z121" s="6" t="n">
        <x:f>R121*'固定基底'!$B$4/1000</x:f>
        <x:v>7.1974</x:v>
      </x:c>
      <x:c r="AA121" s="2" t="n">
        <x:f>'固定基底'!$C$7</x:f>
        <x:v>92796.92267241378</x:v>
      </x:c>
      <x:c r="AB121" s="2" t="n">
        <x:f>'固定基底'!$C$8</x:f>
        <x:v>104175.5097553192</x:v>
      </x:c>
      <x:c r="AC121" s="2" t="n">
        <x:f>'固定基底'!$E$7</x:f>
        <x:v>1855.9384534482756</x:v>
      </x:c>
      <x:c r="AD121" s="2" t="n">
        <x:f>'固定基底'!$E$8</x:f>
        <x:v>2083.510195106384</x:v>
      </x:c>
    </x:row>
    <x:row r="122" ht="25" customHeight="1">
      <x:c r="A122" s="5" t="str">
        <x:v>G05-07</x:v>
      </x:c>
      <x:c r="B122" s="5" t="str">
        <x:v>G05</x:v>
      </x:c>
      <x:c r="C122" s="5" t="str">
        <x:v>BBD</x:v>
      </x:c>
      <x:c r="D122" s="5" t="str">
        <x:v>拟合</x:v>
      </x:c>
      <x:c r="E122" s="5" t="str">
        <x:v>边点</x:v>
      </x:c>
      <x:c r="F122" s="5" t="str"/>
      <x:c r="G122" s="5" t="str">
        <x:v>己酸乙酯</x:v>
      </x:c>
      <x:c r="H122" s="5" t="str">
        <x:v>二甲基三硫醚</x:v>
      </x:c>
      <x:c r="I122" s="5" t="str">
        <x:v>β-大马酮</x:v>
      </x:c>
      <x:c r="J122" s="5" t="str">
        <x:v>对甲酚</x:v>
      </x:c>
      <x:c r="K122" s="5" t="str">
        <x:v>H</x:v>
      </x:c>
      <x:c r="L122" s="5" t="str">
        <x:v>M</x:v>
      </x:c>
      <x:c r="M122" s="5" t="str">
        <x:v>L</x:v>
      </x:c>
      <x:c r="N122" s="5" t="str">
        <x:v>M</x:v>
      </x:c>
      <x:c r="O122" s="6" t="n">
        <x:f>'浓度水平'!H31</x:f>
        <x:v>9622120</x:v>
      </x:c>
      <x:c r="P122" s="6" t="n">
        <x:f>'浓度水平'!G43</x:f>
        <x:v>623.375</x:v>
      </x:c>
      <x:c r="Q122" s="6" t="n">
        <x:f>'浓度水平'!F46</x:f>
        <x:v>0.24</x:v>
      </x:c>
      <x:c r="R122" s="6" t="n">
        <x:f>'浓度水平'!G21</x:f>
        <x:v>359.87</x:v>
      </x:c>
      <x:c r="S122" s="6" t="n">
        <x:f>O122/'浓度水平'!E31</x:f>
        <x:v>173998.5533453888</x:v>
      </x:c>
      <x:c r="T122" s="6" t="n">
        <x:f>P122/'浓度水平'!E43</x:f>
        <x:v>1731.5972222222224</x:v>
      </x:c>
      <x:c r="U122" s="6" t="n">
        <x:f>Q122/'浓度水平'!E46</x:f>
        <x:v>2</x:v>
      </x:c>
      <x:c r="V122" s="6" t="n">
        <x:f>R122/'浓度水平'!E21</x:f>
        <x:v>2.1549101796407184</x:v>
      </x:c>
      <x:c r="W122" s="6" t="n">
        <x:f>O122*'固定基底'!$B$4/1000</x:f>
        <x:v>192442.4</x:v>
      </x:c>
      <x:c r="X122" s="6" t="n">
        <x:f>P122*'固定基底'!$B$4/1000</x:f>
        <x:v>12.4675</x:v>
      </x:c>
      <x:c r="Y122" s="6" t="n">
        <x:f>Q122*'固定基底'!$B$4/1000</x:f>
        <x:v>0.0048</x:v>
      </x:c>
      <x:c r="Z122" s="6" t="n">
        <x:f>R122*'固定基底'!$B$4/1000</x:f>
        <x:v>7.1974</x:v>
      </x:c>
      <x:c r="AA122" s="2" t="n">
        <x:f>'固定基底'!$C$7</x:f>
        <x:v>92796.92267241378</x:v>
      </x:c>
      <x:c r="AB122" s="2" t="n">
        <x:f>'固定基底'!$C$8</x:f>
        <x:v>104175.5097553192</x:v>
      </x:c>
      <x:c r="AC122" s="2" t="n">
        <x:f>'固定基底'!$E$7</x:f>
        <x:v>1855.9384534482756</x:v>
      </x:c>
      <x:c r="AD122" s="2" t="n">
        <x:f>'固定基底'!$E$8</x:f>
        <x:v>2083.510195106384</x:v>
      </x:c>
    </x:row>
    <x:row r="123" ht="25" customHeight="1">
      <x:c r="A123" s="5" t="str">
        <x:v>G05-08</x:v>
      </x:c>
      <x:c r="B123" s="5" t="str">
        <x:v>G05</x:v>
      </x:c>
      <x:c r="C123" s="5" t="str">
        <x:v>BBD</x:v>
      </x:c>
      <x:c r="D123" s="5" t="str">
        <x:v>拟合</x:v>
      </x:c>
      <x:c r="E123" s="5" t="str">
        <x:v>边点</x:v>
      </x:c>
      <x:c r="F123" s="5" t="str"/>
      <x:c r="G123" s="5" t="str">
        <x:v>己酸乙酯</x:v>
      </x:c>
      <x:c r="H123" s="5" t="str">
        <x:v>二甲基三硫醚</x:v>
      </x:c>
      <x:c r="I123" s="5" t="str">
        <x:v>β-大马酮</x:v>
      </x:c>
      <x:c r="J123" s="5" t="str">
        <x:v>对甲酚</x:v>
      </x:c>
      <x:c r="K123" s="5" t="str">
        <x:v>H</x:v>
      </x:c>
      <x:c r="L123" s="5" t="str">
        <x:v>M</x:v>
      </x:c>
      <x:c r="M123" s="5" t="str">
        <x:v>H</x:v>
      </x:c>
      <x:c r="N123" s="5" t="str">
        <x:v>M</x:v>
      </x:c>
      <x:c r="O123" s="6" t="n">
        <x:f>'浓度水平'!H31</x:f>
        <x:v>9622120</x:v>
      </x:c>
      <x:c r="P123" s="6" t="n">
        <x:f>'浓度水平'!G43</x:f>
        <x:v>623.375</x:v>
      </x:c>
      <x:c r="Q123" s="6" t="n">
        <x:f>'浓度水平'!H46</x:f>
        <x:v>60.76</x:v>
      </x:c>
      <x:c r="R123" s="6" t="n">
        <x:f>'浓度水平'!G21</x:f>
        <x:v>359.87</x:v>
      </x:c>
      <x:c r="S123" s="6" t="n">
        <x:f>O123/'浓度水平'!E31</x:f>
        <x:v>173998.5533453888</x:v>
      </x:c>
      <x:c r="T123" s="6" t="n">
        <x:f>P123/'浓度水平'!E43</x:f>
        <x:v>1731.5972222222224</x:v>
      </x:c>
      <x:c r="U123" s="6" t="n">
        <x:f>Q123/'浓度水平'!E46</x:f>
        <x:v>506.3333333333333</x:v>
      </x:c>
      <x:c r="V123" s="6" t="n">
        <x:f>R123/'浓度水平'!E21</x:f>
        <x:v>2.1549101796407184</x:v>
      </x:c>
      <x:c r="W123" s="6" t="n">
        <x:f>O123*'固定基底'!$B$4/1000</x:f>
        <x:v>192442.4</x:v>
      </x:c>
      <x:c r="X123" s="6" t="n">
        <x:f>P123*'固定基底'!$B$4/1000</x:f>
        <x:v>12.4675</x:v>
      </x:c>
      <x:c r="Y123" s="6" t="n">
        <x:f>Q123*'固定基底'!$B$4/1000</x:f>
        <x:v>1.2152</x:v>
      </x:c>
      <x:c r="Z123" s="6" t="n">
        <x:f>R123*'固定基底'!$B$4/1000</x:f>
        <x:v>7.1974</x:v>
      </x:c>
      <x:c r="AA123" s="2" t="n">
        <x:f>'固定基底'!$C$7</x:f>
        <x:v>92796.92267241378</x:v>
      </x:c>
      <x:c r="AB123" s="2" t="n">
        <x:f>'固定基底'!$C$8</x:f>
        <x:v>104175.5097553192</x:v>
      </x:c>
      <x:c r="AC123" s="2" t="n">
        <x:f>'固定基底'!$E$7</x:f>
        <x:v>1855.9384534482756</x:v>
      </x:c>
      <x:c r="AD123" s="2" t="n">
        <x:f>'固定基底'!$E$8</x:f>
        <x:v>2083.510195106384</x:v>
      </x:c>
    </x:row>
    <x:row r="124" ht="25" customHeight="1">
      <x:c r="A124" s="5" t="str">
        <x:v>G05-09</x:v>
      </x:c>
      <x:c r="B124" s="5" t="str">
        <x:v>G05</x:v>
      </x:c>
      <x:c r="C124" s="5" t="str">
        <x:v>BBD</x:v>
      </x:c>
      <x:c r="D124" s="5" t="str">
        <x:v>拟合</x:v>
      </x:c>
      <x:c r="E124" s="5" t="str">
        <x:v>边点</x:v>
      </x:c>
      <x:c r="F124" s="5" t="str"/>
      <x:c r="G124" s="5" t="str">
        <x:v>己酸乙酯</x:v>
      </x:c>
      <x:c r="H124" s="5" t="str">
        <x:v>二甲基三硫醚</x:v>
      </x:c>
      <x:c r="I124" s="5" t="str">
        <x:v>β-大马酮</x:v>
      </x:c>
      <x:c r="J124" s="5" t="str">
        <x:v>对甲酚</x:v>
      </x:c>
      <x:c r="K124" s="5" t="str">
        <x:v>L</x:v>
      </x:c>
      <x:c r="L124" s="5" t="str">
        <x:v>M</x:v>
      </x:c>
      <x:c r="M124" s="5" t="str">
        <x:v>M</x:v>
      </x:c>
      <x:c r="N124" s="5" t="str">
        <x:v>L</x:v>
      </x:c>
      <x:c r="O124" s="6" t="n">
        <x:f>'浓度水平'!F31</x:f>
        <x:v>110.6</x:v>
      </x:c>
      <x:c r="P124" s="6" t="n">
        <x:f>'浓度水平'!G43</x:f>
        <x:v>623.375</x:v>
      </x:c>
      <x:c r="Q124" s="6" t="n">
        <x:f>'浓度水平'!G46</x:f>
        <x:v>5.42</x:v>
      </x:c>
      <x:c r="R124" s="6" t="n">
        <x:f>'浓度水平'!F21</x:f>
        <x:v>334</x:v>
      </x:c>
      <x:c r="S124" s="6" t="n">
        <x:f>O124/'浓度水平'!E31</x:f>
        <x:v>2</x:v>
      </x:c>
      <x:c r="T124" s="6" t="n">
        <x:f>P124/'浓度水平'!E43</x:f>
        <x:v>1731.5972222222224</x:v>
      </x:c>
      <x:c r="U124" s="6" t="n">
        <x:f>Q124/'浓度水平'!E46</x:f>
        <x:v>45.166666666666664</x:v>
      </x:c>
      <x:c r="V124" s="6" t="n">
        <x:f>R124/'浓度水平'!E21</x:f>
        <x:v>2</x:v>
      </x:c>
      <x:c r="W124" s="6" t="n">
        <x:f>O124*'固定基底'!$B$4/1000</x:f>
        <x:v>2.212</x:v>
      </x:c>
      <x:c r="X124" s="6" t="n">
        <x:f>P124*'固定基底'!$B$4/1000</x:f>
        <x:v>12.4675</x:v>
      </x:c>
      <x:c r="Y124" s="6" t="n">
        <x:f>Q124*'固定基底'!$B$4/1000</x:f>
        <x:v>0.10840000000000001</x:v>
      </x:c>
      <x:c r="Z124" s="6" t="n">
        <x:f>R124*'固定基底'!$B$4/1000</x:f>
        <x:v>6.68</x:v>
      </x:c>
      <x:c r="AA124" s="2" t="n">
        <x:f>'固定基底'!$C$7</x:f>
        <x:v>92796.92267241378</x:v>
      </x:c>
      <x:c r="AB124" s="2" t="n">
        <x:f>'固定基底'!$C$8</x:f>
        <x:v>104175.5097553192</x:v>
      </x:c>
      <x:c r="AC124" s="2" t="n">
        <x:f>'固定基底'!$E$7</x:f>
        <x:v>1855.9384534482756</x:v>
      </x:c>
      <x:c r="AD124" s="2" t="n">
        <x:f>'固定基底'!$E$8</x:f>
        <x:v>2083.510195106384</x:v>
      </x:c>
    </x:row>
    <x:row r="125" ht="25" customHeight="1">
      <x:c r="A125" s="5" t="str">
        <x:v>G05-10</x:v>
      </x:c>
      <x:c r="B125" s="5" t="str">
        <x:v>G05</x:v>
      </x:c>
      <x:c r="C125" s="5" t="str">
        <x:v>BBD</x:v>
      </x:c>
      <x:c r="D125" s="5" t="str">
        <x:v>拟合</x:v>
      </x:c>
      <x:c r="E125" s="5" t="str">
        <x:v>边点</x:v>
      </x:c>
      <x:c r="F125" s="5" t="str"/>
      <x:c r="G125" s="5" t="str">
        <x:v>己酸乙酯</x:v>
      </x:c>
      <x:c r="H125" s="5" t="str">
        <x:v>二甲基三硫醚</x:v>
      </x:c>
      <x:c r="I125" s="5" t="str">
        <x:v>β-大马酮</x:v>
      </x:c>
      <x:c r="J125" s="5" t="str">
        <x:v>对甲酚</x:v>
      </x:c>
      <x:c r="K125" s="5" t="str">
        <x:v>L</x:v>
      </x:c>
      <x:c r="L125" s="5" t="str">
        <x:v>M</x:v>
      </x:c>
      <x:c r="M125" s="5" t="str">
        <x:v>M</x:v>
      </x:c>
      <x:c r="N125" s="5" t="str">
        <x:v>H</x:v>
      </x:c>
      <x:c r="O125" s="6" t="n">
        <x:f>'浓度水平'!F31</x:f>
        <x:v>110.6</x:v>
      </x:c>
      <x:c r="P125" s="6" t="n">
        <x:f>'浓度水平'!G43</x:f>
        <x:v>623.375</x:v>
      </x:c>
      <x:c r="Q125" s="6" t="n">
        <x:f>'浓度水平'!G46</x:f>
        <x:v>5.42</x:v>
      </x:c>
      <x:c r="R125" s="6" t="n">
        <x:f>'浓度水平'!H21</x:f>
        <x:v>6914</x:v>
      </x:c>
      <x:c r="S125" s="6" t="n">
        <x:f>O125/'浓度水平'!E31</x:f>
        <x:v>2</x:v>
      </x:c>
      <x:c r="T125" s="6" t="n">
        <x:f>P125/'浓度水平'!E43</x:f>
        <x:v>1731.5972222222224</x:v>
      </x:c>
      <x:c r="U125" s="6" t="n">
        <x:f>Q125/'浓度水平'!E46</x:f>
        <x:v>45.166666666666664</x:v>
      </x:c>
      <x:c r="V125" s="6" t="n">
        <x:f>R125/'浓度水平'!E21</x:f>
        <x:v>41.40119760479042</x:v>
      </x:c>
      <x:c r="W125" s="6" t="n">
        <x:f>O125*'固定基底'!$B$4/1000</x:f>
        <x:v>2.212</x:v>
      </x:c>
      <x:c r="X125" s="6" t="n">
        <x:f>P125*'固定基底'!$B$4/1000</x:f>
        <x:v>12.4675</x:v>
      </x:c>
      <x:c r="Y125" s="6" t="n">
        <x:f>Q125*'固定基底'!$B$4/1000</x:f>
        <x:v>0.10840000000000001</x:v>
      </x:c>
      <x:c r="Z125" s="6" t="n">
        <x:f>R125*'固定基底'!$B$4/1000</x:f>
        <x:v>138.28</x:v>
      </x:c>
      <x:c r="AA125" s="2" t="n">
        <x:f>'固定基底'!$C$7</x:f>
        <x:v>92796.92267241378</x:v>
      </x:c>
      <x:c r="AB125" s="2" t="n">
        <x:f>'固定基底'!$C$8</x:f>
        <x:v>104175.5097553192</x:v>
      </x:c>
      <x:c r="AC125" s="2" t="n">
        <x:f>'固定基底'!$E$7</x:f>
        <x:v>1855.9384534482756</x:v>
      </x:c>
      <x:c r="AD125" s="2" t="n">
        <x:f>'固定基底'!$E$8</x:f>
        <x:v>2083.510195106384</x:v>
      </x:c>
    </x:row>
    <x:row r="126" ht="25" customHeight="1">
      <x:c r="A126" s="5" t="str">
        <x:v>G05-11</x:v>
      </x:c>
      <x:c r="B126" s="5" t="str">
        <x:v>G05</x:v>
      </x:c>
      <x:c r="C126" s="5" t="str">
        <x:v>BBD</x:v>
      </x:c>
      <x:c r="D126" s="5" t="str">
        <x:v>拟合</x:v>
      </x:c>
      <x:c r="E126" s="5" t="str">
        <x:v>边点</x:v>
      </x:c>
      <x:c r="F126" s="5" t="str"/>
      <x:c r="G126" s="5" t="str">
        <x:v>己酸乙酯</x:v>
      </x:c>
      <x:c r="H126" s="5" t="str">
        <x:v>二甲基三硫醚</x:v>
      </x:c>
      <x:c r="I126" s="5" t="str">
        <x:v>β-大马酮</x:v>
      </x:c>
      <x:c r="J126" s="5" t="str">
        <x:v>对甲酚</x:v>
      </x:c>
      <x:c r="K126" s="5" t="str">
        <x:v>H</x:v>
      </x:c>
      <x:c r="L126" s="5" t="str">
        <x:v>M</x:v>
      </x:c>
      <x:c r="M126" s="5" t="str">
        <x:v>M</x:v>
      </x:c>
      <x:c r="N126" s="5" t="str">
        <x:v>L</x:v>
      </x:c>
      <x:c r="O126" s="6" t="n">
        <x:f>'浓度水平'!H31</x:f>
        <x:v>9622120</x:v>
      </x:c>
      <x:c r="P126" s="6" t="n">
        <x:f>'浓度水平'!G43</x:f>
        <x:v>623.375</x:v>
      </x:c>
      <x:c r="Q126" s="6" t="n">
        <x:f>'浓度水平'!G46</x:f>
        <x:v>5.42</x:v>
      </x:c>
      <x:c r="R126" s="6" t="n">
        <x:f>'浓度水平'!F21</x:f>
        <x:v>334</x:v>
      </x:c>
      <x:c r="S126" s="6" t="n">
        <x:f>O126/'浓度水平'!E31</x:f>
        <x:v>173998.5533453888</x:v>
      </x:c>
      <x:c r="T126" s="6" t="n">
        <x:f>P126/'浓度水平'!E43</x:f>
        <x:v>1731.5972222222224</x:v>
      </x:c>
      <x:c r="U126" s="6" t="n">
        <x:f>Q126/'浓度水平'!E46</x:f>
        <x:v>45.166666666666664</x:v>
      </x:c>
      <x:c r="V126" s="6" t="n">
        <x:f>R126/'浓度水平'!E21</x:f>
        <x:v>2</x:v>
      </x:c>
      <x:c r="W126" s="6" t="n">
        <x:f>O126*'固定基底'!$B$4/1000</x:f>
        <x:v>192442.4</x:v>
      </x:c>
      <x:c r="X126" s="6" t="n">
        <x:f>P126*'固定基底'!$B$4/1000</x:f>
        <x:v>12.4675</x:v>
      </x:c>
      <x:c r="Y126" s="6" t="n">
        <x:f>Q126*'固定基底'!$B$4/1000</x:f>
        <x:v>0.10840000000000001</x:v>
      </x:c>
      <x:c r="Z126" s="6" t="n">
        <x:f>R126*'固定基底'!$B$4/1000</x:f>
        <x:v>6.68</x:v>
      </x:c>
      <x:c r="AA126" s="2" t="n">
        <x:f>'固定基底'!$C$7</x:f>
        <x:v>92796.92267241378</x:v>
      </x:c>
      <x:c r="AB126" s="2" t="n">
        <x:f>'固定基底'!$C$8</x:f>
        <x:v>104175.5097553192</x:v>
      </x:c>
      <x:c r="AC126" s="2" t="n">
        <x:f>'固定基底'!$E$7</x:f>
        <x:v>1855.9384534482756</x:v>
      </x:c>
      <x:c r="AD126" s="2" t="n">
        <x:f>'固定基底'!$E$8</x:f>
        <x:v>2083.510195106384</x:v>
      </x:c>
    </x:row>
    <x:row r="127" ht="25" customHeight="1">
      <x:c r="A127" s="5" t="str">
        <x:v>G05-12</x:v>
      </x:c>
      <x:c r="B127" s="5" t="str">
        <x:v>G05</x:v>
      </x:c>
      <x:c r="C127" s="5" t="str">
        <x:v>BBD</x:v>
      </x:c>
      <x:c r="D127" s="5" t="str">
        <x:v>拟合</x:v>
      </x:c>
      <x:c r="E127" s="5" t="str">
        <x:v>边点</x:v>
      </x:c>
      <x:c r="F127" s="5" t="str"/>
      <x:c r="G127" s="5" t="str">
        <x:v>己酸乙酯</x:v>
      </x:c>
      <x:c r="H127" s="5" t="str">
        <x:v>二甲基三硫醚</x:v>
      </x:c>
      <x:c r="I127" s="5" t="str">
        <x:v>β-大马酮</x:v>
      </x:c>
      <x:c r="J127" s="5" t="str">
        <x:v>对甲酚</x:v>
      </x:c>
      <x:c r="K127" s="5" t="str">
        <x:v>H</x:v>
      </x:c>
      <x:c r="L127" s="5" t="str">
        <x:v>M</x:v>
      </x:c>
      <x:c r="M127" s="5" t="str">
        <x:v>M</x:v>
      </x:c>
      <x:c r="N127" s="5" t="str">
        <x:v>H</x:v>
      </x:c>
      <x:c r="O127" s="6" t="n">
        <x:f>'浓度水平'!H31</x:f>
        <x:v>9622120</x:v>
      </x:c>
      <x:c r="P127" s="6" t="n">
        <x:f>'浓度水平'!G43</x:f>
        <x:v>623.375</x:v>
      </x:c>
      <x:c r="Q127" s="6" t="n">
        <x:f>'浓度水平'!G46</x:f>
        <x:v>5.42</x:v>
      </x:c>
      <x:c r="R127" s="6" t="n">
        <x:f>'浓度水平'!H21</x:f>
        <x:v>6914</x:v>
      </x:c>
      <x:c r="S127" s="6" t="n">
        <x:f>O127/'浓度水平'!E31</x:f>
        <x:v>173998.5533453888</x:v>
      </x:c>
      <x:c r="T127" s="6" t="n">
        <x:f>P127/'浓度水平'!E43</x:f>
        <x:v>1731.5972222222224</x:v>
      </x:c>
      <x:c r="U127" s="6" t="n">
        <x:f>Q127/'浓度水平'!E46</x:f>
        <x:v>45.166666666666664</x:v>
      </x:c>
      <x:c r="V127" s="6" t="n">
        <x:f>R127/'浓度水平'!E21</x:f>
        <x:v>41.40119760479042</x:v>
      </x:c>
      <x:c r="W127" s="6" t="n">
        <x:f>O127*'固定基底'!$B$4/1000</x:f>
        <x:v>192442.4</x:v>
      </x:c>
      <x:c r="X127" s="6" t="n">
        <x:f>P127*'固定基底'!$B$4/1000</x:f>
        <x:v>12.4675</x:v>
      </x:c>
      <x:c r="Y127" s="6" t="n">
        <x:f>Q127*'固定基底'!$B$4/1000</x:f>
        <x:v>0.10840000000000001</x:v>
      </x:c>
      <x:c r="Z127" s="6" t="n">
        <x:f>R127*'固定基底'!$B$4/1000</x:f>
        <x:v>138.28</x:v>
      </x:c>
      <x:c r="AA127" s="2" t="n">
        <x:f>'固定基底'!$C$7</x:f>
        <x:v>92796.92267241378</x:v>
      </x:c>
      <x:c r="AB127" s="2" t="n">
        <x:f>'固定基底'!$C$8</x:f>
        <x:v>104175.5097553192</x:v>
      </x:c>
      <x:c r="AC127" s="2" t="n">
        <x:f>'固定基底'!$E$7</x:f>
        <x:v>1855.9384534482756</x:v>
      </x:c>
      <x:c r="AD127" s="2" t="n">
        <x:f>'固定基底'!$E$8</x:f>
        <x:v>2083.510195106384</x:v>
      </x:c>
    </x:row>
    <x:row r="128" ht="25" customHeight="1">
      <x:c r="A128" s="5" t="str">
        <x:v>G05-13</x:v>
      </x:c>
      <x:c r="B128" s="5" t="str">
        <x:v>G05</x:v>
      </x:c>
      <x:c r="C128" s="5" t="str">
        <x:v>BBD</x:v>
      </x:c>
      <x:c r="D128" s="5" t="str">
        <x:v>拟合</x:v>
      </x:c>
      <x:c r="E128" s="5" t="str">
        <x:v>边点</x:v>
      </x:c>
      <x:c r="F128" s="5" t="str"/>
      <x:c r="G128" s="5" t="str">
        <x:v>己酸乙酯</x:v>
      </x:c>
      <x:c r="H128" s="5" t="str">
        <x:v>二甲基三硫醚</x:v>
      </x:c>
      <x:c r="I128" s="5" t="str">
        <x:v>β-大马酮</x:v>
      </x:c>
      <x:c r="J128" s="5" t="str">
        <x:v>对甲酚</x:v>
      </x:c>
      <x:c r="K128" s="5" t="str">
        <x:v>M</x:v>
      </x:c>
      <x:c r="L128" s="5" t="str">
        <x:v>L</x:v>
      </x:c>
      <x:c r="M128" s="5" t="str">
        <x:v>L</x:v>
      </x:c>
      <x:c r="N128" s="5" t="str">
        <x:v>M</x:v>
      </x:c>
      <x:c r="O128" s="6" t="n">
        <x:f>'浓度水平'!G31</x:f>
        <x:v>215340</x:v>
      </x:c>
      <x:c r="P128" s="6" t="n">
        <x:f>'浓度水平'!F43</x:f>
        <x:v>0.72</x:v>
      </x:c>
      <x:c r="Q128" s="6" t="n">
        <x:f>'浓度水平'!F46</x:f>
        <x:v>0.24</x:v>
      </x:c>
      <x:c r="R128" s="6" t="n">
        <x:f>'浓度水平'!G21</x:f>
        <x:v>359.87</x:v>
      </x:c>
      <x:c r="S128" s="6" t="n">
        <x:f>O128/'浓度水平'!E31</x:f>
        <x:v>3894.0325497287527</x:v>
      </x:c>
      <x:c r="T128" s="6" t="n">
        <x:f>P128/'浓度水平'!E43</x:f>
        <x:v>2</x:v>
      </x:c>
      <x:c r="U128" s="6" t="n">
        <x:f>Q128/'浓度水平'!E46</x:f>
        <x:v>2</x:v>
      </x:c>
      <x:c r="V128" s="6" t="n">
        <x:f>R128/'浓度水平'!E21</x:f>
        <x:v>2.1549101796407184</x:v>
      </x:c>
      <x:c r="W128" s="6" t="n">
        <x:f>O128*'固定基底'!$B$4/1000</x:f>
        <x:v>4306.8</x:v>
      </x:c>
      <x:c r="X128" s="6" t="n">
        <x:f>P128*'固定基底'!$B$4/1000</x:f>
        <x:v>0.014399999999999998</x:v>
      </x:c>
      <x:c r="Y128" s="6" t="n">
        <x:f>Q128*'固定基底'!$B$4/1000</x:f>
        <x:v>0.0048</x:v>
      </x:c>
      <x:c r="Z128" s="6" t="n">
        <x:f>R128*'固定基底'!$B$4/1000</x:f>
        <x:v>7.1974</x:v>
      </x:c>
      <x:c r="AA128" s="2" t="n">
        <x:f>'固定基底'!$C$7</x:f>
        <x:v>92796.92267241378</x:v>
      </x:c>
      <x:c r="AB128" s="2" t="n">
        <x:f>'固定基底'!$C$8</x:f>
        <x:v>104175.5097553192</x:v>
      </x:c>
      <x:c r="AC128" s="2" t="n">
        <x:f>'固定基底'!$E$7</x:f>
        <x:v>1855.9384534482756</x:v>
      </x:c>
      <x:c r="AD128" s="2" t="n">
        <x:f>'固定基底'!$E$8</x:f>
        <x:v>2083.510195106384</x:v>
      </x:c>
    </x:row>
    <x:row r="129" ht="25" customHeight="1">
      <x:c r="A129" s="5" t="str">
        <x:v>G05-14</x:v>
      </x:c>
      <x:c r="B129" s="5" t="str">
        <x:v>G05</x:v>
      </x:c>
      <x:c r="C129" s="5" t="str">
        <x:v>BBD</x:v>
      </x:c>
      <x:c r="D129" s="5" t="str">
        <x:v>拟合</x:v>
      </x:c>
      <x:c r="E129" s="5" t="str">
        <x:v>边点</x:v>
      </x:c>
      <x:c r="F129" s="5" t="str"/>
      <x:c r="G129" s="5" t="str">
        <x:v>己酸乙酯</x:v>
      </x:c>
      <x:c r="H129" s="5" t="str">
        <x:v>二甲基三硫醚</x:v>
      </x:c>
      <x:c r="I129" s="5" t="str">
        <x:v>β-大马酮</x:v>
      </x:c>
      <x:c r="J129" s="5" t="str">
        <x:v>对甲酚</x:v>
      </x:c>
      <x:c r="K129" s="5" t="str">
        <x:v>M</x:v>
      </x:c>
      <x:c r="L129" s="5" t="str">
        <x:v>L</x:v>
      </x:c>
      <x:c r="M129" s="5" t="str">
        <x:v>H</x:v>
      </x:c>
      <x:c r="N129" s="5" t="str">
        <x:v>M</x:v>
      </x:c>
      <x:c r="O129" s="6" t="n">
        <x:f>'浓度水平'!G31</x:f>
        <x:v>215340</x:v>
      </x:c>
      <x:c r="P129" s="6" t="n">
        <x:f>'浓度水平'!F43</x:f>
        <x:v>0.72</x:v>
      </x:c>
      <x:c r="Q129" s="6" t="n">
        <x:f>'浓度水平'!H46</x:f>
        <x:v>60.76</x:v>
      </x:c>
      <x:c r="R129" s="6" t="n">
        <x:f>'浓度水平'!G21</x:f>
        <x:v>359.87</x:v>
      </x:c>
      <x:c r="S129" s="6" t="n">
        <x:f>O129/'浓度水平'!E31</x:f>
        <x:v>3894.0325497287527</x:v>
      </x:c>
      <x:c r="T129" s="6" t="n">
        <x:f>P129/'浓度水平'!E43</x:f>
        <x:v>2</x:v>
      </x:c>
      <x:c r="U129" s="6" t="n">
        <x:f>Q129/'浓度水平'!E46</x:f>
        <x:v>506.3333333333333</x:v>
      </x:c>
      <x:c r="V129" s="6" t="n">
        <x:f>R129/'浓度水平'!E21</x:f>
        <x:v>2.1549101796407184</x:v>
      </x:c>
      <x:c r="W129" s="6" t="n">
        <x:f>O129*'固定基底'!$B$4/1000</x:f>
        <x:v>4306.8</x:v>
      </x:c>
      <x:c r="X129" s="6" t="n">
        <x:f>P129*'固定基底'!$B$4/1000</x:f>
        <x:v>0.014399999999999998</x:v>
      </x:c>
      <x:c r="Y129" s="6" t="n">
        <x:f>Q129*'固定基底'!$B$4/1000</x:f>
        <x:v>1.2152</x:v>
      </x:c>
      <x:c r="Z129" s="6" t="n">
        <x:f>R129*'固定基底'!$B$4/1000</x:f>
        <x:v>7.1974</x:v>
      </x:c>
      <x:c r="AA129" s="2" t="n">
        <x:f>'固定基底'!$C$7</x:f>
        <x:v>92796.92267241378</x:v>
      </x:c>
      <x:c r="AB129" s="2" t="n">
        <x:f>'固定基底'!$C$8</x:f>
        <x:v>104175.5097553192</x:v>
      </x:c>
      <x:c r="AC129" s="2" t="n">
        <x:f>'固定基底'!$E$7</x:f>
        <x:v>1855.9384534482756</x:v>
      </x:c>
      <x:c r="AD129" s="2" t="n">
        <x:f>'固定基底'!$E$8</x:f>
        <x:v>2083.510195106384</x:v>
      </x:c>
    </x:row>
    <x:row r="130" ht="25" customHeight="1">
      <x:c r="A130" s="5" t="str">
        <x:v>G05-15</x:v>
      </x:c>
      <x:c r="B130" s="5" t="str">
        <x:v>G05</x:v>
      </x:c>
      <x:c r="C130" s="5" t="str">
        <x:v>BBD</x:v>
      </x:c>
      <x:c r="D130" s="5" t="str">
        <x:v>拟合</x:v>
      </x:c>
      <x:c r="E130" s="5" t="str">
        <x:v>边点</x:v>
      </x:c>
      <x:c r="F130" s="5" t="str"/>
      <x:c r="G130" s="5" t="str">
        <x:v>己酸乙酯</x:v>
      </x:c>
      <x:c r="H130" s="5" t="str">
        <x:v>二甲基三硫醚</x:v>
      </x:c>
      <x:c r="I130" s="5" t="str">
        <x:v>β-大马酮</x:v>
      </x:c>
      <x:c r="J130" s="5" t="str">
        <x:v>对甲酚</x:v>
      </x:c>
      <x:c r="K130" s="5" t="str">
        <x:v>M</x:v>
      </x:c>
      <x:c r="L130" s="5" t="str">
        <x:v>H</x:v>
      </x:c>
      <x:c r="M130" s="5" t="str">
        <x:v>L</x:v>
      </x:c>
      <x:c r="N130" s="5" t="str">
        <x:v>M</x:v>
      </x:c>
      <x:c r="O130" s="6" t="n">
        <x:f>'浓度水平'!G31</x:f>
        <x:v>215340</x:v>
      </x:c>
      <x:c r="P130" s="6" t="n">
        <x:f>'浓度水平'!H43</x:f>
        <x:v>4201.44</x:v>
      </x:c>
      <x:c r="Q130" s="6" t="n">
        <x:f>'浓度水平'!F46</x:f>
        <x:v>0.24</x:v>
      </x:c>
      <x:c r="R130" s="6" t="n">
        <x:f>'浓度水平'!G21</x:f>
        <x:v>359.87</x:v>
      </x:c>
      <x:c r="S130" s="6" t="n">
        <x:f>O130/'浓度水平'!E31</x:f>
        <x:v>3894.0325497287527</x:v>
      </x:c>
      <x:c r="T130" s="6" t="n">
        <x:f>P130/'浓度水平'!E43</x:f>
        <x:v>11670.666666666666</x:v>
      </x:c>
      <x:c r="U130" s="6" t="n">
        <x:f>Q130/'浓度水平'!E46</x:f>
        <x:v>2</x:v>
      </x:c>
      <x:c r="V130" s="6" t="n">
        <x:f>R130/'浓度水平'!E21</x:f>
        <x:v>2.1549101796407184</x:v>
      </x:c>
      <x:c r="W130" s="6" t="n">
        <x:f>O130*'固定基底'!$B$4/1000</x:f>
        <x:v>4306.8</x:v>
      </x:c>
      <x:c r="X130" s="6" t="n">
        <x:f>P130*'固定基底'!$B$4/1000</x:f>
        <x:v>84.02879999999999</x:v>
      </x:c>
      <x:c r="Y130" s="6" t="n">
        <x:f>Q130*'固定基底'!$B$4/1000</x:f>
        <x:v>0.0048</x:v>
      </x:c>
      <x:c r="Z130" s="6" t="n">
        <x:f>R130*'固定基底'!$B$4/1000</x:f>
        <x:v>7.1974</x:v>
      </x:c>
      <x:c r="AA130" s="2" t="n">
        <x:f>'固定基底'!$C$7</x:f>
        <x:v>92796.92267241378</x:v>
      </x:c>
      <x:c r="AB130" s="2" t="n">
        <x:f>'固定基底'!$C$8</x:f>
        <x:v>104175.5097553192</x:v>
      </x:c>
      <x:c r="AC130" s="2" t="n">
        <x:f>'固定基底'!$E$7</x:f>
        <x:v>1855.9384534482756</x:v>
      </x:c>
      <x:c r="AD130" s="2" t="n">
        <x:f>'固定基底'!$E$8</x:f>
        <x:v>2083.510195106384</x:v>
      </x:c>
    </x:row>
    <x:row r="131" ht="25" customHeight="1">
      <x:c r="A131" s="5" t="str">
        <x:v>G05-16</x:v>
      </x:c>
      <x:c r="B131" s="5" t="str">
        <x:v>G05</x:v>
      </x:c>
      <x:c r="C131" s="5" t="str">
        <x:v>BBD</x:v>
      </x:c>
      <x:c r="D131" s="5" t="str">
        <x:v>拟合</x:v>
      </x:c>
      <x:c r="E131" s="5" t="str">
        <x:v>边点</x:v>
      </x:c>
      <x:c r="F131" s="5" t="str"/>
      <x:c r="G131" s="5" t="str">
        <x:v>己酸乙酯</x:v>
      </x:c>
      <x:c r="H131" s="5" t="str">
        <x:v>二甲基三硫醚</x:v>
      </x:c>
      <x:c r="I131" s="5" t="str">
        <x:v>β-大马酮</x:v>
      </x:c>
      <x:c r="J131" s="5" t="str">
        <x:v>对甲酚</x:v>
      </x:c>
      <x:c r="K131" s="5" t="str">
        <x:v>M</x:v>
      </x:c>
      <x:c r="L131" s="5" t="str">
        <x:v>H</x:v>
      </x:c>
      <x:c r="M131" s="5" t="str">
        <x:v>H</x:v>
      </x:c>
      <x:c r="N131" s="5" t="str">
        <x:v>M</x:v>
      </x:c>
      <x:c r="O131" s="6" t="n">
        <x:f>'浓度水平'!G31</x:f>
        <x:v>215340</x:v>
      </x:c>
      <x:c r="P131" s="6" t="n">
        <x:f>'浓度水平'!H43</x:f>
        <x:v>4201.44</x:v>
      </x:c>
      <x:c r="Q131" s="6" t="n">
        <x:f>'浓度水平'!H46</x:f>
        <x:v>60.76</x:v>
      </x:c>
      <x:c r="R131" s="6" t="n">
        <x:f>'浓度水平'!G21</x:f>
        <x:v>359.87</x:v>
      </x:c>
      <x:c r="S131" s="6" t="n">
        <x:f>O131/'浓度水平'!E31</x:f>
        <x:v>3894.0325497287527</x:v>
      </x:c>
      <x:c r="T131" s="6" t="n">
        <x:f>P131/'浓度水平'!E43</x:f>
        <x:v>11670.666666666666</x:v>
      </x:c>
      <x:c r="U131" s="6" t="n">
        <x:f>Q131/'浓度水平'!E46</x:f>
        <x:v>506.3333333333333</x:v>
      </x:c>
      <x:c r="V131" s="6" t="n">
        <x:f>R131/'浓度水平'!E21</x:f>
        <x:v>2.1549101796407184</x:v>
      </x:c>
      <x:c r="W131" s="6" t="n">
        <x:f>O131*'固定基底'!$B$4/1000</x:f>
        <x:v>4306.8</x:v>
      </x:c>
      <x:c r="X131" s="6" t="n">
        <x:f>P131*'固定基底'!$B$4/1000</x:f>
        <x:v>84.02879999999999</x:v>
      </x:c>
      <x:c r="Y131" s="6" t="n">
        <x:f>Q131*'固定基底'!$B$4/1000</x:f>
        <x:v>1.2152</x:v>
      </x:c>
      <x:c r="Z131" s="6" t="n">
        <x:f>R131*'固定基底'!$B$4/1000</x:f>
        <x:v>7.1974</x:v>
      </x:c>
      <x:c r="AA131" s="2" t="n">
        <x:f>'固定基底'!$C$7</x:f>
        <x:v>92796.92267241378</x:v>
      </x:c>
      <x:c r="AB131" s="2" t="n">
        <x:f>'固定基底'!$C$8</x:f>
        <x:v>104175.5097553192</x:v>
      </x:c>
      <x:c r="AC131" s="2" t="n">
        <x:f>'固定基底'!$E$7</x:f>
        <x:v>1855.9384534482756</x:v>
      </x:c>
      <x:c r="AD131" s="2" t="n">
        <x:f>'固定基底'!$E$8</x:f>
        <x:v>2083.510195106384</x:v>
      </x:c>
    </x:row>
    <x:row r="132" ht="25" customHeight="1">
      <x:c r="A132" s="5" t="str">
        <x:v>G05-17</x:v>
      </x:c>
      <x:c r="B132" s="5" t="str">
        <x:v>G05</x:v>
      </x:c>
      <x:c r="C132" s="5" t="str">
        <x:v>BBD</x:v>
      </x:c>
      <x:c r="D132" s="5" t="str">
        <x:v>拟合</x:v>
      </x:c>
      <x:c r="E132" s="5" t="str">
        <x:v>边点</x:v>
      </x:c>
      <x:c r="F132" s="5" t="str"/>
      <x:c r="G132" s="5" t="str">
        <x:v>己酸乙酯</x:v>
      </x:c>
      <x:c r="H132" s="5" t="str">
        <x:v>二甲基三硫醚</x:v>
      </x:c>
      <x:c r="I132" s="5" t="str">
        <x:v>β-大马酮</x:v>
      </x:c>
      <x:c r="J132" s="5" t="str">
        <x:v>对甲酚</x:v>
      </x:c>
      <x:c r="K132" s="5" t="str">
        <x:v>M</x:v>
      </x:c>
      <x:c r="L132" s="5" t="str">
        <x:v>L</x:v>
      </x:c>
      <x:c r="M132" s="5" t="str">
        <x:v>M</x:v>
      </x:c>
      <x:c r="N132" s="5" t="str">
        <x:v>L</x:v>
      </x:c>
      <x:c r="O132" s="6" t="n">
        <x:f>'浓度水平'!G31</x:f>
        <x:v>215340</x:v>
      </x:c>
      <x:c r="P132" s="6" t="n">
        <x:f>'浓度水平'!F43</x:f>
        <x:v>0.72</x:v>
      </x:c>
      <x:c r="Q132" s="6" t="n">
        <x:f>'浓度水平'!G46</x:f>
        <x:v>5.42</x:v>
      </x:c>
      <x:c r="R132" s="6" t="n">
        <x:f>'浓度水平'!F21</x:f>
        <x:v>334</x:v>
      </x:c>
      <x:c r="S132" s="6" t="n">
        <x:f>O132/'浓度水平'!E31</x:f>
        <x:v>3894.0325497287527</x:v>
      </x:c>
      <x:c r="T132" s="6" t="n">
        <x:f>P132/'浓度水平'!E43</x:f>
        <x:v>2</x:v>
      </x:c>
      <x:c r="U132" s="6" t="n">
        <x:f>Q132/'浓度水平'!E46</x:f>
        <x:v>45.166666666666664</x:v>
      </x:c>
      <x:c r="V132" s="6" t="n">
        <x:f>R132/'浓度水平'!E21</x:f>
        <x:v>2</x:v>
      </x:c>
      <x:c r="W132" s="6" t="n">
        <x:f>O132*'固定基底'!$B$4/1000</x:f>
        <x:v>4306.8</x:v>
      </x:c>
      <x:c r="X132" s="6" t="n">
        <x:f>P132*'固定基底'!$B$4/1000</x:f>
        <x:v>0.014399999999999998</x:v>
      </x:c>
      <x:c r="Y132" s="6" t="n">
        <x:f>Q132*'固定基底'!$B$4/1000</x:f>
        <x:v>0.10840000000000001</x:v>
      </x:c>
      <x:c r="Z132" s="6" t="n">
        <x:f>R132*'固定基底'!$B$4/1000</x:f>
        <x:v>6.68</x:v>
      </x:c>
      <x:c r="AA132" s="2" t="n">
        <x:f>'固定基底'!$C$7</x:f>
        <x:v>92796.92267241378</x:v>
      </x:c>
      <x:c r="AB132" s="2" t="n">
        <x:f>'固定基底'!$C$8</x:f>
        <x:v>104175.5097553192</x:v>
      </x:c>
      <x:c r="AC132" s="2" t="n">
        <x:f>'固定基底'!$E$7</x:f>
        <x:v>1855.9384534482756</x:v>
      </x:c>
      <x:c r="AD132" s="2" t="n">
        <x:f>'固定基底'!$E$8</x:f>
        <x:v>2083.510195106384</x:v>
      </x:c>
    </x:row>
    <x:row r="133" ht="25" customHeight="1">
      <x:c r="A133" s="5" t="str">
        <x:v>G05-18</x:v>
      </x:c>
      <x:c r="B133" s="5" t="str">
        <x:v>G05</x:v>
      </x:c>
      <x:c r="C133" s="5" t="str">
        <x:v>BBD</x:v>
      </x:c>
      <x:c r="D133" s="5" t="str">
        <x:v>拟合</x:v>
      </x:c>
      <x:c r="E133" s="5" t="str">
        <x:v>边点</x:v>
      </x:c>
      <x:c r="F133" s="5" t="str"/>
      <x:c r="G133" s="5" t="str">
        <x:v>己酸乙酯</x:v>
      </x:c>
      <x:c r="H133" s="5" t="str">
        <x:v>二甲基三硫醚</x:v>
      </x:c>
      <x:c r="I133" s="5" t="str">
        <x:v>β-大马酮</x:v>
      </x:c>
      <x:c r="J133" s="5" t="str">
        <x:v>对甲酚</x:v>
      </x:c>
      <x:c r="K133" s="5" t="str">
        <x:v>M</x:v>
      </x:c>
      <x:c r="L133" s="5" t="str">
        <x:v>L</x:v>
      </x:c>
      <x:c r="M133" s="5" t="str">
        <x:v>M</x:v>
      </x:c>
      <x:c r="N133" s="5" t="str">
        <x:v>H</x:v>
      </x:c>
      <x:c r="O133" s="6" t="n">
        <x:f>'浓度水平'!G31</x:f>
        <x:v>215340</x:v>
      </x:c>
      <x:c r="P133" s="6" t="n">
        <x:f>'浓度水平'!F43</x:f>
        <x:v>0.72</x:v>
      </x:c>
      <x:c r="Q133" s="6" t="n">
        <x:f>'浓度水平'!G46</x:f>
        <x:v>5.42</x:v>
      </x:c>
      <x:c r="R133" s="6" t="n">
        <x:f>'浓度水平'!H21</x:f>
        <x:v>6914</x:v>
      </x:c>
      <x:c r="S133" s="6" t="n">
        <x:f>O133/'浓度水平'!E31</x:f>
        <x:v>3894.0325497287527</x:v>
      </x:c>
      <x:c r="T133" s="6" t="n">
        <x:f>P133/'浓度水平'!E43</x:f>
        <x:v>2</x:v>
      </x:c>
      <x:c r="U133" s="6" t="n">
        <x:f>Q133/'浓度水平'!E46</x:f>
        <x:v>45.166666666666664</x:v>
      </x:c>
      <x:c r="V133" s="6" t="n">
        <x:f>R133/'浓度水平'!E21</x:f>
        <x:v>41.40119760479042</x:v>
      </x:c>
      <x:c r="W133" s="6" t="n">
        <x:f>O133*'固定基底'!$B$4/1000</x:f>
        <x:v>4306.8</x:v>
      </x:c>
      <x:c r="X133" s="6" t="n">
        <x:f>P133*'固定基底'!$B$4/1000</x:f>
        <x:v>0.014399999999999998</x:v>
      </x:c>
      <x:c r="Y133" s="6" t="n">
        <x:f>Q133*'固定基底'!$B$4/1000</x:f>
        <x:v>0.10840000000000001</x:v>
      </x:c>
      <x:c r="Z133" s="6" t="n">
        <x:f>R133*'固定基底'!$B$4/1000</x:f>
        <x:v>138.28</x:v>
      </x:c>
      <x:c r="AA133" s="2" t="n">
        <x:f>'固定基底'!$C$7</x:f>
        <x:v>92796.92267241378</x:v>
      </x:c>
      <x:c r="AB133" s="2" t="n">
        <x:f>'固定基底'!$C$8</x:f>
        <x:v>104175.5097553192</x:v>
      </x:c>
      <x:c r="AC133" s="2" t="n">
        <x:f>'固定基底'!$E$7</x:f>
        <x:v>1855.9384534482756</x:v>
      </x:c>
      <x:c r="AD133" s="2" t="n">
        <x:f>'固定基底'!$E$8</x:f>
        <x:v>2083.510195106384</x:v>
      </x:c>
    </x:row>
    <x:row r="134" ht="25" customHeight="1">
      <x:c r="A134" s="5" t="str">
        <x:v>G05-19</x:v>
      </x:c>
      <x:c r="B134" s="5" t="str">
        <x:v>G05</x:v>
      </x:c>
      <x:c r="C134" s="5" t="str">
        <x:v>BBD</x:v>
      </x:c>
      <x:c r="D134" s="5" t="str">
        <x:v>拟合</x:v>
      </x:c>
      <x:c r="E134" s="5" t="str">
        <x:v>边点</x:v>
      </x:c>
      <x:c r="F134" s="5" t="str"/>
      <x:c r="G134" s="5" t="str">
        <x:v>己酸乙酯</x:v>
      </x:c>
      <x:c r="H134" s="5" t="str">
        <x:v>二甲基三硫醚</x:v>
      </x:c>
      <x:c r="I134" s="5" t="str">
        <x:v>β-大马酮</x:v>
      </x:c>
      <x:c r="J134" s="5" t="str">
        <x:v>对甲酚</x:v>
      </x:c>
      <x:c r="K134" s="5" t="str">
        <x:v>M</x:v>
      </x:c>
      <x:c r="L134" s="5" t="str">
        <x:v>H</x:v>
      </x:c>
      <x:c r="M134" s="5" t="str">
        <x:v>M</x:v>
      </x:c>
      <x:c r="N134" s="5" t="str">
        <x:v>L</x:v>
      </x:c>
      <x:c r="O134" s="6" t="n">
        <x:f>'浓度水平'!G31</x:f>
        <x:v>215340</x:v>
      </x:c>
      <x:c r="P134" s="6" t="n">
        <x:f>'浓度水平'!H43</x:f>
        <x:v>4201.44</x:v>
      </x:c>
      <x:c r="Q134" s="6" t="n">
        <x:f>'浓度水平'!G46</x:f>
        <x:v>5.42</x:v>
      </x:c>
      <x:c r="R134" s="6" t="n">
        <x:f>'浓度水平'!F21</x:f>
        <x:v>334</x:v>
      </x:c>
      <x:c r="S134" s="6" t="n">
        <x:f>O134/'浓度水平'!E31</x:f>
        <x:v>3894.0325497287527</x:v>
      </x:c>
      <x:c r="T134" s="6" t="n">
        <x:f>P134/'浓度水平'!E43</x:f>
        <x:v>11670.666666666666</x:v>
      </x:c>
      <x:c r="U134" s="6" t="n">
        <x:f>Q134/'浓度水平'!E46</x:f>
        <x:v>45.166666666666664</x:v>
      </x:c>
      <x:c r="V134" s="6" t="n">
        <x:f>R134/'浓度水平'!E21</x:f>
        <x:v>2</x:v>
      </x:c>
      <x:c r="W134" s="6" t="n">
        <x:f>O134*'固定基底'!$B$4/1000</x:f>
        <x:v>4306.8</x:v>
      </x:c>
      <x:c r="X134" s="6" t="n">
        <x:f>P134*'固定基底'!$B$4/1000</x:f>
        <x:v>84.02879999999999</x:v>
      </x:c>
      <x:c r="Y134" s="6" t="n">
        <x:f>Q134*'固定基底'!$B$4/1000</x:f>
        <x:v>0.10840000000000001</x:v>
      </x:c>
      <x:c r="Z134" s="6" t="n">
        <x:f>R134*'固定基底'!$B$4/1000</x:f>
        <x:v>6.68</x:v>
      </x:c>
      <x:c r="AA134" s="2" t="n">
        <x:f>'固定基底'!$C$7</x:f>
        <x:v>92796.92267241378</x:v>
      </x:c>
      <x:c r="AB134" s="2" t="n">
        <x:f>'固定基底'!$C$8</x:f>
        <x:v>104175.5097553192</x:v>
      </x:c>
      <x:c r="AC134" s="2" t="n">
        <x:f>'固定基底'!$E$7</x:f>
        <x:v>1855.9384534482756</x:v>
      </x:c>
      <x:c r="AD134" s="2" t="n">
        <x:f>'固定基底'!$E$8</x:f>
        <x:v>2083.510195106384</x:v>
      </x:c>
    </x:row>
    <x:row r="135" ht="25" customHeight="1">
      <x:c r="A135" s="5" t="str">
        <x:v>G05-20</x:v>
      </x:c>
      <x:c r="B135" s="5" t="str">
        <x:v>G05</x:v>
      </x:c>
      <x:c r="C135" s="5" t="str">
        <x:v>BBD</x:v>
      </x:c>
      <x:c r="D135" s="5" t="str">
        <x:v>拟合</x:v>
      </x:c>
      <x:c r="E135" s="5" t="str">
        <x:v>边点</x:v>
      </x:c>
      <x:c r="F135" s="5" t="str"/>
      <x:c r="G135" s="5" t="str">
        <x:v>己酸乙酯</x:v>
      </x:c>
      <x:c r="H135" s="5" t="str">
        <x:v>二甲基三硫醚</x:v>
      </x:c>
      <x:c r="I135" s="5" t="str">
        <x:v>β-大马酮</x:v>
      </x:c>
      <x:c r="J135" s="5" t="str">
        <x:v>对甲酚</x:v>
      </x:c>
      <x:c r="K135" s="5" t="str">
        <x:v>M</x:v>
      </x:c>
      <x:c r="L135" s="5" t="str">
        <x:v>H</x:v>
      </x:c>
      <x:c r="M135" s="5" t="str">
        <x:v>M</x:v>
      </x:c>
      <x:c r="N135" s="5" t="str">
        <x:v>H</x:v>
      </x:c>
      <x:c r="O135" s="6" t="n">
        <x:f>'浓度水平'!G31</x:f>
        <x:v>215340</x:v>
      </x:c>
      <x:c r="P135" s="6" t="n">
        <x:f>'浓度水平'!H43</x:f>
        <x:v>4201.44</x:v>
      </x:c>
      <x:c r="Q135" s="6" t="n">
        <x:f>'浓度水平'!G46</x:f>
        <x:v>5.42</x:v>
      </x:c>
      <x:c r="R135" s="6" t="n">
        <x:f>'浓度水平'!H21</x:f>
        <x:v>6914</x:v>
      </x:c>
      <x:c r="S135" s="6" t="n">
        <x:f>O135/'浓度水平'!E31</x:f>
        <x:v>3894.0325497287527</x:v>
      </x:c>
      <x:c r="T135" s="6" t="n">
        <x:f>P135/'浓度水平'!E43</x:f>
        <x:v>11670.666666666666</x:v>
      </x:c>
      <x:c r="U135" s="6" t="n">
        <x:f>Q135/'浓度水平'!E46</x:f>
        <x:v>45.166666666666664</x:v>
      </x:c>
      <x:c r="V135" s="6" t="n">
        <x:f>R135/'浓度水平'!E21</x:f>
        <x:v>41.40119760479042</x:v>
      </x:c>
      <x:c r="W135" s="6" t="n">
        <x:f>O135*'固定基底'!$B$4/1000</x:f>
        <x:v>4306.8</x:v>
      </x:c>
      <x:c r="X135" s="6" t="n">
        <x:f>P135*'固定基底'!$B$4/1000</x:f>
        <x:v>84.02879999999999</x:v>
      </x:c>
      <x:c r="Y135" s="6" t="n">
        <x:f>Q135*'固定基底'!$B$4/1000</x:f>
        <x:v>0.10840000000000001</x:v>
      </x:c>
      <x:c r="Z135" s="6" t="n">
        <x:f>R135*'固定基底'!$B$4/1000</x:f>
        <x:v>138.28</x:v>
      </x:c>
      <x:c r="AA135" s="2" t="n">
        <x:f>'固定基底'!$C$7</x:f>
        <x:v>92796.92267241378</x:v>
      </x:c>
      <x:c r="AB135" s="2" t="n">
        <x:f>'固定基底'!$C$8</x:f>
        <x:v>104175.5097553192</x:v>
      </x:c>
      <x:c r="AC135" s="2" t="n">
        <x:f>'固定基底'!$E$7</x:f>
        <x:v>1855.9384534482756</x:v>
      </x:c>
      <x:c r="AD135" s="2" t="n">
        <x:f>'固定基底'!$E$8</x:f>
        <x:v>2083.510195106384</x:v>
      </x:c>
    </x:row>
    <x:row r="136" ht="25" customHeight="1">
      <x:c r="A136" s="5" t="str">
        <x:v>G05-21</x:v>
      </x:c>
      <x:c r="B136" s="5" t="str">
        <x:v>G05</x:v>
      </x:c>
      <x:c r="C136" s="5" t="str">
        <x:v>BBD</x:v>
      </x:c>
      <x:c r="D136" s="5" t="str">
        <x:v>拟合</x:v>
      </x:c>
      <x:c r="E136" s="5" t="str">
        <x:v>边点</x:v>
      </x:c>
      <x:c r="F136" s="5" t="str"/>
      <x:c r="G136" s="5" t="str">
        <x:v>己酸乙酯</x:v>
      </x:c>
      <x:c r="H136" s="5" t="str">
        <x:v>二甲基三硫醚</x:v>
      </x:c>
      <x:c r="I136" s="5" t="str">
        <x:v>β-大马酮</x:v>
      </x:c>
      <x:c r="J136" s="5" t="str">
        <x:v>对甲酚</x:v>
      </x:c>
      <x:c r="K136" s="5" t="str">
        <x:v>M</x:v>
      </x:c>
      <x:c r="L136" s="5" t="str">
        <x:v>M</x:v>
      </x:c>
      <x:c r="M136" s="5" t="str">
        <x:v>L</x:v>
      </x:c>
      <x:c r="N136" s="5" t="str">
        <x:v>L</x:v>
      </x:c>
      <x:c r="O136" s="6" t="n">
        <x:f>'浓度水平'!G31</x:f>
        <x:v>215340</x:v>
      </x:c>
      <x:c r="P136" s="6" t="n">
        <x:f>'浓度水平'!G43</x:f>
        <x:v>623.375</x:v>
      </x:c>
      <x:c r="Q136" s="6" t="n">
        <x:f>'浓度水平'!F46</x:f>
        <x:v>0.24</x:v>
      </x:c>
      <x:c r="R136" s="6" t="n">
        <x:f>'浓度水平'!F21</x:f>
        <x:v>334</x:v>
      </x:c>
      <x:c r="S136" s="6" t="n">
        <x:f>O136/'浓度水平'!E31</x:f>
        <x:v>3894.0325497287527</x:v>
      </x:c>
      <x:c r="T136" s="6" t="n">
        <x:f>P136/'浓度水平'!E43</x:f>
        <x:v>1731.5972222222224</x:v>
      </x:c>
      <x:c r="U136" s="6" t="n">
        <x:f>Q136/'浓度水平'!E46</x:f>
        <x:v>2</x:v>
      </x:c>
      <x:c r="V136" s="6" t="n">
        <x:f>R136/'浓度水平'!E21</x:f>
        <x:v>2</x:v>
      </x:c>
      <x:c r="W136" s="6" t="n">
        <x:f>O136*'固定基底'!$B$4/1000</x:f>
        <x:v>4306.8</x:v>
      </x:c>
      <x:c r="X136" s="6" t="n">
        <x:f>P136*'固定基底'!$B$4/1000</x:f>
        <x:v>12.4675</x:v>
      </x:c>
      <x:c r="Y136" s="6" t="n">
        <x:f>Q136*'固定基底'!$B$4/1000</x:f>
        <x:v>0.0048</x:v>
      </x:c>
      <x:c r="Z136" s="6" t="n">
        <x:f>R136*'固定基底'!$B$4/1000</x:f>
        <x:v>6.68</x:v>
      </x:c>
      <x:c r="AA136" s="2" t="n">
        <x:f>'固定基底'!$C$7</x:f>
        <x:v>92796.92267241378</x:v>
      </x:c>
      <x:c r="AB136" s="2" t="n">
        <x:f>'固定基底'!$C$8</x:f>
        <x:v>104175.5097553192</x:v>
      </x:c>
      <x:c r="AC136" s="2" t="n">
        <x:f>'固定基底'!$E$7</x:f>
        <x:v>1855.9384534482756</x:v>
      </x:c>
      <x:c r="AD136" s="2" t="n">
        <x:f>'固定基底'!$E$8</x:f>
        <x:v>2083.510195106384</x:v>
      </x:c>
    </x:row>
    <x:row r="137" ht="25" customHeight="1">
      <x:c r="A137" s="5" t="str">
        <x:v>G05-22</x:v>
      </x:c>
      <x:c r="B137" s="5" t="str">
        <x:v>G05</x:v>
      </x:c>
      <x:c r="C137" s="5" t="str">
        <x:v>BBD</x:v>
      </x:c>
      <x:c r="D137" s="5" t="str">
        <x:v>拟合</x:v>
      </x:c>
      <x:c r="E137" s="5" t="str">
        <x:v>边点</x:v>
      </x:c>
      <x:c r="F137" s="5" t="str"/>
      <x:c r="G137" s="5" t="str">
        <x:v>己酸乙酯</x:v>
      </x:c>
      <x:c r="H137" s="5" t="str">
        <x:v>二甲基三硫醚</x:v>
      </x:c>
      <x:c r="I137" s="5" t="str">
        <x:v>β-大马酮</x:v>
      </x:c>
      <x:c r="J137" s="5" t="str">
        <x:v>对甲酚</x:v>
      </x:c>
      <x:c r="K137" s="5" t="str">
        <x:v>M</x:v>
      </x:c>
      <x:c r="L137" s="5" t="str">
        <x:v>M</x:v>
      </x:c>
      <x:c r="M137" s="5" t="str">
        <x:v>L</x:v>
      </x:c>
      <x:c r="N137" s="5" t="str">
        <x:v>H</x:v>
      </x:c>
      <x:c r="O137" s="6" t="n">
        <x:f>'浓度水平'!G31</x:f>
        <x:v>215340</x:v>
      </x:c>
      <x:c r="P137" s="6" t="n">
        <x:f>'浓度水平'!G43</x:f>
        <x:v>623.375</x:v>
      </x:c>
      <x:c r="Q137" s="6" t="n">
        <x:f>'浓度水平'!F46</x:f>
        <x:v>0.24</x:v>
      </x:c>
      <x:c r="R137" s="6" t="n">
        <x:f>'浓度水平'!H21</x:f>
        <x:v>6914</x:v>
      </x:c>
      <x:c r="S137" s="6" t="n">
        <x:f>O137/'浓度水平'!E31</x:f>
        <x:v>3894.0325497287527</x:v>
      </x:c>
      <x:c r="T137" s="6" t="n">
        <x:f>P137/'浓度水平'!E43</x:f>
        <x:v>1731.5972222222224</x:v>
      </x:c>
      <x:c r="U137" s="6" t="n">
        <x:f>Q137/'浓度水平'!E46</x:f>
        <x:v>2</x:v>
      </x:c>
      <x:c r="V137" s="6" t="n">
        <x:f>R137/'浓度水平'!E21</x:f>
        <x:v>41.40119760479042</x:v>
      </x:c>
      <x:c r="W137" s="6" t="n">
        <x:f>O137*'固定基底'!$B$4/1000</x:f>
        <x:v>4306.8</x:v>
      </x:c>
      <x:c r="X137" s="6" t="n">
        <x:f>P137*'固定基底'!$B$4/1000</x:f>
        <x:v>12.4675</x:v>
      </x:c>
      <x:c r="Y137" s="6" t="n">
        <x:f>Q137*'固定基底'!$B$4/1000</x:f>
        <x:v>0.0048</x:v>
      </x:c>
      <x:c r="Z137" s="6" t="n">
        <x:f>R137*'固定基底'!$B$4/1000</x:f>
        <x:v>138.28</x:v>
      </x:c>
      <x:c r="AA137" s="2" t="n">
        <x:f>'固定基底'!$C$7</x:f>
        <x:v>92796.92267241378</x:v>
      </x:c>
      <x:c r="AB137" s="2" t="n">
        <x:f>'固定基底'!$C$8</x:f>
        <x:v>104175.5097553192</x:v>
      </x:c>
      <x:c r="AC137" s="2" t="n">
        <x:f>'固定基底'!$E$7</x:f>
        <x:v>1855.9384534482756</x:v>
      </x:c>
      <x:c r="AD137" s="2" t="n">
        <x:f>'固定基底'!$E$8</x:f>
        <x:v>2083.510195106384</x:v>
      </x:c>
    </x:row>
    <x:row r="138" ht="25" customHeight="1">
      <x:c r="A138" s="5" t="str">
        <x:v>G05-23</x:v>
      </x:c>
      <x:c r="B138" s="5" t="str">
        <x:v>G05</x:v>
      </x:c>
      <x:c r="C138" s="5" t="str">
        <x:v>BBD</x:v>
      </x:c>
      <x:c r="D138" s="5" t="str">
        <x:v>拟合</x:v>
      </x:c>
      <x:c r="E138" s="5" t="str">
        <x:v>边点</x:v>
      </x:c>
      <x:c r="F138" s="5" t="str"/>
      <x:c r="G138" s="5" t="str">
        <x:v>己酸乙酯</x:v>
      </x:c>
      <x:c r="H138" s="5" t="str">
        <x:v>二甲基三硫醚</x:v>
      </x:c>
      <x:c r="I138" s="5" t="str">
        <x:v>β-大马酮</x:v>
      </x:c>
      <x:c r="J138" s="5" t="str">
        <x:v>对甲酚</x:v>
      </x:c>
      <x:c r="K138" s="5" t="str">
        <x:v>M</x:v>
      </x:c>
      <x:c r="L138" s="5" t="str">
        <x:v>M</x:v>
      </x:c>
      <x:c r="M138" s="5" t="str">
        <x:v>H</x:v>
      </x:c>
      <x:c r="N138" s="5" t="str">
        <x:v>L</x:v>
      </x:c>
      <x:c r="O138" s="6" t="n">
        <x:f>'浓度水平'!G31</x:f>
        <x:v>215340</x:v>
      </x:c>
      <x:c r="P138" s="6" t="n">
        <x:f>'浓度水平'!G43</x:f>
        <x:v>623.375</x:v>
      </x:c>
      <x:c r="Q138" s="6" t="n">
        <x:f>'浓度水平'!H46</x:f>
        <x:v>60.76</x:v>
      </x:c>
      <x:c r="R138" s="6" t="n">
        <x:f>'浓度水平'!F21</x:f>
        <x:v>334</x:v>
      </x:c>
      <x:c r="S138" s="6" t="n">
        <x:f>O138/'浓度水平'!E31</x:f>
        <x:v>3894.0325497287527</x:v>
      </x:c>
      <x:c r="T138" s="6" t="n">
        <x:f>P138/'浓度水平'!E43</x:f>
        <x:v>1731.5972222222224</x:v>
      </x:c>
      <x:c r="U138" s="6" t="n">
        <x:f>Q138/'浓度水平'!E46</x:f>
        <x:v>506.3333333333333</x:v>
      </x:c>
      <x:c r="V138" s="6" t="n">
        <x:f>R138/'浓度水平'!E21</x:f>
        <x:v>2</x:v>
      </x:c>
      <x:c r="W138" s="6" t="n">
        <x:f>O138*'固定基底'!$B$4/1000</x:f>
        <x:v>4306.8</x:v>
      </x:c>
      <x:c r="X138" s="6" t="n">
        <x:f>P138*'固定基底'!$B$4/1000</x:f>
        <x:v>12.4675</x:v>
      </x:c>
      <x:c r="Y138" s="6" t="n">
        <x:f>Q138*'固定基底'!$B$4/1000</x:f>
        <x:v>1.2152</x:v>
      </x:c>
      <x:c r="Z138" s="6" t="n">
        <x:f>R138*'固定基底'!$B$4/1000</x:f>
        <x:v>6.68</x:v>
      </x:c>
      <x:c r="AA138" s="2" t="n">
        <x:f>'固定基底'!$C$7</x:f>
        <x:v>92796.92267241378</x:v>
      </x:c>
      <x:c r="AB138" s="2" t="n">
        <x:f>'固定基底'!$C$8</x:f>
        <x:v>104175.5097553192</x:v>
      </x:c>
      <x:c r="AC138" s="2" t="n">
        <x:f>'固定基底'!$E$7</x:f>
        <x:v>1855.9384534482756</x:v>
      </x:c>
      <x:c r="AD138" s="2" t="n">
        <x:f>'固定基底'!$E$8</x:f>
        <x:v>2083.510195106384</x:v>
      </x:c>
    </x:row>
    <x:row r="139" ht="25" customHeight="1">
      <x:c r="A139" s="5" t="str">
        <x:v>G05-24</x:v>
      </x:c>
      <x:c r="B139" s="5" t="str">
        <x:v>G05</x:v>
      </x:c>
      <x:c r="C139" s="5" t="str">
        <x:v>BBD</x:v>
      </x:c>
      <x:c r="D139" s="5" t="str">
        <x:v>拟合</x:v>
      </x:c>
      <x:c r="E139" s="5" t="str">
        <x:v>边点</x:v>
      </x:c>
      <x:c r="F139" s="5" t="str"/>
      <x:c r="G139" s="5" t="str">
        <x:v>己酸乙酯</x:v>
      </x:c>
      <x:c r="H139" s="5" t="str">
        <x:v>二甲基三硫醚</x:v>
      </x:c>
      <x:c r="I139" s="5" t="str">
        <x:v>β-大马酮</x:v>
      </x:c>
      <x:c r="J139" s="5" t="str">
        <x:v>对甲酚</x:v>
      </x:c>
      <x:c r="K139" s="5" t="str">
        <x:v>M</x:v>
      </x:c>
      <x:c r="L139" s="5" t="str">
        <x:v>M</x:v>
      </x:c>
      <x:c r="M139" s="5" t="str">
        <x:v>H</x:v>
      </x:c>
      <x:c r="N139" s="5" t="str">
        <x:v>H</x:v>
      </x:c>
      <x:c r="O139" s="6" t="n">
        <x:f>'浓度水平'!G31</x:f>
        <x:v>215340</x:v>
      </x:c>
      <x:c r="P139" s="6" t="n">
        <x:f>'浓度水平'!G43</x:f>
        <x:v>623.375</x:v>
      </x:c>
      <x:c r="Q139" s="6" t="n">
        <x:f>'浓度水平'!H46</x:f>
        <x:v>60.76</x:v>
      </x:c>
      <x:c r="R139" s="6" t="n">
        <x:f>'浓度水平'!H21</x:f>
        <x:v>6914</x:v>
      </x:c>
      <x:c r="S139" s="6" t="n">
        <x:f>O139/'浓度水平'!E31</x:f>
        <x:v>3894.0325497287527</x:v>
      </x:c>
      <x:c r="T139" s="6" t="n">
        <x:f>P139/'浓度水平'!E43</x:f>
        <x:v>1731.5972222222224</x:v>
      </x:c>
      <x:c r="U139" s="6" t="n">
        <x:f>Q139/'浓度水平'!E46</x:f>
        <x:v>506.3333333333333</x:v>
      </x:c>
      <x:c r="V139" s="6" t="n">
        <x:f>R139/'浓度水平'!E21</x:f>
        <x:v>41.40119760479042</x:v>
      </x:c>
      <x:c r="W139" s="6" t="n">
        <x:f>O139*'固定基底'!$B$4/1000</x:f>
        <x:v>4306.8</x:v>
      </x:c>
      <x:c r="X139" s="6" t="n">
        <x:f>P139*'固定基底'!$B$4/1000</x:f>
        <x:v>12.4675</x:v>
      </x:c>
      <x:c r="Y139" s="6" t="n">
        <x:f>Q139*'固定基底'!$B$4/1000</x:f>
        <x:v>1.2152</x:v>
      </x:c>
      <x:c r="Z139" s="6" t="n">
        <x:f>R139*'固定基底'!$B$4/1000</x:f>
        <x:v>138.28</x:v>
      </x:c>
      <x:c r="AA139" s="2" t="n">
        <x:f>'固定基底'!$C$7</x:f>
        <x:v>92796.92267241378</x:v>
      </x:c>
      <x:c r="AB139" s="2" t="n">
        <x:f>'固定基底'!$C$8</x:f>
        <x:v>104175.5097553192</x:v>
      </x:c>
      <x:c r="AC139" s="2" t="n">
        <x:f>'固定基底'!$E$7</x:f>
        <x:v>1855.9384534482756</x:v>
      </x:c>
      <x:c r="AD139" s="2" t="n">
        <x:f>'固定基底'!$E$8</x:f>
        <x:v>2083.510195106384</x:v>
      </x:c>
    </x:row>
    <x:row r="140" ht="25" customHeight="1">
      <x:c r="A140" s="5" t="str">
        <x:v>G05-25</x:v>
      </x:c>
      <x:c r="B140" s="5" t="str">
        <x:v>G05</x:v>
      </x:c>
      <x:c r="C140" s="5" t="str">
        <x:v>BBD</x:v>
      </x:c>
      <x:c r="D140" s="5" t="str">
        <x:v>拟合</x:v>
      </x:c>
      <x:c r="E140" s="5" t="str">
        <x:v>中心点独立配制</x:v>
      </x:c>
      <x:c r="F140" s="5" t="str"/>
      <x:c r="G140" s="5" t="str">
        <x:v>己酸乙酯</x:v>
      </x:c>
      <x:c r="H140" s="5" t="str">
        <x:v>二甲基三硫醚</x:v>
      </x:c>
      <x:c r="I140" s="5" t="str">
        <x:v>β-大马酮</x:v>
      </x:c>
      <x:c r="J140" s="5" t="str">
        <x:v>对甲酚</x:v>
      </x:c>
      <x:c r="K140" s="5" t="str">
        <x:v>M</x:v>
      </x:c>
      <x:c r="L140" s="5" t="str">
        <x:v>M</x:v>
      </x:c>
      <x:c r="M140" s="5" t="str">
        <x:v>M</x:v>
      </x:c>
      <x:c r="N140" s="5" t="str">
        <x:v>M</x:v>
      </x:c>
      <x:c r="O140" s="6" t="n">
        <x:f>'浓度水平'!G31</x:f>
        <x:v>215340</x:v>
      </x:c>
      <x:c r="P140" s="6" t="n">
        <x:f>'浓度水平'!G43</x:f>
        <x:v>623.375</x:v>
      </x:c>
      <x:c r="Q140" s="6" t="n">
        <x:f>'浓度水平'!G46</x:f>
        <x:v>5.42</x:v>
      </x:c>
      <x:c r="R140" s="6" t="n">
        <x:f>'浓度水平'!G21</x:f>
        <x:v>359.87</x:v>
      </x:c>
      <x:c r="S140" s="6" t="n">
        <x:f>O140/'浓度水平'!E31</x:f>
        <x:v>3894.0325497287527</x:v>
      </x:c>
      <x:c r="T140" s="6" t="n">
        <x:f>P140/'浓度水平'!E43</x:f>
        <x:v>1731.5972222222224</x:v>
      </x:c>
      <x:c r="U140" s="6" t="n">
        <x:f>Q140/'浓度水平'!E46</x:f>
        <x:v>45.166666666666664</x:v>
      </x:c>
      <x:c r="V140" s="6" t="n">
        <x:f>R140/'浓度水平'!E21</x:f>
        <x:v>2.1549101796407184</x:v>
      </x:c>
      <x:c r="W140" s="6" t="n">
        <x:f>O140*'固定基底'!$B$4/1000</x:f>
        <x:v>4306.8</x:v>
      </x:c>
      <x:c r="X140" s="6" t="n">
        <x:f>P140*'固定基底'!$B$4/1000</x:f>
        <x:v>12.4675</x:v>
      </x:c>
      <x:c r="Y140" s="6" t="n">
        <x:f>Q140*'固定基底'!$B$4/1000</x:f>
        <x:v>0.10840000000000001</x:v>
      </x:c>
      <x:c r="Z140" s="6" t="n">
        <x:f>R140*'固定基底'!$B$4/1000</x:f>
        <x:v>7.1974</x:v>
      </x:c>
      <x:c r="AA140" s="2" t="n">
        <x:f>'固定基底'!$C$7</x:f>
        <x:v>92796.92267241378</x:v>
      </x:c>
      <x:c r="AB140" s="2" t="n">
        <x:f>'固定基底'!$C$8</x:f>
        <x:v>104175.5097553192</x:v>
      </x:c>
      <x:c r="AC140" s="2" t="n">
        <x:f>'固定基底'!$E$7</x:f>
        <x:v>1855.9384534482756</x:v>
      </x:c>
      <x:c r="AD140" s="2" t="n">
        <x:f>'固定基底'!$E$8</x:f>
        <x:v>2083.510195106384</x:v>
      </x:c>
    </x:row>
    <x:row r="141" ht="25" customHeight="1">
      <x:c r="A141" s="5" t="str">
        <x:v>G05-26</x:v>
      </x:c>
      <x:c r="B141" s="5" t="str">
        <x:v>G05</x:v>
      </x:c>
      <x:c r="C141" s="5" t="str">
        <x:v>BBD</x:v>
      </x:c>
      <x:c r="D141" s="5" t="str">
        <x:v>拟合</x:v>
      </x:c>
      <x:c r="E141" s="5" t="str">
        <x:v>中心点独立配制</x:v>
      </x:c>
      <x:c r="F141" s="5" t="str">
        <x:v>G05-25</x:v>
      </x:c>
      <x:c r="G141" s="5" t="str">
        <x:v>己酸乙酯</x:v>
      </x:c>
      <x:c r="H141" s="5" t="str">
        <x:v>二甲基三硫醚</x:v>
      </x:c>
      <x:c r="I141" s="5" t="str">
        <x:v>β-大马酮</x:v>
      </x:c>
      <x:c r="J141" s="5" t="str">
        <x:v>对甲酚</x:v>
      </x:c>
      <x:c r="K141" s="5" t="str">
        <x:v>M</x:v>
      </x:c>
      <x:c r="L141" s="5" t="str">
        <x:v>M</x:v>
      </x:c>
      <x:c r="M141" s="5" t="str">
        <x:v>M</x:v>
      </x:c>
      <x:c r="N141" s="5" t="str">
        <x:v>M</x:v>
      </x:c>
      <x:c r="O141" s="6" t="n">
        <x:f>'浓度水平'!G31</x:f>
        <x:v>215340</x:v>
      </x:c>
      <x:c r="P141" s="6" t="n">
        <x:f>'浓度水平'!G43</x:f>
        <x:v>623.375</x:v>
      </x:c>
      <x:c r="Q141" s="6" t="n">
        <x:f>'浓度水平'!G46</x:f>
        <x:v>5.42</x:v>
      </x:c>
      <x:c r="R141" s="6" t="n">
        <x:f>'浓度水平'!G21</x:f>
        <x:v>359.87</x:v>
      </x:c>
      <x:c r="S141" s="6" t="n">
        <x:f>O141/'浓度水平'!E31</x:f>
        <x:v>3894.0325497287527</x:v>
      </x:c>
      <x:c r="T141" s="6" t="n">
        <x:f>P141/'浓度水平'!E43</x:f>
        <x:v>1731.5972222222224</x:v>
      </x:c>
      <x:c r="U141" s="6" t="n">
        <x:f>Q141/'浓度水平'!E46</x:f>
        <x:v>45.166666666666664</x:v>
      </x:c>
      <x:c r="V141" s="6" t="n">
        <x:f>R141/'浓度水平'!E21</x:f>
        <x:v>2.1549101796407184</x:v>
      </x:c>
      <x:c r="W141" s="6" t="n">
        <x:f>O141*'固定基底'!$B$4/1000</x:f>
        <x:v>4306.8</x:v>
      </x:c>
      <x:c r="X141" s="6" t="n">
        <x:f>P141*'固定基底'!$B$4/1000</x:f>
        <x:v>12.4675</x:v>
      </x:c>
      <x:c r="Y141" s="6" t="n">
        <x:f>Q141*'固定基底'!$B$4/1000</x:f>
        <x:v>0.10840000000000001</x:v>
      </x:c>
      <x:c r="Z141" s="6" t="n">
        <x:f>R141*'固定基底'!$B$4/1000</x:f>
        <x:v>7.1974</x:v>
      </x:c>
      <x:c r="AA141" s="2" t="n">
        <x:f>'固定基底'!$C$7</x:f>
        <x:v>92796.92267241378</x:v>
      </x:c>
      <x:c r="AB141" s="2" t="n">
        <x:f>'固定基底'!$C$8</x:f>
        <x:v>104175.5097553192</x:v>
      </x:c>
      <x:c r="AC141" s="2" t="n">
        <x:f>'固定基底'!$E$7</x:f>
        <x:v>1855.9384534482756</x:v>
      </x:c>
      <x:c r="AD141" s="2" t="n">
        <x:f>'固定基底'!$E$8</x:f>
        <x:v>2083.510195106384</x:v>
      </x:c>
    </x:row>
    <x:row r="142" ht="25" customHeight="1">
      <x:c r="A142" s="5" t="str">
        <x:v>G05-27</x:v>
      </x:c>
      <x:c r="B142" s="5" t="str">
        <x:v>G05</x:v>
      </x:c>
      <x:c r="C142" s="5" t="str">
        <x:v>BBD</x:v>
      </x:c>
      <x:c r="D142" s="5" t="str">
        <x:v>拟合</x:v>
      </x:c>
      <x:c r="E142" s="5" t="str">
        <x:v>中心点独立配制</x:v>
      </x:c>
      <x:c r="F142" s="5" t="str">
        <x:v>G05-25</x:v>
      </x:c>
      <x:c r="G142" s="5" t="str">
        <x:v>己酸乙酯</x:v>
      </x:c>
      <x:c r="H142" s="5" t="str">
        <x:v>二甲基三硫醚</x:v>
      </x:c>
      <x:c r="I142" s="5" t="str">
        <x:v>β-大马酮</x:v>
      </x:c>
      <x:c r="J142" s="5" t="str">
        <x:v>对甲酚</x:v>
      </x:c>
      <x:c r="K142" s="5" t="str">
        <x:v>M</x:v>
      </x:c>
      <x:c r="L142" s="5" t="str">
        <x:v>M</x:v>
      </x:c>
      <x:c r="M142" s="5" t="str">
        <x:v>M</x:v>
      </x:c>
      <x:c r="N142" s="5" t="str">
        <x:v>M</x:v>
      </x:c>
      <x:c r="O142" s="6" t="n">
        <x:f>'浓度水平'!G31</x:f>
        <x:v>215340</x:v>
      </x:c>
      <x:c r="P142" s="6" t="n">
        <x:f>'浓度水平'!G43</x:f>
        <x:v>623.375</x:v>
      </x:c>
      <x:c r="Q142" s="6" t="n">
        <x:f>'浓度水平'!G46</x:f>
        <x:v>5.42</x:v>
      </x:c>
      <x:c r="R142" s="6" t="n">
        <x:f>'浓度水平'!G21</x:f>
        <x:v>359.87</x:v>
      </x:c>
      <x:c r="S142" s="6" t="n">
        <x:f>O142/'浓度水平'!E31</x:f>
        <x:v>3894.0325497287527</x:v>
      </x:c>
      <x:c r="T142" s="6" t="n">
        <x:f>P142/'浓度水平'!E43</x:f>
        <x:v>1731.5972222222224</x:v>
      </x:c>
      <x:c r="U142" s="6" t="n">
        <x:f>Q142/'浓度水平'!E46</x:f>
        <x:v>45.166666666666664</x:v>
      </x:c>
      <x:c r="V142" s="6" t="n">
        <x:f>R142/'浓度水平'!E21</x:f>
        <x:v>2.1549101796407184</x:v>
      </x:c>
      <x:c r="W142" s="6" t="n">
        <x:f>O142*'固定基底'!$B$4/1000</x:f>
        <x:v>4306.8</x:v>
      </x:c>
      <x:c r="X142" s="6" t="n">
        <x:f>P142*'固定基底'!$B$4/1000</x:f>
        <x:v>12.4675</x:v>
      </x:c>
      <x:c r="Y142" s="6" t="n">
        <x:f>Q142*'固定基底'!$B$4/1000</x:f>
        <x:v>0.10840000000000001</x:v>
      </x:c>
      <x:c r="Z142" s="6" t="n">
        <x:f>R142*'固定基底'!$B$4/1000</x:f>
        <x:v>7.1974</x:v>
      </x:c>
      <x:c r="AA142" s="2" t="n">
        <x:f>'固定基底'!$C$7</x:f>
        <x:v>92796.92267241378</x:v>
      </x:c>
      <x:c r="AB142" s="2" t="n">
        <x:f>'固定基底'!$C$8</x:f>
        <x:v>104175.5097553192</x:v>
      </x:c>
      <x:c r="AC142" s="2" t="n">
        <x:f>'固定基底'!$E$7</x:f>
        <x:v>1855.9384534482756</x:v>
      </x:c>
      <x:c r="AD142" s="2" t="n">
        <x:f>'固定基底'!$E$8</x:f>
        <x:v>2083.510195106384</x:v>
      </x:c>
    </x:row>
    <x:row r="143" ht="25" customHeight="1">
      <x:c r="A143" s="5" t="str">
        <x:v>G05-V01</x:v>
      </x:c>
      <x:c r="B143" s="5" t="str">
        <x:v>G05</x:v>
      </x:c>
      <x:c r="C143" s="5" t="str">
        <x:v>域内轴向验证</x:v>
      </x:c>
      <x:c r="D143" s="5" t="str">
        <x:v>验证不参与拟合</x:v>
      </x:c>
      <x:c r="E143" s="5" t="str">
        <x:v>独立验证</x:v>
      </x:c>
      <x:c r="F143" s="5" t="str"/>
      <x:c r="G143" s="5" t="str">
        <x:v>己酸乙酯</x:v>
      </x:c>
      <x:c r="H143" s="5" t="str">
        <x:v>二甲基三硫醚</x:v>
      </x:c>
      <x:c r="I143" s="5" t="str">
        <x:v>β-大马酮</x:v>
      </x:c>
      <x:c r="J143" s="5" t="str">
        <x:v>对甲酚</x:v>
      </x:c>
      <x:c r="K143" s="5" t="str">
        <x:v>H</x:v>
      </x:c>
      <x:c r="L143" s="5" t="str">
        <x:v>M</x:v>
      </x:c>
      <x:c r="M143" s="5" t="str">
        <x:v>M</x:v>
      </x:c>
      <x:c r="N143" s="5" t="str">
        <x:v>M</x:v>
      </x:c>
      <x:c r="O143" s="6" t="n">
        <x:f>'浓度水平'!H31</x:f>
        <x:v>9622120</x:v>
      </x:c>
      <x:c r="P143" s="6" t="n">
        <x:f>'浓度水平'!G43</x:f>
        <x:v>623.375</x:v>
      </x:c>
      <x:c r="Q143" s="6" t="n">
        <x:f>'浓度水平'!G46</x:f>
        <x:v>5.42</x:v>
      </x:c>
      <x:c r="R143" s="6" t="n">
        <x:f>'浓度水平'!G21</x:f>
        <x:v>359.87</x:v>
      </x:c>
      <x:c r="S143" s="6" t="n">
        <x:f>O143/'浓度水平'!E31</x:f>
        <x:v>173998.5533453888</x:v>
      </x:c>
      <x:c r="T143" s="6" t="n">
        <x:f>P143/'浓度水平'!E43</x:f>
        <x:v>1731.5972222222224</x:v>
      </x:c>
      <x:c r="U143" s="6" t="n">
        <x:f>Q143/'浓度水平'!E46</x:f>
        <x:v>45.166666666666664</x:v>
      </x:c>
      <x:c r="V143" s="6" t="n">
        <x:f>R143/'浓度水平'!E21</x:f>
        <x:v>2.1549101796407184</x:v>
      </x:c>
      <x:c r="W143" s="6" t="n">
        <x:f>O143*'固定基底'!$B$4/1000</x:f>
        <x:v>192442.4</x:v>
      </x:c>
      <x:c r="X143" s="6" t="n">
        <x:f>P143*'固定基底'!$B$4/1000</x:f>
        <x:v>12.4675</x:v>
      </x:c>
      <x:c r="Y143" s="6" t="n">
        <x:f>Q143*'固定基底'!$B$4/1000</x:f>
        <x:v>0.10840000000000001</x:v>
      </x:c>
      <x:c r="Z143" s="6" t="n">
        <x:f>R143*'固定基底'!$B$4/1000</x:f>
        <x:v>7.1974</x:v>
      </x:c>
      <x:c r="AA143" s="2" t="n">
        <x:f>'固定基底'!$C$7</x:f>
        <x:v>92796.92267241378</x:v>
      </x:c>
      <x:c r="AB143" s="2" t="n">
        <x:f>'固定基底'!$C$8</x:f>
        <x:v>104175.5097553192</x:v>
      </x:c>
      <x:c r="AC143" s="2" t="n">
        <x:f>'固定基底'!$E$7</x:f>
        <x:v>1855.9384534482756</x:v>
      </x:c>
      <x:c r="AD143" s="2" t="n">
        <x:f>'固定基底'!$E$8</x:f>
        <x:v>2083.510195106384</x:v>
      </x:c>
    </x:row>
    <x:row r="144" ht="25" customHeight="1">
      <x:c r="A144" s="5" t="str">
        <x:v>G06-01</x:v>
      </x:c>
      <x:c r="B144" s="5" t="str">
        <x:v>G06</x:v>
      </x:c>
      <x:c r="C144" s="5" t="str">
        <x:v>BBD</x:v>
      </x:c>
      <x:c r="D144" s="5" t="str">
        <x:v>拟合</x:v>
      </x:c>
      <x:c r="E144" s="5" t="str">
        <x:v>边点</x:v>
      </x:c>
      <x:c r="F144" s="5" t="str"/>
      <x:c r="G144" s="5" t="str">
        <x:v>丁酸乙酯</x:v>
      </x:c>
      <x:c r="H144" s="5" t="str">
        <x:v>2-甲基丙醛</x:v>
      </x:c>
      <x:c r="I144" s="5" t="str">
        <x:v>异戊醛</x:v>
      </x:c>
      <x:c r="J144" s="5" t="str">
        <x:v>苯乙醛</x:v>
      </x:c>
      <x:c r="K144" s="5" t="str">
        <x:v>L</x:v>
      </x:c>
      <x:c r="L144" s="5" t="str">
        <x:v>L</x:v>
      </x:c>
      <x:c r="M144" s="5" t="str">
        <x:v>M</x:v>
      </x:c>
      <x:c r="N144" s="5" t="str">
        <x:v>M</x:v>
      </x:c>
      <x:c r="O144" s="6" t="n">
        <x:f>'浓度水平'!F16</x:f>
        <x:v>163</x:v>
      </x:c>
      <x:c r="P144" s="6" t="n">
        <x:f>'浓度水平'!F11</x:f>
        <x:v>11.8</x:v>
      </x:c>
      <x:c r="Q144" s="6" t="n">
        <x:f>'浓度水平'!G39</x:f>
        <x:v>5545</x:v>
      </x:c>
      <x:c r="R144" s="6" t="n">
        <x:f>'浓度水平'!G28</x:f>
        <x:v>556.325</x:v>
      </x:c>
      <x:c r="S144" s="6" t="n">
        <x:f>O144/'浓度水平'!E16</x:f>
        <x:v>2</x:v>
      </x:c>
      <x:c r="T144" s="6" t="n">
        <x:f>P144/'浓度水平'!E11</x:f>
        <x:v>2</x:v>
      </x:c>
      <x:c r="U144" s="6" t="n">
        <x:f>Q144/'浓度水平'!E39</x:f>
        <x:v>336.06060606060606</x:v>
      </x:c>
      <x:c r="V144" s="6" t="n">
        <x:f>R144/'浓度水平'!E28</x:f>
        <x:v>2.12337786259542</x:v>
      </x:c>
      <x:c r="W144" s="6" t="n">
        <x:f>O144*'固定基底'!$B$4/1000</x:f>
        <x:v>3.26</x:v>
      </x:c>
      <x:c r="X144" s="6" t="n">
        <x:f>P144*'固定基底'!$B$4/1000</x:f>
        <x:v>0.236</x:v>
      </x:c>
      <x:c r="Y144" s="6" t="n">
        <x:f>Q144*'固定基底'!$B$4/1000</x:f>
        <x:v>110.9</x:v>
      </x:c>
      <x:c r="Z144" s="6" t="n">
        <x:f>R144*'固定基底'!$B$4/1000</x:f>
        <x:v>11.1265</x:v>
      </x:c>
      <x:c r="AA144" s="2" t="n">
        <x:f>'固定基底'!$C$7</x:f>
        <x:v>92796.92267241378</x:v>
      </x:c>
      <x:c r="AB144" s="2" t="n">
        <x:f>'固定基底'!$C$8</x:f>
        <x:v>104175.5097553192</x:v>
      </x:c>
      <x:c r="AC144" s="2" t="n">
        <x:f>'固定基底'!$E$7</x:f>
        <x:v>1855.9384534482756</x:v>
      </x:c>
      <x:c r="AD144" s="2" t="n">
        <x:f>'固定基底'!$E$8</x:f>
        <x:v>2083.510195106384</x:v>
      </x:c>
    </x:row>
    <x:row r="145" ht="25" customHeight="1">
      <x:c r="A145" s="5" t="str">
        <x:v>G06-02</x:v>
      </x:c>
      <x:c r="B145" s="5" t="str">
        <x:v>G06</x:v>
      </x:c>
      <x:c r="C145" s="5" t="str">
        <x:v>BBD</x:v>
      </x:c>
      <x:c r="D145" s="5" t="str">
        <x:v>拟合</x:v>
      </x:c>
      <x:c r="E145" s="5" t="str">
        <x:v>边点</x:v>
      </x:c>
      <x:c r="F145" s="5" t="str"/>
      <x:c r="G145" s="5" t="str">
        <x:v>丁酸乙酯</x:v>
      </x:c>
      <x:c r="H145" s="5" t="str">
        <x:v>2-甲基丙醛</x:v>
      </x:c>
      <x:c r="I145" s="5" t="str">
        <x:v>异戊醛</x:v>
      </x:c>
      <x:c r="J145" s="5" t="str">
        <x:v>苯乙醛</x:v>
      </x:c>
      <x:c r="K145" s="5" t="str">
        <x:v>L</x:v>
      </x:c>
      <x:c r="L145" s="5" t="str">
        <x:v>H</x:v>
      </x:c>
      <x:c r="M145" s="5" t="str">
        <x:v>M</x:v>
      </x:c>
      <x:c r="N145" s="5" t="str">
        <x:v>M</x:v>
      </x:c>
      <x:c r="O145" s="6" t="n">
        <x:f>'浓度水平'!F16</x:f>
        <x:v>163</x:v>
      </x:c>
      <x:c r="P145" s="6" t="n">
        <x:f>'浓度水平'!H11</x:f>
        <x:v>35900</x:v>
      </x:c>
      <x:c r="Q145" s="6" t="n">
        <x:f>'浓度水平'!G39</x:f>
        <x:v>5545</x:v>
      </x:c>
      <x:c r="R145" s="6" t="n">
        <x:f>'浓度水平'!G28</x:f>
        <x:v>556.325</x:v>
      </x:c>
      <x:c r="S145" s="6" t="n">
        <x:f>O145/'浓度水平'!E16</x:f>
        <x:v>2</x:v>
      </x:c>
      <x:c r="T145" s="6" t="n">
        <x:f>P145/'浓度水平'!E11</x:f>
        <x:v>6084.745762711864</x:v>
      </x:c>
      <x:c r="U145" s="6" t="n">
        <x:f>Q145/'浓度水平'!E39</x:f>
        <x:v>336.06060606060606</x:v>
      </x:c>
      <x:c r="V145" s="6" t="n">
        <x:f>R145/'浓度水平'!E28</x:f>
        <x:v>2.12337786259542</x:v>
      </x:c>
      <x:c r="W145" s="6" t="n">
        <x:f>O145*'固定基底'!$B$4/1000</x:f>
        <x:v>3.26</x:v>
      </x:c>
      <x:c r="X145" s="6" t="n">
        <x:f>P145*'固定基底'!$B$4/1000</x:f>
        <x:v>718</x:v>
      </x:c>
      <x:c r="Y145" s="6" t="n">
        <x:f>Q145*'固定基底'!$B$4/1000</x:f>
        <x:v>110.9</x:v>
      </x:c>
      <x:c r="Z145" s="6" t="n">
        <x:f>R145*'固定基底'!$B$4/1000</x:f>
        <x:v>11.1265</x:v>
      </x:c>
      <x:c r="AA145" s="2" t="n">
        <x:f>'固定基底'!$C$7</x:f>
        <x:v>92796.92267241378</x:v>
      </x:c>
      <x:c r="AB145" s="2" t="n">
        <x:f>'固定基底'!$C$8</x:f>
        <x:v>104175.5097553192</x:v>
      </x:c>
      <x:c r="AC145" s="2" t="n">
        <x:f>'固定基底'!$E$7</x:f>
        <x:v>1855.9384534482756</x:v>
      </x:c>
      <x:c r="AD145" s="2" t="n">
        <x:f>'固定基底'!$E$8</x:f>
        <x:v>2083.510195106384</x:v>
      </x:c>
    </x:row>
    <x:row r="146" ht="25" customHeight="1">
      <x:c r="A146" s="5" t="str">
        <x:v>G06-03</x:v>
      </x:c>
      <x:c r="B146" s="5" t="str">
        <x:v>G06</x:v>
      </x:c>
      <x:c r="C146" s="5" t="str">
        <x:v>BBD</x:v>
      </x:c>
      <x:c r="D146" s="5" t="str">
        <x:v>拟合</x:v>
      </x:c>
      <x:c r="E146" s="5" t="str">
        <x:v>边点</x:v>
      </x:c>
      <x:c r="F146" s="5" t="str"/>
      <x:c r="G146" s="5" t="str">
        <x:v>丁酸乙酯</x:v>
      </x:c>
      <x:c r="H146" s="5" t="str">
        <x:v>2-甲基丙醛</x:v>
      </x:c>
      <x:c r="I146" s="5" t="str">
        <x:v>异戊醛</x:v>
      </x:c>
      <x:c r="J146" s="5" t="str">
        <x:v>苯乙醛</x:v>
      </x:c>
      <x:c r="K146" s="5" t="str">
        <x:v>H</x:v>
      </x:c>
      <x:c r="L146" s="5" t="str">
        <x:v>L</x:v>
      </x:c>
      <x:c r="M146" s="5" t="str">
        <x:v>M</x:v>
      </x:c>
      <x:c r="N146" s="5" t="str">
        <x:v>M</x:v>
      </x:c>
      <x:c r="O146" s="6" t="n">
        <x:f>'浓度水平'!H16</x:f>
        <x:v>1290235</x:v>
      </x:c>
      <x:c r="P146" s="6" t="n">
        <x:f>'浓度水平'!F11</x:f>
        <x:v>11.8</x:v>
      </x:c>
      <x:c r="Q146" s="6" t="n">
        <x:f>'浓度水平'!G39</x:f>
        <x:v>5545</x:v>
      </x:c>
      <x:c r="R146" s="6" t="n">
        <x:f>'浓度水平'!G28</x:f>
        <x:v>556.325</x:v>
      </x:c>
      <x:c r="S146" s="6" t="n">
        <x:f>O146/'浓度水平'!E16</x:f>
        <x:v>15831.104294478528</x:v>
      </x:c>
      <x:c r="T146" s="6" t="n">
        <x:f>P146/'浓度水平'!E11</x:f>
        <x:v>2</x:v>
      </x:c>
      <x:c r="U146" s="6" t="n">
        <x:f>Q146/'浓度水平'!E39</x:f>
        <x:v>336.06060606060606</x:v>
      </x:c>
      <x:c r="V146" s="6" t="n">
        <x:f>R146/'浓度水平'!E28</x:f>
        <x:v>2.12337786259542</x:v>
      </x:c>
      <x:c r="W146" s="6" t="n">
        <x:f>O146*'固定基底'!$B$4/1000</x:f>
        <x:v>25804.7</x:v>
      </x:c>
      <x:c r="X146" s="6" t="n">
        <x:f>P146*'固定基底'!$B$4/1000</x:f>
        <x:v>0.236</x:v>
      </x:c>
      <x:c r="Y146" s="6" t="n">
        <x:f>Q146*'固定基底'!$B$4/1000</x:f>
        <x:v>110.9</x:v>
      </x:c>
      <x:c r="Z146" s="6" t="n">
        <x:f>R146*'固定基底'!$B$4/1000</x:f>
        <x:v>11.1265</x:v>
      </x:c>
      <x:c r="AA146" s="2" t="n">
        <x:f>'固定基底'!$C$7</x:f>
        <x:v>92796.92267241378</x:v>
      </x:c>
      <x:c r="AB146" s="2" t="n">
        <x:f>'固定基底'!$C$8</x:f>
        <x:v>104175.5097553192</x:v>
      </x:c>
      <x:c r="AC146" s="2" t="n">
        <x:f>'固定基底'!$E$7</x:f>
        <x:v>1855.9384534482756</x:v>
      </x:c>
      <x:c r="AD146" s="2" t="n">
        <x:f>'固定基底'!$E$8</x:f>
        <x:v>2083.510195106384</x:v>
      </x:c>
    </x:row>
    <x:row r="147" ht="25" customHeight="1">
      <x:c r="A147" s="5" t="str">
        <x:v>G06-04</x:v>
      </x:c>
      <x:c r="B147" s="5" t="str">
        <x:v>G06</x:v>
      </x:c>
      <x:c r="C147" s="5" t="str">
        <x:v>BBD</x:v>
      </x:c>
      <x:c r="D147" s="5" t="str">
        <x:v>拟合</x:v>
      </x:c>
      <x:c r="E147" s="5" t="str">
        <x:v>边点</x:v>
      </x:c>
      <x:c r="F147" s="5" t="str"/>
      <x:c r="G147" s="5" t="str">
        <x:v>丁酸乙酯</x:v>
      </x:c>
      <x:c r="H147" s="5" t="str">
        <x:v>2-甲基丙醛</x:v>
      </x:c>
      <x:c r="I147" s="5" t="str">
        <x:v>异戊醛</x:v>
      </x:c>
      <x:c r="J147" s="5" t="str">
        <x:v>苯乙醛</x:v>
      </x:c>
      <x:c r="K147" s="5" t="str">
        <x:v>H</x:v>
      </x:c>
      <x:c r="L147" s="5" t="str">
        <x:v>H</x:v>
      </x:c>
      <x:c r="M147" s="5" t="str">
        <x:v>M</x:v>
      </x:c>
      <x:c r="N147" s="5" t="str">
        <x:v>M</x:v>
      </x:c>
      <x:c r="O147" s="6" t="n">
        <x:f>'浓度水平'!H16</x:f>
        <x:v>1290235</x:v>
      </x:c>
      <x:c r="P147" s="6" t="n">
        <x:f>'浓度水平'!H11</x:f>
        <x:v>35900</x:v>
      </x:c>
      <x:c r="Q147" s="6" t="n">
        <x:f>'浓度水平'!G39</x:f>
        <x:v>5545</x:v>
      </x:c>
      <x:c r="R147" s="6" t="n">
        <x:f>'浓度水平'!G28</x:f>
        <x:v>556.325</x:v>
      </x:c>
      <x:c r="S147" s="6" t="n">
        <x:f>O147/'浓度水平'!E16</x:f>
        <x:v>15831.104294478528</x:v>
      </x:c>
      <x:c r="T147" s="6" t="n">
        <x:f>P147/'浓度水平'!E11</x:f>
        <x:v>6084.745762711864</x:v>
      </x:c>
      <x:c r="U147" s="6" t="n">
        <x:f>Q147/'浓度水平'!E39</x:f>
        <x:v>336.06060606060606</x:v>
      </x:c>
      <x:c r="V147" s="6" t="n">
        <x:f>R147/'浓度水平'!E28</x:f>
        <x:v>2.12337786259542</x:v>
      </x:c>
      <x:c r="W147" s="6" t="n">
        <x:f>O147*'固定基底'!$B$4/1000</x:f>
        <x:v>25804.7</x:v>
      </x:c>
      <x:c r="X147" s="6" t="n">
        <x:f>P147*'固定基底'!$B$4/1000</x:f>
        <x:v>718</x:v>
      </x:c>
      <x:c r="Y147" s="6" t="n">
        <x:f>Q147*'固定基底'!$B$4/1000</x:f>
        <x:v>110.9</x:v>
      </x:c>
      <x:c r="Z147" s="6" t="n">
        <x:f>R147*'固定基底'!$B$4/1000</x:f>
        <x:v>11.1265</x:v>
      </x:c>
      <x:c r="AA147" s="2" t="n">
        <x:f>'固定基底'!$C$7</x:f>
        <x:v>92796.92267241378</x:v>
      </x:c>
      <x:c r="AB147" s="2" t="n">
        <x:f>'固定基底'!$C$8</x:f>
        <x:v>104175.5097553192</x:v>
      </x:c>
      <x:c r="AC147" s="2" t="n">
        <x:f>'固定基底'!$E$7</x:f>
        <x:v>1855.9384534482756</x:v>
      </x:c>
      <x:c r="AD147" s="2" t="n">
        <x:f>'固定基底'!$E$8</x:f>
        <x:v>2083.510195106384</x:v>
      </x:c>
    </x:row>
    <x:row r="148" ht="25" customHeight="1">
      <x:c r="A148" s="5" t="str">
        <x:v>G06-05</x:v>
      </x:c>
      <x:c r="B148" s="5" t="str">
        <x:v>G06</x:v>
      </x:c>
      <x:c r="C148" s="5" t="str">
        <x:v>BBD</x:v>
      </x:c>
      <x:c r="D148" s="5" t="str">
        <x:v>拟合</x:v>
      </x:c>
      <x:c r="E148" s="5" t="str">
        <x:v>边点</x:v>
      </x:c>
      <x:c r="F148" s="5" t="str"/>
      <x:c r="G148" s="5" t="str">
        <x:v>丁酸乙酯</x:v>
      </x:c>
      <x:c r="H148" s="5" t="str">
        <x:v>2-甲基丙醛</x:v>
      </x:c>
      <x:c r="I148" s="5" t="str">
        <x:v>异戊醛</x:v>
      </x:c>
      <x:c r="J148" s="5" t="str">
        <x:v>苯乙醛</x:v>
      </x:c>
      <x:c r="K148" s="5" t="str">
        <x:v>L</x:v>
      </x:c>
      <x:c r="L148" s="5" t="str">
        <x:v>M</x:v>
      </x:c>
      <x:c r="M148" s="5" t="str">
        <x:v>L</x:v>
      </x:c>
      <x:c r="N148" s="5" t="str">
        <x:v>M</x:v>
      </x:c>
      <x:c r="O148" s="6" t="n">
        <x:f>'浓度水平'!F16</x:f>
        <x:v>163</x:v>
      </x:c>
      <x:c r="P148" s="6" t="n">
        <x:f>'浓度水平'!G11</x:f>
        <x:v>954.06</x:v>
      </x:c>
      <x:c r="Q148" s="6" t="n">
        <x:f>'浓度水平'!F39</x:f>
        <x:v>33</x:v>
      </x:c>
      <x:c r="R148" s="6" t="n">
        <x:f>'浓度水平'!G28</x:f>
        <x:v>556.325</x:v>
      </x:c>
      <x:c r="S148" s="6" t="n">
        <x:f>O148/'浓度水平'!E16</x:f>
        <x:v>2</x:v>
      </x:c>
      <x:c r="T148" s="6" t="n">
        <x:f>P148/'浓度水平'!E11</x:f>
        <x:v>161.7050847457627</x:v>
      </x:c>
      <x:c r="U148" s="6" t="n">
        <x:f>Q148/'浓度水平'!E39</x:f>
        <x:v>2</x:v>
      </x:c>
      <x:c r="V148" s="6" t="n">
        <x:f>R148/'浓度水平'!E28</x:f>
        <x:v>2.12337786259542</x:v>
      </x:c>
      <x:c r="W148" s="6" t="n">
        <x:f>O148*'固定基底'!$B$4/1000</x:f>
        <x:v>3.26</x:v>
      </x:c>
      <x:c r="X148" s="6" t="n">
        <x:f>P148*'固定基底'!$B$4/1000</x:f>
        <x:v>19.081199999999995</x:v>
      </x:c>
      <x:c r="Y148" s="6" t="n">
        <x:f>Q148*'固定基底'!$B$4/1000</x:f>
        <x:v>0.66</x:v>
      </x:c>
      <x:c r="Z148" s="6" t="n">
        <x:f>R148*'固定基底'!$B$4/1000</x:f>
        <x:v>11.1265</x:v>
      </x:c>
      <x:c r="AA148" s="2" t="n">
        <x:f>'固定基底'!$C$7</x:f>
        <x:v>92796.92267241378</x:v>
      </x:c>
      <x:c r="AB148" s="2" t="n">
        <x:f>'固定基底'!$C$8</x:f>
        <x:v>104175.5097553192</x:v>
      </x:c>
      <x:c r="AC148" s="2" t="n">
        <x:f>'固定基底'!$E$7</x:f>
        <x:v>1855.9384534482756</x:v>
      </x:c>
      <x:c r="AD148" s="2" t="n">
        <x:f>'固定基底'!$E$8</x:f>
        <x:v>2083.510195106384</x:v>
      </x:c>
    </x:row>
    <x:row r="149" ht="25" customHeight="1">
      <x:c r="A149" s="5" t="str">
        <x:v>G06-06</x:v>
      </x:c>
      <x:c r="B149" s="5" t="str">
        <x:v>G06</x:v>
      </x:c>
      <x:c r="C149" s="5" t="str">
        <x:v>BBD</x:v>
      </x:c>
      <x:c r="D149" s="5" t="str">
        <x:v>拟合</x:v>
      </x:c>
      <x:c r="E149" s="5" t="str">
        <x:v>边点</x:v>
      </x:c>
      <x:c r="F149" s="5" t="str"/>
      <x:c r="G149" s="5" t="str">
        <x:v>丁酸乙酯</x:v>
      </x:c>
      <x:c r="H149" s="5" t="str">
        <x:v>2-甲基丙醛</x:v>
      </x:c>
      <x:c r="I149" s="5" t="str">
        <x:v>异戊醛</x:v>
      </x:c>
      <x:c r="J149" s="5" t="str">
        <x:v>苯乙醛</x:v>
      </x:c>
      <x:c r="K149" s="5" t="str">
        <x:v>L</x:v>
      </x:c>
      <x:c r="L149" s="5" t="str">
        <x:v>M</x:v>
      </x:c>
      <x:c r="M149" s="5" t="str">
        <x:v>H</x:v>
      </x:c>
      <x:c r="N149" s="5" t="str">
        <x:v>M</x:v>
      </x:c>
      <x:c r="O149" s="6" t="n">
        <x:f>'浓度水平'!F16</x:f>
        <x:v>163</x:v>
      </x:c>
      <x:c r="P149" s="6" t="n">
        <x:f>'浓度水平'!G11</x:f>
        <x:v>954.06</x:v>
      </x:c>
      <x:c r="Q149" s="6" t="n">
        <x:f>'浓度水平'!H39</x:f>
        <x:v>227200</x:v>
      </x:c>
      <x:c r="R149" s="6" t="n">
        <x:f>'浓度水平'!G28</x:f>
        <x:v>556.325</x:v>
      </x:c>
      <x:c r="S149" s="6" t="n">
        <x:f>O149/'浓度水平'!E16</x:f>
        <x:v>2</x:v>
      </x:c>
      <x:c r="T149" s="6" t="n">
        <x:f>P149/'浓度水平'!E11</x:f>
        <x:v>161.7050847457627</x:v>
      </x:c>
      <x:c r="U149" s="6" t="n">
        <x:f>Q149/'浓度水平'!E39</x:f>
        <x:v>13769.69696969697</x:v>
      </x:c>
      <x:c r="V149" s="6" t="n">
        <x:f>R149/'浓度水平'!E28</x:f>
        <x:v>2.12337786259542</x:v>
      </x:c>
      <x:c r="W149" s="6" t="n">
        <x:f>O149*'固定基底'!$B$4/1000</x:f>
        <x:v>3.26</x:v>
      </x:c>
      <x:c r="X149" s="6" t="n">
        <x:f>P149*'固定基底'!$B$4/1000</x:f>
        <x:v>19.081199999999995</x:v>
      </x:c>
      <x:c r="Y149" s="6" t="n">
        <x:f>Q149*'固定基底'!$B$4/1000</x:f>
        <x:v>4544</x:v>
      </x:c>
      <x:c r="Z149" s="6" t="n">
        <x:f>R149*'固定基底'!$B$4/1000</x:f>
        <x:v>11.1265</x:v>
      </x:c>
      <x:c r="AA149" s="2" t="n">
        <x:f>'固定基底'!$C$7</x:f>
        <x:v>92796.92267241378</x:v>
      </x:c>
      <x:c r="AB149" s="2" t="n">
        <x:f>'固定基底'!$C$8</x:f>
        <x:v>104175.5097553192</x:v>
      </x:c>
      <x:c r="AC149" s="2" t="n">
        <x:f>'固定基底'!$E$7</x:f>
        <x:v>1855.9384534482756</x:v>
      </x:c>
      <x:c r="AD149" s="2" t="n">
        <x:f>'固定基底'!$E$8</x:f>
        <x:v>2083.510195106384</x:v>
      </x:c>
    </x:row>
    <x:row r="150" ht="25" customHeight="1">
      <x:c r="A150" s="5" t="str">
        <x:v>G06-07</x:v>
      </x:c>
      <x:c r="B150" s="5" t="str">
        <x:v>G06</x:v>
      </x:c>
      <x:c r="C150" s="5" t="str">
        <x:v>BBD</x:v>
      </x:c>
      <x:c r="D150" s="5" t="str">
        <x:v>拟合</x:v>
      </x:c>
      <x:c r="E150" s="5" t="str">
        <x:v>边点</x:v>
      </x:c>
      <x:c r="F150" s="5" t="str"/>
      <x:c r="G150" s="5" t="str">
        <x:v>丁酸乙酯</x:v>
      </x:c>
      <x:c r="H150" s="5" t="str">
        <x:v>2-甲基丙醛</x:v>
      </x:c>
      <x:c r="I150" s="5" t="str">
        <x:v>异戊醛</x:v>
      </x:c>
      <x:c r="J150" s="5" t="str">
        <x:v>苯乙醛</x:v>
      </x:c>
      <x:c r="K150" s="5" t="str">
        <x:v>H</x:v>
      </x:c>
      <x:c r="L150" s="5" t="str">
        <x:v>M</x:v>
      </x:c>
      <x:c r="M150" s="5" t="str">
        <x:v>L</x:v>
      </x:c>
      <x:c r="N150" s="5" t="str">
        <x:v>M</x:v>
      </x:c>
      <x:c r="O150" s="6" t="n">
        <x:f>'浓度水平'!H16</x:f>
        <x:v>1290235</x:v>
      </x:c>
      <x:c r="P150" s="6" t="n">
        <x:f>'浓度水平'!G11</x:f>
        <x:v>954.06</x:v>
      </x:c>
      <x:c r="Q150" s="6" t="n">
        <x:f>'浓度水平'!F39</x:f>
        <x:v>33</x:v>
      </x:c>
      <x:c r="R150" s="6" t="n">
        <x:f>'浓度水平'!G28</x:f>
        <x:v>556.325</x:v>
      </x:c>
      <x:c r="S150" s="6" t="n">
        <x:f>O150/'浓度水平'!E16</x:f>
        <x:v>15831.104294478528</x:v>
      </x:c>
      <x:c r="T150" s="6" t="n">
        <x:f>P150/'浓度水平'!E11</x:f>
        <x:v>161.7050847457627</x:v>
      </x:c>
      <x:c r="U150" s="6" t="n">
        <x:f>Q150/'浓度水平'!E39</x:f>
        <x:v>2</x:v>
      </x:c>
      <x:c r="V150" s="6" t="n">
        <x:f>R150/'浓度水平'!E28</x:f>
        <x:v>2.12337786259542</x:v>
      </x:c>
      <x:c r="W150" s="6" t="n">
        <x:f>O150*'固定基底'!$B$4/1000</x:f>
        <x:v>25804.7</x:v>
      </x:c>
      <x:c r="X150" s="6" t="n">
        <x:f>P150*'固定基底'!$B$4/1000</x:f>
        <x:v>19.081199999999995</x:v>
      </x:c>
      <x:c r="Y150" s="6" t="n">
        <x:f>Q150*'固定基底'!$B$4/1000</x:f>
        <x:v>0.66</x:v>
      </x:c>
      <x:c r="Z150" s="6" t="n">
        <x:f>R150*'固定基底'!$B$4/1000</x:f>
        <x:v>11.1265</x:v>
      </x:c>
      <x:c r="AA150" s="2" t="n">
        <x:f>'固定基底'!$C$7</x:f>
        <x:v>92796.92267241378</x:v>
      </x:c>
      <x:c r="AB150" s="2" t="n">
        <x:f>'固定基底'!$C$8</x:f>
        <x:v>104175.5097553192</x:v>
      </x:c>
      <x:c r="AC150" s="2" t="n">
        <x:f>'固定基底'!$E$7</x:f>
        <x:v>1855.9384534482756</x:v>
      </x:c>
      <x:c r="AD150" s="2" t="n">
        <x:f>'固定基底'!$E$8</x:f>
        <x:v>2083.510195106384</x:v>
      </x:c>
    </x:row>
    <x:row r="151" ht="25" customHeight="1">
      <x:c r="A151" s="5" t="str">
        <x:v>G06-08</x:v>
      </x:c>
      <x:c r="B151" s="5" t="str">
        <x:v>G06</x:v>
      </x:c>
      <x:c r="C151" s="5" t="str">
        <x:v>BBD</x:v>
      </x:c>
      <x:c r="D151" s="5" t="str">
        <x:v>拟合</x:v>
      </x:c>
      <x:c r="E151" s="5" t="str">
        <x:v>边点</x:v>
      </x:c>
      <x:c r="F151" s="5" t="str"/>
      <x:c r="G151" s="5" t="str">
        <x:v>丁酸乙酯</x:v>
      </x:c>
      <x:c r="H151" s="5" t="str">
        <x:v>2-甲基丙醛</x:v>
      </x:c>
      <x:c r="I151" s="5" t="str">
        <x:v>异戊醛</x:v>
      </x:c>
      <x:c r="J151" s="5" t="str">
        <x:v>苯乙醛</x:v>
      </x:c>
      <x:c r="K151" s="5" t="str">
        <x:v>H</x:v>
      </x:c>
      <x:c r="L151" s="5" t="str">
        <x:v>M</x:v>
      </x:c>
      <x:c r="M151" s="5" t="str">
        <x:v>H</x:v>
      </x:c>
      <x:c r="N151" s="5" t="str">
        <x:v>M</x:v>
      </x:c>
      <x:c r="O151" s="6" t="n">
        <x:f>'浓度水平'!H16</x:f>
        <x:v>1290235</x:v>
      </x:c>
      <x:c r="P151" s="6" t="n">
        <x:f>'浓度水平'!G11</x:f>
        <x:v>954.06</x:v>
      </x:c>
      <x:c r="Q151" s="6" t="n">
        <x:f>'浓度水平'!H39</x:f>
        <x:v>227200</x:v>
      </x:c>
      <x:c r="R151" s="6" t="n">
        <x:f>'浓度水平'!G28</x:f>
        <x:v>556.325</x:v>
      </x:c>
      <x:c r="S151" s="6" t="n">
        <x:f>O151/'浓度水平'!E16</x:f>
        <x:v>15831.104294478528</x:v>
      </x:c>
      <x:c r="T151" s="6" t="n">
        <x:f>P151/'浓度水平'!E11</x:f>
        <x:v>161.7050847457627</x:v>
      </x:c>
      <x:c r="U151" s="6" t="n">
        <x:f>Q151/'浓度水平'!E39</x:f>
        <x:v>13769.69696969697</x:v>
      </x:c>
      <x:c r="V151" s="6" t="n">
        <x:f>R151/'浓度水平'!E28</x:f>
        <x:v>2.12337786259542</x:v>
      </x:c>
      <x:c r="W151" s="6" t="n">
        <x:f>O151*'固定基底'!$B$4/1000</x:f>
        <x:v>25804.7</x:v>
      </x:c>
      <x:c r="X151" s="6" t="n">
        <x:f>P151*'固定基底'!$B$4/1000</x:f>
        <x:v>19.081199999999995</x:v>
      </x:c>
      <x:c r="Y151" s="6" t="n">
        <x:f>Q151*'固定基底'!$B$4/1000</x:f>
        <x:v>4544</x:v>
      </x:c>
      <x:c r="Z151" s="6" t="n">
        <x:f>R151*'固定基底'!$B$4/1000</x:f>
        <x:v>11.1265</x:v>
      </x:c>
      <x:c r="AA151" s="2" t="n">
        <x:f>'固定基底'!$C$7</x:f>
        <x:v>92796.92267241378</x:v>
      </x:c>
      <x:c r="AB151" s="2" t="n">
        <x:f>'固定基底'!$C$8</x:f>
        <x:v>104175.5097553192</x:v>
      </x:c>
      <x:c r="AC151" s="2" t="n">
        <x:f>'固定基底'!$E$7</x:f>
        <x:v>1855.9384534482756</x:v>
      </x:c>
      <x:c r="AD151" s="2" t="n">
        <x:f>'固定基底'!$E$8</x:f>
        <x:v>2083.510195106384</x:v>
      </x:c>
    </x:row>
    <x:row r="152" ht="25" customHeight="1">
      <x:c r="A152" s="5" t="str">
        <x:v>G06-09</x:v>
      </x:c>
      <x:c r="B152" s="5" t="str">
        <x:v>G06</x:v>
      </x:c>
      <x:c r="C152" s="5" t="str">
        <x:v>BBD</x:v>
      </x:c>
      <x:c r="D152" s="5" t="str">
        <x:v>拟合</x:v>
      </x:c>
      <x:c r="E152" s="5" t="str">
        <x:v>边点</x:v>
      </x:c>
      <x:c r="F152" s="5" t="str"/>
      <x:c r="G152" s="5" t="str">
        <x:v>丁酸乙酯</x:v>
      </x:c>
      <x:c r="H152" s="5" t="str">
        <x:v>2-甲基丙醛</x:v>
      </x:c>
      <x:c r="I152" s="5" t="str">
        <x:v>异戊醛</x:v>
      </x:c>
      <x:c r="J152" s="5" t="str">
        <x:v>苯乙醛</x:v>
      </x:c>
      <x:c r="K152" s="5" t="str">
        <x:v>L</x:v>
      </x:c>
      <x:c r="L152" s="5" t="str">
        <x:v>M</x:v>
      </x:c>
      <x:c r="M152" s="5" t="str">
        <x:v>M</x:v>
      </x:c>
      <x:c r="N152" s="5" t="str">
        <x:v>L</x:v>
      </x:c>
      <x:c r="O152" s="6" t="n">
        <x:f>'浓度水平'!F16</x:f>
        <x:v>163</x:v>
      </x:c>
      <x:c r="P152" s="6" t="n">
        <x:f>'浓度水平'!G11</x:f>
        <x:v>954.06</x:v>
      </x:c>
      <x:c r="Q152" s="6" t="n">
        <x:f>'浓度水平'!G39</x:f>
        <x:v>5545</x:v>
      </x:c>
      <x:c r="R152" s="6" t="n">
        <x:f>'浓度水平'!F28</x:f>
        <x:v>524</x:v>
      </x:c>
      <x:c r="S152" s="6" t="n">
        <x:f>O152/'浓度水平'!E16</x:f>
        <x:v>2</x:v>
      </x:c>
      <x:c r="T152" s="6" t="n">
        <x:f>P152/'浓度水平'!E11</x:f>
        <x:v>161.7050847457627</x:v>
      </x:c>
      <x:c r="U152" s="6" t="n">
        <x:f>Q152/'浓度水平'!E39</x:f>
        <x:v>336.06060606060606</x:v>
      </x:c>
      <x:c r="V152" s="6" t="n">
        <x:f>R152/'浓度水平'!E28</x:f>
        <x:v>2</x:v>
      </x:c>
      <x:c r="W152" s="6" t="n">
        <x:f>O152*'固定基底'!$B$4/1000</x:f>
        <x:v>3.26</x:v>
      </x:c>
      <x:c r="X152" s="6" t="n">
        <x:f>P152*'固定基底'!$B$4/1000</x:f>
        <x:v>19.081199999999995</x:v>
      </x:c>
      <x:c r="Y152" s="6" t="n">
        <x:f>Q152*'固定基底'!$B$4/1000</x:f>
        <x:v>110.9</x:v>
      </x:c>
      <x:c r="Z152" s="6" t="n">
        <x:f>R152*'固定基底'!$B$4/1000</x:f>
        <x:v>10.48</x:v>
      </x:c>
      <x:c r="AA152" s="2" t="n">
        <x:f>'固定基底'!$C$7</x:f>
        <x:v>92796.92267241378</x:v>
      </x:c>
      <x:c r="AB152" s="2" t="n">
        <x:f>'固定基底'!$C$8</x:f>
        <x:v>104175.5097553192</x:v>
      </x:c>
      <x:c r="AC152" s="2" t="n">
        <x:f>'固定基底'!$E$7</x:f>
        <x:v>1855.9384534482756</x:v>
      </x:c>
      <x:c r="AD152" s="2" t="n">
        <x:f>'固定基底'!$E$8</x:f>
        <x:v>2083.510195106384</x:v>
      </x:c>
    </x:row>
    <x:row r="153" ht="25" customHeight="1">
      <x:c r="A153" s="5" t="str">
        <x:v>G06-10</x:v>
      </x:c>
      <x:c r="B153" s="5" t="str">
        <x:v>G06</x:v>
      </x:c>
      <x:c r="C153" s="5" t="str">
        <x:v>BBD</x:v>
      </x:c>
      <x:c r="D153" s="5" t="str">
        <x:v>拟合</x:v>
      </x:c>
      <x:c r="E153" s="5" t="str">
        <x:v>边点</x:v>
      </x:c>
      <x:c r="F153" s="5" t="str"/>
      <x:c r="G153" s="5" t="str">
        <x:v>丁酸乙酯</x:v>
      </x:c>
      <x:c r="H153" s="5" t="str">
        <x:v>2-甲基丙醛</x:v>
      </x:c>
      <x:c r="I153" s="5" t="str">
        <x:v>异戊醛</x:v>
      </x:c>
      <x:c r="J153" s="5" t="str">
        <x:v>苯乙醛</x:v>
      </x:c>
      <x:c r="K153" s="5" t="str">
        <x:v>L</x:v>
      </x:c>
      <x:c r="L153" s="5" t="str">
        <x:v>M</x:v>
      </x:c>
      <x:c r="M153" s="5" t="str">
        <x:v>M</x:v>
      </x:c>
      <x:c r="N153" s="5" t="str">
        <x:v>H</x:v>
      </x:c>
      <x:c r="O153" s="6" t="n">
        <x:f>'浓度水平'!F16</x:f>
        <x:v>163</x:v>
      </x:c>
      <x:c r="P153" s="6" t="n">
        <x:f>'浓度水平'!G11</x:f>
        <x:v>954.06</x:v>
      </x:c>
      <x:c r="Q153" s="6" t="n">
        <x:f>'浓度水平'!G39</x:f>
        <x:v>5545</x:v>
      </x:c>
      <x:c r="R153" s="6" t="n">
        <x:f>'浓度水平'!H28</x:f>
        <x:v>15730</x:v>
      </x:c>
      <x:c r="S153" s="6" t="n">
        <x:f>O153/'浓度水平'!E16</x:f>
        <x:v>2</x:v>
      </x:c>
      <x:c r="T153" s="6" t="n">
        <x:f>P153/'浓度水平'!E11</x:f>
        <x:v>161.7050847457627</x:v>
      </x:c>
      <x:c r="U153" s="6" t="n">
        <x:f>Q153/'浓度水平'!E39</x:f>
        <x:v>336.06060606060606</x:v>
      </x:c>
      <x:c r="V153" s="6" t="n">
        <x:f>R153/'浓度水平'!E28</x:f>
        <x:v>60.038167938931295</x:v>
      </x:c>
      <x:c r="W153" s="6" t="n">
        <x:f>O153*'固定基底'!$B$4/1000</x:f>
        <x:v>3.26</x:v>
      </x:c>
      <x:c r="X153" s="6" t="n">
        <x:f>P153*'固定基底'!$B$4/1000</x:f>
        <x:v>19.081199999999995</x:v>
      </x:c>
      <x:c r="Y153" s="6" t="n">
        <x:f>Q153*'固定基底'!$B$4/1000</x:f>
        <x:v>110.9</x:v>
      </x:c>
      <x:c r="Z153" s="6" t="n">
        <x:f>R153*'固定基底'!$B$4/1000</x:f>
        <x:v>314.6</x:v>
      </x:c>
      <x:c r="AA153" s="2" t="n">
        <x:f>'固定基底'!$C$7</x:f>
        <x:v>92796.92267241378</x:v>
      </x:c>
      <x:c r="AB153" s="2" t="n">
        <x:f>'固定基底'!$C$8</x:f>
        <x:v>104175.5097553192</x:v>
      </x:c>
      <x:c r="AC153" s="2" t="n">
        <x:f>'固定基底'!$E$7</x:f>
        <x:v>1855.9384534482756</x:v>
      </x:c>
      <x:c r="AD153" s="2" t="n">
        <x:f>'固定基底'!$E$8</x:f>
        <x:v>2083.510195106384</x:v>
      </x:c>
    </x:row>
    <x:row r="154" ht="25" customHeight="1">
      <x:c r="A154" s="5" t="str">
        <x:v>G06-11</x:v>
      </x:c>
      <x:c r="B154" s="5" t="str">
        <x:v>G06</x:v>
      </x:c>
      <x:c r="C154" s="5" t="str">
        <x:v>BBD</x:v>
      </x:c>
      <x:c r="D154" s="5" t="str">
        <x:v>拟合</x:v>
      </x:c>
      <x:c r="E154" s="5" t="str">
        <x:v>边点</x:v>
      </x:c>
      <x:c r="F154" s="5" t="str"/>
      <x:c r="G154" s="5" t="str">
        <x:v>丁酸乙酯</x:v>
      </x:c>
      <x:c r="H154" s="5" t="str">
        <x:v>2-甲基丙醛</x:v>
      </x:c>
      <x:c r="I154" s="5" t="str">
        <x:v>异戊醛</x:v>
      </x:c>
      <x:c r="J154" s="5" t="str">
        <x:v>苯乙醛</x:v>
      </x:c>
      <x:c r="K154" s="5" t="str">
        <x:v>H</x:v>
      </x:c>
      <x:c r="L154" s="5" t="str">
        <x:v>M</x:v>
      </x:c>
      <x:c r="M154" s="5" t="str">
        <x:v>M</x:v>
      </x:c>
      <x:c r="N154" s="5" t="str">
        <x:v>L</x:v>
      </x:c>
      <x:c r="O154" s="6" t="n">
        <x:f>'浓度水平'!H16</x:f>
        <x:v>1290235</x:v>
      </x:c>
      <x:c r="P154" s="6" t="n">
        <x:f>'浓度水平'!G11</x:f>
        <x:v>954.06</x:v>
      </x:c>
      <x:c r="Q154" s="6" t="n">
        <x:f>'浓度水平'!G39</x:f>
        <x:v>5545</x:v>
      </x:c>
      <x:c r="R154" s="6" t="n">
        <x:f>'浓度水平'!F28</x:f>
        <x:v>524</x:v>
      </x:c>
      <x:c r="S154" s="6" t="n">
        <x:f>O154/'浓度水平'!E16</x:f>
        <x:v>15831.104294478528</x:v>
      </x:c>
      <x:c r="T154" s="6" t="n">
        <x:f>P154/'浓度水平'!E11</x:f>
        <x:v>161.7050847457627</x:v>
      </x:c>
      <x:c r="U154" s="6" t="n">
        <x:f>Q154/'浓度水平'!E39</x:f>
        <x:v>336.06060606060606</x:v>
      </x:c>
      <x:c r="V154" s="6" t="n">
        <x:f>R154/'浓度水平'!E28</x:f>
        <x:v>2</x:v>
      </x:c>
      <x:c r="W154" s="6" t="n">
        <x:f>O154*'固定基底'!$B$4/1000</x:f>
        <x:v>25804.7</x:v>
      </x:c>
      <x:c r="X154" s="6" t="n">
        <x:f>P154*'固定基底'!$B$4/1000</x:f>
        <x:v>19.081199999999995</x:v>
      </x:c>
      <x:c r="Y154" s="6" t="n">
        <x:f>Q154*'固定基底'!$B$4/1000</x:f>
        <x:v>110.9</x:v>
      </x:c>
      <x:c r="Z154" s="6" t="n">
        <x:f>R154*'固定基底'!$B$4/1000</x:f>
        <x:v>10.48</x:v>
      </x:c>
      <x:c r="AA154" s="2" t="n">
        <x:f>'固定基底'!$C$7</x:f>
        <x:v>92796.92267241378</x:v>
      </x:c>
      <x:c r="AB154" s="2" t="n">
        <x:f>'固定基底'!$C$8</x:f>
        <x:v>104175.5097553192</x:v>
      </x:c>
      <x:c r="AC154" s="2" t="n">
        <x:f>'固定基底'!$E$7</x:f>
        <x:v>1855.9384534482756</x:v>
      </x:c>
      <x:c r="AD154" s="2" t="n">
        <x:f>'固定基底'!$E$8</x:f>
        <x:v>2083.510195106384</x:v>
      </x:c>
    </x:row>
    <x:row r="155" ht="25" customHeight="1">
      <x:c r="A155" s="5" t="str">
        <x:v>G06-12</x:v>
      </x:c>
      <x:c r="B155" s="5" t="str">
        <x:v>G06</x:v>
      </x:c>
      <x:c r="C155" s="5" t="str">
        <x:v>BBD</x:v>
      </x:c>
      <x:c r="D155" s="5" t="str">
        <x:v>拟合</x:v>
      </x:c>
      <x:c r="E155" s="5" t="str">
        <x:v>边点</x:v>
      </x:c>
      <x:c r="F155" s="5" t="str"/>
      <x:c r="G155" s="5" t="str">
        <x:v>丁酸乙酯</x:v>
      </x:c>
      <x:c r="H155" s="5" t="str">
        <x:v>2-甲基丙醛</x:v>
      </x:c>
      <x:c r="I155" s="5" t="str">
        <x:v>异戊醛</x:v>
      </x:c>
      <x:c r="J155" s="5" t="str">
        <x:v>苯乙醛</x:v>
      </x:c>
      <x:c r="K155" s="5" t="str">
        <x:v>H</x:v>
      </x:c>
      <x:c r="L155" s="5" t="str">
        <x:v>M</x:v>
      </x:c>
      <x:c r="M155" s="5" t="str">
        <x:v>M</x:v>
      </x:c>
      <x:c r="N155" s="5" t="str">
        <x:v>H</x:v>
      </x:c>
      <x:c r="O155" s="6" t="n">
        <x:f>'浓度水平'!H16</x:f>
        <x:v>1290235</x:v>
      </x:c>
      <x:c r="P155" s="6" t="n">
        <x:f>'浓度水平'!G11</x:f>
        <x:v>954.06</x:v>
      </x:c>
      <x:c r="Q155" s="6" t="n">
        <x:f>'浓度水平'!G39</x:f>
        <x:v>5545</x:v>
      </x:c>
      <x:c r="R155" s="6" t="n">
        <x:f>'浓度水平'!H28</x:f>
        <x:v>15730</x:v>
      </x:c>
      <x:c r="S155" s="6" t="n">
        <x:f>O155/'浓度水平'!E16</x:f>
        <x:v>15831.104294478528</x:v>
      </x:c>
      <x:c r="T155" s="6" t="n">
        <x:f>P155/'浓度水平'!E11</x:f>
        <x:v>161.7050847457627</x:v>
      </x:c>
      <x:c r="U155" s="6" t="n">
        <x:f>Q155/'浓度水平'!E39</x:f>
        <x:v>336.06060606060606</x:v>
      </x:c>
      <x:c r="V155" s="6" t="n">
        <x:f>R155/'浓度水平'!E28</x:f>
        <x:v>60.038167938931295</x:v>
      </x:c>
      <x:c r="W155" s="6" t="n">
        <x:f>O155*'固定基底'!$B$4/1000</x:f>
        <x:v>25804.7</x:v>
      </x:c>
      <x:c r="X155" s="6" t="n">
        <x:f>P155*'固定基底'!$B$4/1000</x:f>
        <x:v>19.081199999999995</x:v>
      </x:c>
      <x:c r="Y155" s="6" t="n">
        <x:f>Q155*'固定基底'!$B$4/1000</x:f>
        <x:v>110.9</x:v>
      </x:c>
      <x:c r="Z155" s="6" t="n">
        <x:f>R155*'固定基底'!$B$4/1000</x:f>
        <x:v>314.6</x:v>
      </x:c>
      <x:c r="AA155" s="2" t="n">
        <x:f>'固定基底'!$C$7</x:f>
        <x:v>92796.92267241378</x:v>
      </x:c>
      <x:c r="AB155" s="2" t="n">
        <x:f>'固定基底'!$C$8</x:f>
        <x:v>104175.5097553192</x:v>
      </x:c>
      <x:c r="AC155" s="2" t="n">
        <x:f>'固定基底'!$E$7</x:f>
        <x:v>1855.9384534482756</x:v>
      </x:c>
      <x:c r="AD155" s="2" t="n">
        <x:f>'固定基底'!$E$8</x:f>
        <x:v>2083.510195106384</x:v>
      </x:c>
    </x:row>
    <x:row r="156" ht="25" customHeight="1">
      <x:c r="A156" s="5" t="str">
        <x:v>G06-13</x:v>
      </x:c>
      <x:c r="B156" s="5" t="str">
        <x:v>G06</x:v>
      </x:c>
      <x:c r="C156" s="5" t="str">
        <x:v>BBD</x:v>
      </x:c>
      <x:c r="D156" s="5" t="str">
        <x:v>拟合</x:v>
      </x:c>
      <x:c r="E156" s="5" t="str">
        <x:v>边点</x:v>
      </x:c>
      <x:c r="F156" s="5" t="str"/>
      <x:c r="G156" s="5" t="str">
        <x:v>丁酸乙酯</x:v>
      </x:c>
      <x:c r="H156" s="5" t="str">
        <x:v>2-甲基丙醛</x:v>
      </x:c>
      <x:c r="I156" s="5" t="str">
        <x:v>异戊醛</x:v>
      </x:c>
      <x:c r="J156" s="5" t="str">
        <x:v>苯乙醛</x:v>
      </x:c>
      <x:c r="K156" s="5" t="str">
        <x:v>M</x:v>
      </x:c>
      <x:c r="L156" s="5" t="str">
        <x:v>L</x:v>
      </x:c>
      <x:c r="M156" s="5" t="str">
        <x:v>L</x:v>
      </x:c>
      <x:c r="N156" s="5" t="str">
        <x:v>M</x:v>
      </x:c>
      <x:c r="O156" s="6" t="n">
        <x:f>'浓度水平'!G16</x:f>
        <x:v>11516</x:v>
      </x:c>
      <x:c r="P156" s="6" t="n">
        <x:f>'浓度水平'!F11</x:f>
        <x:v>11.8</x:v>
      </x:c>
      <x:c r="Q156" s="6" t="n">
        <x:f>'浓度水平'!F39</x:f>
        <x:v>33</x:v>
      </x:c>
      <x:c r="R156" s="6" t="n">
        <x:f>'浓度水平'!G28</x:f>
        <x:v>556.325</x:v>
      </x:c>
      <x:c r="S156" s="6" t="n">
        <x:f>O156/'浓度水平'!E16</x:f>
        <x:v>141.30061349693253</x:v>
      </x:c>
      <x:c r="T156" s="6" t="n">
        <x:f>P156/'浓度水平'!E11</x:f>
        <x:v>2</x:v>
      </x:c>
      <x:c r="U156" s="6" t="n">
        <x:f>Q156/'浓度水平'!E39</x:f>
        <x:v>2</x:v>
      </x:c>
      <x:c r="V156" s="6" t="n">
        <x:f>R156/'浓度水平'!E28</x:f>
        <x:v>2.12337786259542</x:v>
      </x:c>
      <x:c r="W156" s="6" t="n">
        <x:f>O156*'固定基底'!$B$4/1000</x:f>
        <x:v>230.32</x:v>
      </x:c>
      <x:c r="X156" s="6" t="n">
        <x:f>P156*'固定基底'!$B$4/1000</x:f>
        <x:v>0.236</x:v>
      </x:c>
      <x:c r="Y156" s="6" t="n">
        <x:f>Q156*'固定基底'!$B$4/1000</x:f>
        <x:v>0.66</x:v>
      </x:c>
      <x:c r="Z156" s="6" t="n">
        <x:f>R156*'固定基底'!$B$4/1000</x:f>
        <x:v>11.1265</x:v>
      </x:c>
      <x:c r="AA156" s="2" t="n">
        <x:f>'固定基底'!$C$7</x:f>
        <x:v>92796.92267241378</x:v>
      </x:c>
      <x:c r="AB156" s="2" t="n">
        <x:f>'固定基底'!$C$8</x:f>
        <x:v>104175.5097553192</x:v>
      </x:c>
      <x:c r="AC156" s="2" t="n">
        <x:f>'固定基底'!$E$7</x:f>
        <x:v>1855.9384534482756</x:v>
      </x:c>
      <x:c r="AD156" s="2" t="n">
        <x:f>'固定基底'!$E$8</x:f>
        <x:v>2083.510195106384</x:v>
      </x:c>
    </x:row>
    <x:row r="157" ht="25" customHeight="1">
      <x:c r="A157" s="5" t="str">
        <x:v>G06-14</x:v>
      </x:c>
      <x:c r="B157" s="5" t="str">
        <x:v>G06</x:v>
      </x:c>
      <x:c r="C157" s="5" t="str">
        <x:v>BBD</x:v>
      </x:c>
      <x:c r="D157" s="5" t="str">
        <x:v>拟合</x:v>
      </x:c>
      <x:c r="E157" s="5" t="str">
        <x:v>边点</x:v>
      </x:c>
      <x:c r="F157" s="5" t="str"/>
      <x:c r="G157" s="5" t="str">
        <x:v>丁酸乙酯</x:v>
      </x:c>
      <x:c r="H157" s="5" t="str">
        <x:v>2-甲基丙醛</x:v>
      </x:c>
      <x:c r="I157" s="5" t="str">
        <x:v>异戊醛</x:v>
      </x:c>
      <x:c r="J157" s="5" t="str">
        <x:v>苯乙醛</x:v>
      </x:c>
      <x:c r="K157" s="5" t="str">
        <x:v>M</x:v>
      </x:c>
      <x:c r="L157" s="5" t="str">
        <x:v>L</x:v>
      </x:c>
      <x:c r="M157" s="5" t="str">
        <x:v>H</x:v>
      </x:c>
      <x:c r="N157" s="5" t="str">
        <x:v>M</x:v>
      </x:c>
      <x:c r="O157" s="6" t="n">
        <x:f>'浓度水平'!G16</x:f>
        <x:v>11516</x:v>
      </x:c>
      <x:c r="P157" s="6" t="n">
        <x:f>'浓度水平'!F11</x:f>
        <x:v>11.8</x:v>
      </x:c>
      <x:c r="Q157" s="6" t="n">
        <x:f>'浓度水平'!H39</x:f>
        <x:v>227200</x:v>
      </x:c>
      <x:c r="R157" s="6" t="n">
        <x:f>'浓度水平'!G28</x:f>
        <x:v>556.325</x:v>
      </x:c>
      <x:c r="S157" s="6" t="n">
        <x:f>O157/'浓度水平'!E16</x:f>
        <x:v>141.30061349693253</x:v>
      </x:c>
      <x:c r="T157" s="6" t="n">
        <x:f>P157/'浓度水平'!E11</x:f>
        <x:v>2</x:v>
      </x:c>
      <x:c r="U157" s="6" t="n">
        <x:f>Q157/'浓度水平'!E39</x:f>
        <x:v>13769.69696969697</x:v>
      </x:c>
      <x:c r="V157" s="6" t="n">
        <x:f>R157/'浓度水平'!E28</x:f>
        <x:v>2.12337786259542</x:v>
      </x:c>
      <x:c r="W157" s="6" t="n">
        <x:f>O157*'固定基底'!$B$4/1000</x:f>
        <x:v>230.32</x:v>
      </x:c>
      <x:c r="X157" s="6" t="n">
        <x:f>P157*'固定基底'!$B$4/1000</x:f>
        <x:v>0.236</x:v>
      </x:c>
      <x:c r="Y157" s="6" t="n">
        <x:f>Q157*'固定基底'!$B$4/1000</x:f>
        <x:v>4544</x:v>
      </x:c>
      <x:c r="Z157" s="6" t="n">
        <x:f>R157*'固定基底'!$B$4/1000</x:f>
        <x:v>11.1265</x:v>
      </x:c>
      <x:c r="AA157" s="2" t="n">
        <x:f>'固定基底'!$C$7</x:f>
        <x:v>92796.92267241378</x:v>
      </x:c>
      <x:c r="AB157" s="2" t="n">
        <x:f>'固定基底'!$C$8</x:f>
        <x:v>104175.5097553192</x:v>
      </x:c>
      <x:c r="AC157" s="2" t="n">
        <x:f>'固定基底'!$E$7</x:f>
        <x:v>1855.9384534482756</x:v>
      </x:c>
      <x:c r="AD157" s="2" t="n">
        <x:f>'固定基底'!$E$8</x:f>
        <x:v>2083.510195106384</x:v>
      </x:c>
    </x:row>
    <x:row r="158" ht="25" customHeight="1">
      <x:c r="A158" s="5" t="str">
        <x:v>G06-15</x:v>
      </x:c>
      <x:c r="B158" s="5" t="str">
        <x:v>G06</x:v>
      </x:c>
      <x:c r="C158" s="5" t="str">
        <x:v>BBD</x:v>
      </x:c>
      <x:c r="D158" s="5" t="str">
        <x:v>拟合</x:v>
      </x:c>
      <x:c r="E158" s="5" t="str">
        <x:v>边点</x:v>
      </x:c>
      <x:c r="F158" s="5" t="str"/>
      <x:c r="G158" s="5" t="str">
        <x:v>丁酸乙酯</x:v>
      </x:c>
      <x:c r="H158" s="5" t="str">
        <x:v>2-甲基丙醛</x:v>
      </x:c>
      <x:c r="I158" s="5" t="str">
        <x:v>异戊醛</x:v>
      </x:c>
      <x:c r="J158" s="5" t="str">
        <x:v>苯乙醛</x:v>
      </x:c>
      <x:c r="K158" s="5" t="str">
        <x:v>M</x:v>
      </x:c>
      <x:c r="L158" s="5" t="str">
        <x:v>H</x:v>
      </x:c>
      <x:c r="M158" s="5" t="str">
        <x:v>L</x:v>
      </x:c>
      <x:c r="N158" s="5" t="str">
        <x:v>M</x:v>
      </x:c>
      <x:c r="O158" s="6" t="n">
        <x:f>'浓度水平'!G16</x:f>
        <x:v>11516</x:v>
      </x:c>
      <x:c r="P158" s="6" t="n">
        <x:f>'浓度水平'!H11</x:f>
        <x:v>35900</x:v>
      </x:c>
      <x:c r="Q158" s="6" t="n">
        <x:f>'浓度水平'!F39</x:f>
        <x:v>33</x:v>
      </x:c>
      <x:c r="R158" s="6" t="n">
        <x:f>'浓度水平'!G28</x:f>
        <x:v>556.325</x:v>
      </x:c>
      <x:c r="S158" s="6" t="n">
        <x:f>O158/'浓度水平'!E16</x:f>
        <x:v>141.30061349693253</x:v>
      </x:c>
      <x:c r="T158" s="6" t="n">
        <x:f>P158/'浓度水平'!E11</x:f>
        <x:v>6084.745762711864</x:v>
      </x:c>
      <x:c r="U158" s="6" t="n">
        <x:f>Q158/'浓度水平'!E39</x:f>
        <x:v>2</x:v>
      </x:c>
      <x:c r="V158" s="6" t="n">
        <x:f>R158/'浓度水平'!E28</x:f>
        <x:v>2.12337786259542</x:v>
      </x:c>
      <x:c r="W158" s="6" t="n">
        <x:f>O158*'固定基底'!$B$4/1000</x:f>
        <x:v>230.32</x:v>
      </x:c>
      <x:c r="X158" s="6" t="n">
        <x:f>P158*'固定基底'!$B$4/1000</x:f>
        <x:v>718</x:v>
      </x:c>
      <x:c r="Y158" s="6" t="n">
        <x:f>Q158*'固定基底'!$B$4/1000</x:f>
        <x:v>0.66</x:v>
      </x:c>
      <x:c r="Z158" s="6" t="n">
        <x:f>R158*'固定基底'!$B$4/1000</x:f>
        <x:v>11.1265</x:v>
      </x:c>
      <x:c r="AA158" s="2" t="n">
        <x:f>'固定基底'!$C$7</x:f>
        <x:v>92796.92267241378</x:v>
      </x:c>
      <x:c r="AB158" s="2" t="n">
        <x:f>'固定基底'!$C$8</x:f>
        <x:v>104175.5097553192</x:v>
      </x:c>
      <x:c r="AC158" s="2" t="n">
        <x:f>'固定基底'!$E$7</x:f>
        <x:v>1855.9384534482756</x:v>
      </x:c>
      <x:c r="AD158" s="2" t="n">
        <x:f>'固定基底'!$E$8</x:f>
        <x:v>2083.510195106384</x:v>
      </x:c>
    </x:row>
    <x:row r="159" ht="25" customHeight="1">
      <x:c r="A159" s="5" t="str">
        <x:v>G06-16</x:v>
      </x:c>
      <x:c r="B159" s="5" t="str">
        <x:v>G06</x:v>
      </x:c>
      <x:c r="C159" s="5" t="str">
        <x:v>BBD</x:v>
      </x:c>
      <x:c r="D159" s="5" t="str">
        <x:v>拟合</x:v>
      </x:c>
      <x:c r="E159" s="5" t="str">
        <x:v>边点</x:v>
      </x:c>
      <x:c r="F159" s="5" t="str"/>
      <x:c r="G159" s="5" t="str">
        <x:v>丁酸乙酯</x:v>
      </x:c>
      <x:c r="H159" s="5" t="str">
        <x:v>2-甲基丙醛</x:v>
      </x:c>
      <x:c r="I159" s="5" t="str">
        <x:v>异戊醛</x:v>
      </x:c>
      <x:c r="J159" s="5" t="str">
        <x:v>苯乙醛</x:v>
      </x:c>
      <x:c r="K159" s="5" t="str">
        <x:v>M</x:v>
      </x:c>
      <x:c r="L159" s="5" t="str">
        <x:v>H</x:v>
      </x:c>
      <x:c r="M159" s="5" t="str">
        <x:v>H</x:v>
      </x:c>
      <x:c r="N159" s="5" t="str">
        <x:v>M</x:v>
      </x:c>
      <x:c r="O159" s="6" t="n">
        <x:f>'浓度水平'!G16</x:f>
        <x:v>11516</x:v>
      </x:c>
      <x:c r="P159" s="6" t="n">
        <x:f>'浓度水平'!H11</x:f>
        <x:v>35900</x:v>
      </x:c>
      <x:c r="Q159" s="6" t="n">
        <x:f>'浓度水平'!H39</x:f>
        <x:v>227200</x:v>
      </x:c>
      <x:c r="R159" s="6" t="n">
        <x:f>'浓度水平'!G28</x:f>
        <x:v>556.325</x:v>
      </x:c>
      <x:c r="S159" s="6" t="n">
        <x:f>O159/'浓度水平'!E16</x:f>
        <x:v>141.30061349693253</x:v>
      </x:c>
      <x:c r="T159" s="6" t="n">
        <x:f>P159/'浓度水平'!E11</x:f>
        <x:v>6084.745762711864</x:v>
      </x:c>
      <x:c r="U159" s="6" t="n">
        <x:f>Q159/'浓度水平'!E39</x:f>
        <x:v>13769.69696969697</x:v>
      </x:c>
      <x:c r="V159" s="6" t="n">
        <x:f>R159/'浓度水平'!E28</x:f>
        <x:v>2.12337786259542</x:v>
      </x:c>
      <x:c r="W159" s="6" t="n">
        <x:f>O159*'固定基底'!$B$4/1000</x:f>
        <x:v>230.32</x:v>
      </x:c>
      <x:c r="X159" s="6" t="n">
        <x:f>P159*'固定基底'!$B$4/1000</x:f>
        <x:v>718</x:v>
      </x:c>
      <x:c r="Y159" s="6" t="n">
        <x:f>Q159*'固定基底'!$B$4/1000</x:f>
        <x:v>4544</x:v>
      </x:c>
      <x:c r="Z159" s="6" t="n">
        <x:f>R159*'固定基底'!$B$4/1000</x:f>
        <x:v>11.1265</x:v>
      </x:c>
      <x:c r="AA159" s="2" t="n">
        <x:f>'固定基底'!$C$7</x:f>
        <x:v>92796.92267241378</x:v>
      </x:c>
      <x:c r="AB159" s="2" t="n">
        <x:f>'固定基底'!$C$8</x:f>
        <x:v>104175.5097553192</x:v>
      </x:c>
      <x:c r="AC159" s="2" t="n">
        <x:f>'固定基底'!$E$7</x:f>
        <x:v>1855.9384534482756</x:v>
      </x:c>
      <x:c r="AD159" s="2" t="n">
        <x:f>'固定基底'!$E$8</x:f>
        <x:v>2083.510195106384</x:v>
      </x:c>
    </x:row>
    <x:row r="160" ht="25" customHeight="1">
      <x:c r="A160" s="5" t="str">
        <x:v>G06-17</x:v>
      </x:c>
      <x:c r="B160" s="5" t="str">
        <x:v>G06</x:v>
      </x:c>
      <x:c r="C160" s="5" t="str">
        <x:v>BBD</x:v>
      </x:c>
      <x:c r="D160" s="5" t="str">
        <x:v>拟合</x:v>
      </x:c>
      <x:c r="E160" s="5" t="str">
        <x:v>边点</x:v>
      </x:c>
      <x:c r="F160" s="5" t="str"/>
      <x:c r="G160" s="5" t="str">
        <x:v>丁酸乙酯</x:v>
      </x:c>
      <x:c r="H160" s="5" t="str">
        <x:v>2-甲基丙醛</x:v>
      </x:c>
      <x:c r="I160" s="5" t="str">
        <x:v>异戊醛</x:v>
      </x:c>
      <x:c r="J160" s="5" t="str">
        <x:v>苯乙醛</x:v>
      </x:c>
      <x:c r="K160" s="5" t="str">
        <x:v>M</x:v>
      </x:c>
      <x:c r="L160" s="5" t="str">
        <x:v>L</x:v>
      </x:c>
      <x:c r="M160" s="5" t="str">
        <x:v>M</x:v>
      </x:c>
      <x:c r="N160" s="5" t="str">
        <x:v>L</x:v>
      </x:c>
      <x:c r="O160" s="6" t="n">
        <x:f>'浓度水平'!G16</x:f>
        <x:v>11516</x:v>
      </x:c>
      <x:c r="P160" s="6" t="n">
        <x:f>'浓度水平'!F11</x:f>
        <x:v>11.8</x:v>
      </x:c>
      <x:c r="Q160" s="6" t="n">
        <x:f>'浓度水平'!G39</x:f>
        <x:v>5545</x:v>
      </x:c>
      <x:c r="R160" s="6" t="n">
        <x:f>'浓度水平'!F28</x:f>
        <x:v>524</x:v>
      </x:c>
      <x:c r="S160" s="6" t="n">
        <x:f>O160/'浓度水平'!E16</x:f>
        <x:v>141.30061349693253</x:v>
      </x:c>
      <x:c r="T160" s="6" t="n">
        <x:f>P160/'浓度水平'!E11</x:f>
        <x:v>2</x:v>
      </x:c>
      <x:c r="U160" s="6" t="n">
        <x:f>Q160/'浓度水平'!E39</x:f>
        <x:v>336.06060606060606</x:v>
      </x:c>
      <x:c r="V160" s="6" t="n">
        <x:f>R160/'浓度水平'!E28</x:f>
        <x:v>2</x:v>
      </x:c>
      <x:c r="W160" s="6" t="n">
        <x:f>O160*'固定基底'!$B$4/1000</x:f>
        <x:v>230.32</x:v>
      </x:c>
      <x:c r="X160" s="6" t="n">
        <x:f>P160*'固定基底'!$B$4/1000</x:f>
        <x:v>0.236</x:v>
      </x:c>
      <x:c r="Y160" s="6" t="n">
        <x:f>Q160*'固定基底'!$B$4/1000</x:f>
        <x:v>110.9</x:v>
      </x:c>
      <x:c r="Z160" s="6" t="n">
        <x:f>R160*'固定基底'!$B$4/1000</x:f>
        <x:v>10.48</x:v>
      </x:c>
      <x:c r="AA160" s="2" t="n">
        <x:f>'固定基底'!$C$7</x:f>
        <x:v>92796.92267241378</x:v>
      </x:c>
      <x:c r="AB160" s="2" t="n">
        <x:f>'固定基底'!$C$8</x:f>
        <x:v>104175.5097553192</x:v>
      </x:c>
      <x:c r="AC160" s="2" t="n">
        <x:f>'固定基底'!$E$7</x:f>
        <x:v>1855.9384534482756</x:v>
      </x:c>
      <x:c r="AD160" s="2" t="n">
        <x:f>'固定基底'!$E$8</x:f>
        <x:v>2083.510195106384</x:v>
      </x:c>
    </x:row>
    <x:row r="161" ht="25" customHeight="1">
      <x:c r="A161" s="5" t="str">
        <x:v>G06-18</x:v>
      </x:c>
      <x:c r="B161" s="5" t="str">
        <x:v>G06</x:v>
      </x:c>
      <x:c r="C161" s="5" t="str">
        <x:v>BBD</x:v>
      </x:c>
      <x:c r="D161" s="5" t="str">
        <x:v>拟合</x:v>
      </x:c>
      <x:c r="E161" s="5" t="str">
        <x:v>边点</x:v>
      </x:c>
      <x:c r="F161" s="5" t="str"/>
      <x:c r="G161" s="5" t="str">
        <x:v>丁酸乙酯</x:v>
      </x:c>
      <x:c r="H161" s="5" t="str">
        <x:v>2-甲基丙醛</x:v>
      </x:c>
      <x:c r="I161" s="5" t="str">
        <x:v>异戊醛</x:v>
      </x:c>
      <x:c r="J161" s="5" t="str">
        <x:v>苯乙醛</x:v>
      </x:c>
      <x:c r="K161" s="5" t="str">
        <x:v>M</x:v>
      </x:c>
      <x:c r="L161" s="5" t="str">
        <x:v>L</x:v>
      </x:c>
      <x:c r="M161" s="5" t="str">
        <x:v>M</x:v>
      </x:c>
      <x:c r="N161" s="5" t="str">
        <x:v>H</x:v>
      </x:c>
      <x:c r="O161" s="6" t="n">
        <x:f>'浓度水平'!G16</x:f>
        <x:v>11516</x:v>
      </x:c>
      <x:c r="P161" s="6" t="n">
        <x:f>'浓度水平'!F11</x:f>
        <x:v>11.8</x:v>
      </x:c>
      <x:c r="Q161" s="6" t="n">
        <x:f>'浓度水平'!G39</x:f>
        <x:v>5545</x:v>
      </x:c>
      <x:c r="R161" s="6" t="n">
        <x:f>'浓度水平'!H28</x:f>
        <x:v>15730</x:v>
      </x:c>
      <x:c r="S161" s="6" t="n">
        <x:f>O161/'浓度水平'!E16</x:f>
        <x:v>141.30061349693253</x:v>
      </x:c>
      <x:c r="T161" s="6" t="n">
        <x:f>P161/'浓度水平'!E11</x:f>
        <x:v>2</x:v>
      </x:c>
      <x:c r="U161" s="6" t="n">
        <x:f>Q161/'浓度水平'!E39</x:f>
        <x:v>336.06060606060606</x:v>
      </x:c>
      <x:c r="V161" s="6" t="n">
        <x:f>R161/'浓度水平'!E28</x:f>
        <x:v>60.038167938931295</x:v>
      </x:c>
      <x:c r="W161" s="6" t="n">
        <x:f>O161*'固定基底'!$B$4/1000</x:f>
        <x:v>230.32</x:v>
      </x:c>
      <x:c r="X161" s="6" t="n">
        <x:f>P161*'固定基底'!$B$4/1000</x:f>
        <x:v>0.236</x:v>
      </x:c>
      <x:c r="Y161" s="6" t="n">
        <x:f>Q161*'固定基底'!$B$4/1000</x:f>
        <x:v>110.9</x:v>
      </x:c>
      <x:c r="Z161" s="6" t="n">
        <x:f>R161*'固定基底'!$B$4/1000</x:f>
        <x:v>314.6</x:v>
      </x:c>
      <x:c r="AA161" s="2" t="n">
        <x:f>'固定基底'!$C$7</x:f>
        <x:v>92796.92267241378</x:v>
      </x:c>
      <x:c r="AB161" s="2" t="n">
        <x:f>'固定基底'!$C$8</x:f>
        <x:v>104175.5097553192</x:v>
      </x:c>
      <x:c r="AC161" s="2" t="n">
        <x:f>'固定基底'!$E$7</x:f>
        <x:v>1855.9384534482756</x:v>
      </x:c>
      <x:c r="AD161" s="2" t="n">
        <x:f>'固定基底'!$E$8</x:f>
        <x:v>2083.510195106384</x:v>
      </x:c>
    </x:row>
    <x:row r="162" ht="25" customHeight="1">
      <x:c r="A162" s="5" t="str">
        <x:v>G06-19</x:v>
      </x:c>
      <x:c r="B162" s="5" t="str">
        <x:v>G06</x:v>
      </x:c>
      <x:c r="C162" s="5" t="str">
        <x:v>BBD</x:v>
      </x:c>
      <x:c r="D162" s="5" t="str">
        <x:v>拟合</x:v>
      </x:c>
      <x:c r="E162" s="5" t="str">
        <x:v>边点</x:v>
      </x:c>
      <x:c r="F162" s="5" t="str"/>
      <x:c r="G162" s="5" t="str">
        <x:v>丁酸乙酯</x:v>
      </x:c>
      <x:c r="H162" s="5" t="str">
        <x:v>2-甲基丙醛</x:v>
      </x:c>
      <x:c r="I162" s="5" t="str">
        <x:v>异戊醛</x:v>
      </x:c>
      <x:c r="J162" s="5" t="str">
        <x:v>苯乙醛</x:v>
      </x:c>
      <x:c r="K162" s="5" t="str">
        <x:v>M</x:v>
      </x:c>
      <x:c r="L162" s="5" t="str">
        <x:v>H</x:v>
      </x:c>
      <x:c r="M162" s="5" t="str">
        <x:v>M</x:v>
      </x:c>
      <x:c r="N162" s="5" t="str">
        <x:v>L</x:v>
      </x:c>
      <x:c r="O162" s="6" t="n">
        <x:f>'浓度水平'!G16</x:f>
        <x:v>11516</x:v>
      </x:c>
      <x:c r="P162" s="6" t="n">
        <x:f>'浓度水平'!H11</x:f>
        <x:v>35900</x:v>
      </x:c>
      <x:c r="Q162" s="6" t="n">
        <x:f>'浓度水平'!G39</x:f>
        <x:v>5545</x:v>
      </x:c>
      <x:c r="R162" s="6" t="n">
        <x:f>'浓度水平'!F28</x:f>
        <x:v>524</x:v>
      </x:c>
      <x:c r="S162" s="6" t="n">
        <x:f>O162/'浓度水平'!E16</x:f>
        <x:v>141.30061349693253</x:v>
      </x:c>
      <x:c r="T162" s="6" t="n">
        <x:f>P162/'浓度水平'!E11</x:f>
        <x:v>6084.745762711864</x:v>
      </x:c>
      <x:c r="U162" s="6" t="n">
        <x:f>Q162/'浓度水平'!E39</x:f>
        <x:v>336.06060606060606</x:v>
      </x:c>
      <x:c r="V162" s="6" t="n">
        <x:f>R162/'浓度水平'!E28</x:f>
        <x:v>2</x:v>
      </x:c>
      <x:c r="W162" s="6" t="n">
        <x:f>O162*'固定基底'!$B$4/1000</x:f>
        <x:v>230.32</x:v>
      </x:c>
      <x:c r="X162" s="6" t="n">
        <x:f>P162*'固定基底'!$B$4/1000</x:f>
        <x:v>718</x:v>
      </x:c>
      <x:c r="Y162" s="6" t="n">
        <x:f>Q162*'固定基底'!$B$4/1000</x:f>
        <x:v>110.9</x:v>
      </x:c>
      <x:c r="Z162" s="6" t="n">
        <x:f>R162*'固定基底'!$B$4/1000</x:f>
        <x:v>10.48</x:v>
      </x:c>
      <x:c r="AA162" s="2" t="n">
        <x:f>'固定基底'!$C$7</x:f>
        <x:v>92796.92267241378</x:v>
      </x:c>
      <x:c r="AB162" s="2" t="n">
        <x:f>'固定基底'!$C$8</x:f>
        <x:v>104175.5097553192</x:v>
      </x:c>
      <x:c r="AC162" s="2" t="n">
        <x:f>'固定基底'!$E$7</x:f>
        <x:v>1855.9384534482756</x:v>
      </x:c>
      <x:c r="AD162" s="2" t="n">
        <x:f>'固定基底'!$E$8</x:f>
        <x:v>2083.510195106384</x:v>
      </x:c>
    </x:row>
    <x:row r="163" ht="25" customHeight="1">
      <x:c r="A163" s="5" t="str">
        <x:v>G06-20</x:v>
      </x:c>
      <x:c r="B163" s="5" t="str">
        <x:v>G06</x:v>
      </x:c>
      <x:c r="C163" s="5" t="str">
        <x:v>BBD</x:v>
      </x:c>
      <x:c r="D163" s="5" t="str">
        <x:v>拟合</x:v>
      </x:c>
      <x:c r="E163" s="5" t="str">
        <x:v>边点</x:v>
      </x:c>
      <x:c r="F163" s="5" t="str"/>
      <x:c r="G163" s="5" t="str">
        <x:v>丁酸乙酯</x:v>
      </x:c>
      <x:c r="H163" s="5" t="str">
        <x:v>2-甲基丙醛</x:v>
      </x:c>
      <x:c r="I163" s="5" t="str">
        <x:v>异戊醛</x:v>
      </x:c>
      <x:c r="J163" s="5" t="str">
        <x:v>苯乙醛</x:v>
      </x:c>
      <x:c r="K163" s="5" t="str">
        <x:v>M</x:v>
      </x:c>
      <x:c r="L163" s="5" t="str">
        <x:v>H</x:v>
      </x:c>
      <x:c r="M163" s="5" t="str">
        <x:v>M</x:v>
      </x:c>
      <x:c r="N163" s="5" t="str">
        <x:v>H</x:v>
      </x:c>
      <x:c r="O163" s="6" t="n">
        <x:f>'浓度水平'!G16</x:f>
        <x:v>11516</x:v>
      </x:c>
      <x:c r="P163" s="6" t="n">
        <x:f>'浓度水平'!H11</x:f>
        <x:v>35900</x:v>
      </x:c>
      <x:c r="Q163" s="6" t="n">
        <x:f>'浓度水平'!G39</x:f>
        <x:v>5545</x:v>
      </x:c>
      <x:c r="R163" s="6" t="n">
        <x:f>'浓度水平'!H28</x:f>
        <x:v>15730</x:v>
      </x:c>
      <x:c r="S163" s="6" t="n">
        <x:f>O163/'浓度水平'!E16</x:f>
        <x:v>141.30061349693253</x:v>
      </x:c>
      <x:c r="T163" s="6" t="n">
        <x:f>P163/'浓度水平'!E11</x:f>
        <x:v>6084.745762711864</x:v>
      </x:c>
      <x:c r="U163" s="6" t="n">
        <x:f>Q163/'浓度水平'!E39</x:f>
        <x:v>336.06060606060606</x:v>
      </x:c>
      <x:c r="V163" s="6" t="n">
        <x:f>R163/'浓度水平'!E28</x:f>
        <x:v>60.038167938931295</x:v>
      </x:c>
      <x:c r="W163" s="6" t="n">
        <x:f>O163*'固定基底'!$B$4/1000</x:f>
        <x:v>230.32</x:v>
      </x:c>
      <x:c r="X163" s="6" t="n">
        <x:f>P163*'固定基底'!$B$4/1000</x:f>
        <x:v>718</x:v>
      </x:c>
      <x:c r="Y163" s="6" t="n">
        <x:f>Q163*'固定基底'!$B$4/1000</x:f>
        <x:v>110.9</x:v>
      </x:c>
      <x:c r="Z163" s="6" t="n">
        <x:f>R163*'固定基底'!$B$4/1000</x:f>
        <x:v>314.6</x:v>
      </x:c>
      <x:c r="AA163" s="2" t="n">
        <x:f>'固定基底'!$C$7</x:f>
        <x:v>92796.92267241378</x:v>
      </x:c>
      <x:c r="AB163" s="2" t="n">
        <x:f>'固定基底'!$C$8</x:f>
        <x:v>104175.5097553192</x:v>
      </x:c>
      <x:c r="AC163" s="2" t="n">
        <x:f>'固定基底'!$E$7</x:f>
        <x:v>1855.9384534482756</x:v>
      </x:c>
      <x:c r="AD163" s="2" t="n">
        <x:f>'固定基底'!$E$8</x:f>
        <x:v>2083.510195106384</x:v>
      </x:c>
    </x:row>
    <x:row r="164" ht="25" customHeight="1">
      <x:c r="A164" s="5" t="str">
        <x:v>G06-21</x:v>
      </x:c>
      <x:c r="B164" s="5" t="str">
        <x:v>G06</x:v>
      </x:c>
      <x:c r="C164" s="5" t="str">
        <x:v>BBD</x:v>
      </x:c>
      <x:c r="D164" s="5" t="str">
        <x:v>拟合</x:v>
      </x:c>
      <x:c r="E164" s="5" t="str">
        <x:v>边点</x:v>
      </x:c>
      <x:c r="F164" s="5" t="str"/>
      <x:c r="G164" s="5" t="str">
        <x:v>丁酸乙酯</x:v>
      </x:c>
      <x:c r="H164" s="5" t="str">
        <x:v>2-甲基丙醛</x:v>
      </x:c>
      <x:c r="I164" s="5" t="str">
        <x:v>异戊醛</x:v>
      </x:c>
      <x:c r="J164" s="5" t="str">
        <x:v>苯乙醛</x:v>
      </x:c>
      <x:c r="K164" s="5" t="str">
        <x:v>M</x:v>
      </x:c>
      <x:c r="L164" s="5" t="str">
        <x:v>M</x:v>
      </x:c>
      <x:c r="M164" s="5" t="str">
        <x:v>L</x:v>
      </x:c>
      <x:c r="N164" s="5" t="str">
        <x:v>L</x:v>
      </x:c>
      <x:c r="O164" s="6" t="n">
        <x:f>'浓度水平'!G16</x:f>
        <x:v>11516</x:v>
      </x:c>
      <x:c r="P164" s="6" t="n">
        <x:f>'浓度水平'!G11</x:f>
        <x:v>954.06</x:v>
      </x:c>
      <x:c r="Q164" s="6" t="n">
        <x:f>'浓度水平'!F39</x:f>
        <x:v>33</x:v>
      </x:c>
      <x:c r="R164" s="6" t="n">
        <x:f>'浓度水平'!F28</x:f>
        <x:v>524</x:v>
      </x:c>
      <x:c r="S164" s="6" t="n">
        <x:f>O164/'浓度水平'!E16</x:f>
        <x:v>141.30061349693253</x:v>
      </x:c>
      <x:c r="T164" s="6" t="n">
        <x:f>P164/'浓度水平'!E11</x:f>
        <x:v>161.7050847457627</x:v>
      </x:c>
      <x:c r="U164" s="6" t="n">
        <x:f>Q164/'浓度水平'!E39</x:f>
        <x:v>2</x:v>
      </x:c>
      <x:c r="V164" s="6" t="n">
        <x:f>R164/'浓度水平'!E28</x:f>
        <x:v>2</x:v>
      </x:c>
      <x:c r="W164" s="6" t="n">
        <x:f>O164*'固定基底'!$B$4/1000</x:f>
        <x:v>230.32</x:v>
      </x:c>
      <x:c r="X164" s="6" t="n">
        <x:f>P164*'固定基底'!$B$4/1000</x:f>
        <x:v>19.081199999999995</x:v>
      </x:c>
      <x:c r="Y164" s="6" t="n">
        <x:f>Q164*'固定基底'!$B$4/1000</x:f>
        <x:v>0.66</x:v>
      </x:c>
      <x:c r="Z164" s="6" t="n">
        <x:f>R164*'固定基底'!$B$4/1000</x:f>
        <x:v>10.48</x:v>
      </x:c>
      <x:c r="AA164" s="2" t="n">
        <x:f>'固定基底'!$C$7</x:f>
        <x:v>92796.92267241378</x:v>
      </x:c>
      <x:c r="AB164" s="2" t="n">
        <x:f>'固定基底'!$C$8</x:f>
        <x:v>104175.5097553192</x:v>
      </x:c>
      <x:c r="AC164" s="2" t="n">
        <x:f>'固定基底'!$E$7</x:f>
        <x:v>1855.9384534482756</x:v>
      </x:c>
      <x:c r="AD164" s="2" t="n">
        <x:f>'固定基底'!$E$8</x:f>
        <x:v>2083.510195106384</x:v>
      </x:c>
    </x:row>
    <x:row r="165" ht="25" customHeight="1">
      <x:c r="A165" s="5" t="str">
        <x:v>G06-22</x:v>
      </x:c>
      <x:c r="B165" s="5" t="str">
        <x:v>G06</x:v>
      </x:c>
      <x:c r="C165" s="5" t="str">
        <x:v>BBD</x:v>
      </x:c>
      <x:c r="D165" s="5" t="str">
        <x:v>拟合</x:v>
      </x:c>
      <x:c r="E165" s="5" t="str">
        <x:v>边点</x:v>
      </x:c>
      <x:c r="F165" s="5" t="str"/>
      <x:c r="G165" s="5" t="str">
        <x:v>丁酸乙酯</x:v>
      </x:c>
      <x:c r="H165" s="5" t="str">
        <x:v>2-甲基丙醛</x:v>
      </x:c>
      <x:c r="I165" s="5" t="str">
        <x:v>异戊醛</x:v>
      </x:c>
      <x:c r="J165" s="5" t="str">
        <x:v>苯乙醛</x:v>
      </x:c>
      <x:c r="K165" s="5" t="str">
        <x:v>M</x:v>
      </x:c>
      <x:c r="L165" s="5" t="str">
        <x:v>M</x:v>
      </x:c>
      <x:c r="M165" s="5" t="str">
        <x:v>L</x:v>
      </x:c>
      <x:c r="N165" s="5" t="str">
        <x:v>H</x:v>
      </x:c>
      <x:c r="O165" s="6" t="n">
        <x:f>'浓度水平'!G16</x:f>
        <x:v>11516</x:v>
      </x:c>
      <x:c r="P165" s="6" t="n">
        <x:f>'浓度水平'!G11</x:f>
        <x:v>954.06</x:v>
      </x:c>
      <x:c r="Q165" s="6" t="n">
        <x:f>'浓度水平'!F39</x:f>
        <x:v>33</x:v>
      </x:c>
      <x:c r="R165" s="6" t="n">
        <x:f>'浓度水平'!H28</x:f>
        <x:v>15730</x:v>
      </x:c>
      <x:c r="S165" s="6" t="n">
        <x:f>O165/'浓度水平'!E16</x:f>
        <x:v>141.30061349693253</x:v>
      </x:c>
      <x:c r="T165" s="6" t="n">
        <x:f>P165/'浓度水平'!E11</x:f>
        <x:v>161.7050847457627</x:v>
      </x:c>
      <x:c r="U165" s="6" t="n">
        <x:f>Q165/'浓度水平'!E39</x:f>
        <x:v>2</x:v>
      </x:c>
      <x:c r="V165" s="6" t="n">
        <x:f>R165/'浓度水平'!E28</x:f>
        <x:v>60.038167938931295</x:v>
      </x:c>
      <x:c r="W165" s="6" t="n">
        <x:f>O165*'固定基底'!$B$4/1000</x:f>
        <x:v>230.32</x:v>
      </x:c>
      <x:c r="X165" s="6" t="n">
        <x:f>P165*'固定基底'!$B$4/1000</x:f>
        <x:v>19.081199999999995</x:v>
      </x:c>
      <x:c r="Y165" s="6" t="n">
        <x:f>Q165*'固定基底'!$B$4/1000</x:f>
        <x:v>0.66</x:v>
      </x:c>
      <x:c r="Z165" s="6" t="n">
        <x:f>R165*'固定基底'!$B$4/1000</x:f>
        <x:v>314.6</x:v>
      </x:c>
      <x:c r="AA165" s="2" t="n">
        <x:f>'固定基底'!$C$7</x:f>
        <x:v>92796.92267241378</x:v>
      </x:c>
      <x:c r="AB165" s="2" t="n">
        <x:f>'固定基底'!$C$8</x:f>
        <x:v>104175.5097553192</x:v>
      </x:c>
      <x:c r="AC165" s="2" t="n">
        <x:f>'固定基底'!$E$7</x:f>
        <x:v>1855.9384534482756</x:v>
      </x:c>
      <x:c r="AD165" s="2" t="n">
        <x:f>'固定基底'!$E$8</x:f>
        <x:v>2083.510195106384</x:v>
      </x:c>
    </x:row>
    <x:row r="166" ht="25" customHeight="1">
      <x:c r="A166" s="5" t="str">
        <x:v>G06-23</x:v>
      </x:c>
      <x:c r="B166" s="5" t="str">
        <x:v>G06</x:v>
      </x:c>
      <x:c r="C166" s="5" t="str">
        <x:v>BBD</x:v>
      </x:c>
      <x:c r="D166" s="5" t="str">
        <x:v>拟合</x:v>
      </x:c>
      <x:c r="E166" s="5" t="str">
        <x:v>边点</x:v>
      </x:c>
      <x:c r="F166" s="5" t="str"/>
      <x:c r="G166" s="5" t="str">
        <x:v>丁酸乙酯</x:v>
      </x:c>
      <x:c r="H166" s="5" t="str">
        <x:v>2-甲基丙醛</x:v>
      </x:c>
      <x:c r="I166" s="5" t="str">
        <x:v>异戊醛</x:v>
      </x:c>
      <x:c r="J166" s="5" t="str">
        <x:v>苯乙醛</x:v>
      </x:c>
      <x:c r="K166" s="5" t="str">
        <x:v>M</x:v>
      </x:c>
      <x:c r="L166" s="5" t="str">
        <x:v>M</x:v>
      </x:c>
      <x:c r="M166" s="5" t="str">
        <x:v>H</x:v>
      </x:c>
      <x:c r="N166" s="5" t="str">
        <x:v>L</x:v>
      </x:c>
      <x:c r="O166" s="6" t="n">
        <x:f>'浓度水平'!G16</x:f>
        <x:v>11516</x:v>
      </x:c>
      <x:c r="P166" s="6" t="n">
        <x:f>'浓度水平'!G11</x:f>
        <x:v>954.06</x:v>
      </x:c>
      <x:c r="Q166" s="6" t="n">
        <x:f>'浓度水平'!H39</x:f>
        <x:v>227200</x:v>
      </x:c>
      <x:c r="R166" s="6" t="n">
        <x:f>'浓度水平'!F28</x:f>
        <x:v>524</x:v>
      </x:c>
      <x:c r="S166" s="6" t="n">
        <x:f>O166/'浓度水平'!E16</x:f>
        <x:v>141.30061349693253</x:v>
      </x:c>
      <x:c r="T166" s="6" t="n">
        <x:f>P166/'浓度水平'!E11</x:f>
        <x:v>161.7050847457627</x:v>
      </x:c>
      <x:c r="U166" s="6" t="n">
        <x:f>Q166/'浓度水平'!E39</x:f>
        <x:v>13769.69696969697</x:v>
      </x:c>
      <x:c r="V166" s="6" t="n">
        <x:f>R166/'浓度水平'!E28</x:f>
        <x:v>2</x:v>
      </x:c>
      <x:c r="W166" s="6" t="n">
        <x:f>O166*'固定基底'!$B$4/1000</x:f>
        <x:v>230.32</x:v>
      </x:c>
      <x:c r="X166" s="6" t="n">
        <x:f>P166*'固定基底'!$B$4/1000</x:f>
        <x:v>19.081199999999995</x:v>
      </x:c>
      <x:c r="Y166" s="6" t="n">
        <x:f>Q166*'固定基底'!$B$4/1000</x:f>
        <x:v>4544</x:v>
      </x:c>
      <x:c r="Z166" s="6" t="n">
        <x:f>R166*'固定基底'!$B$4/1000</x:f>
        <x:v>10.48</x:v>
      </x:c>
      <x:c r="AA166" s="2" t="n">
        <x:f>'固定基底'!$C$7</x:f>
        <x:v>92796.92267241378</x:v>
      </x:c>
      <x:c r="AB166" s="2" t="n">
        <x:f>'固定基底'!$C$8</x:f>
        <x:v>104175.5097553192</x:v>
      </x:c>
      <x:c r="AC166" s="2" t="n">
        <x:f>'固定基底'!$E$7</x:f>
        <x:v>1855.9384534482756</x:v>
      </x:c>
      <x:c r="AD166" s="2" t="n">
        <x:f>'固定基底'!$E$8</x:f>
        <x:v>2083.510195106384</x:v>
      </x:c>
    </x:row>
    <x:row r="167" ht="25" customHeight="1">
      <x:c r="A167" s="5" t="str">
        <x:v>G06-24</x:v>
      </x:c>
      <x:c r="B167" s="5" t="str">
        <x:v>G06</x:v>
      </x:c>
      <x:c r="C167" s="5" t="str">
        <x:v>BBD</x:v>
      </x:c>
      <x:c r="D167" s="5" t="str">
        <x:v>拟合</x:v>
      </x:c>
      <x:c r="E167" s="5" t="str">
        <x:v>边点</x:v>
      </x:c>
      <x:c r="F167" s="5" t="str"/>
      <x:c r="G167" s="5" t="str">
        <x:v>丁酸乙酯</x:v>
      </x:c>
      <x:c r="H167" s="5" t="str">
        <x:v>2-甲基丙醛</x:v>
      </x:c>
      <x:c r="I167" s="5" t="str">
        <x:v>异戊醛</x:v>
      </x:c>
      <x:c r="J167" s="5" t="str">
        <x:v>苯乙醛</x:v>
      </x:c>
      <x:c r="K167" s="5" t="str">
        <x:v>M</x:v>
      </x:c>
      <x:c r="L167" s="5" t="str">
        <x:v>M</x:v>
      </x:c>
      <x:c r="M167" s="5" t="str">
        <x:v>H</x:v>
      </x:c>
      <x:c r="N167" s="5" t="str">
        <x:v>H</x:v>
      </x:c>
      <x:c r="O167" s="6" t="n">
        <x:f>'浓度水平'!G16</x:f>
        <x:v>11516</x:v>
      </x:c>
      <x:c r="P167" s="6" t="n">
        <x:f>'浓度水平'!G11</x:f>
        <x:v>954.06</x:v>
      </x:c>
      <x:c r="Q167" s="6" t="n">
        <x:f>'浓度水平'!H39</x:f>
        <x:v>227200</x:v>
      </x:c>
      <x:c r="R167" s="6" t="n">
        <x:f>'浓度水平'!H28</x:f>
        <x:v>15730</x:v>
      </x:c>
      <x:c r="S167" s="6" t="n">
        <x:f>O167/'浓度水平'!E16</x:f>
        <x:v>141.30061349693253</x:v>
      </x:c>
      <x:c r="T167" s="6" t="n">
        <x:f>P167/'浓度水平'!E11</x:f>
        <x:v>161.7050847457627</x:v>
      </x:c>
      <x:c r="U167" s="6" t="n">
        <x:f>Q167/'浓度水平'!E39</x:f>
        <x:v>13769.69696969697</x:v>
      </x:c>
      <x:c r="V167" s="6" t="n">
        <x:f>R167/'浓度水平'!E28</x:f>
        <x:v>60.038167938931295</x:v>
      </x:c>
      <x:c r="W167" s="6" t="n">
        <x:f>O167*'固定基底'!$B$4/1000</x:f>
        <x:v>230.32</x:v>
      </x:c>
      <x:c r="X167" s="6" t="n">
        <x:f>P167*'固定基底'!$B$4/1000</x:f>
        <x:v>19.081199999999995</x:v>
      </x:c>
      <x:c r="Y167" s="6" t="n">
        <x:f>Q167*'固定基底'!$B$4/1000</x:f>
        <x:v>4544</x:v>
      </x:c>
      <x:c r="Z167" s="6" t="n">
        <x:f>R167*'固定基底'!$B$4/1000</x:f>
        <x:v>314.6</x:v>
      </x:c>
      <x:c r="AA167" s="2" t="n">
        <x:f>'固定基底'!$C$7</x:f>
        <x:v>92796.92267241378</x:v>
      </x:c>
      <x:c r="AB167" s="2" t="n">
        <x:f>'固定基底'!$C$8</x:f>
        <x:v>104175.5097553192</x:v>
      </x:c>
      <x:c r="AC167" s="2" t="n">
        <x:f>'固定基底'!$E$7</x:f>
        <x:v>1855.9384534482756</x:v>
      </x:c>
      <x:c r="AD167" s="2" t="n">
        <x:f>'固定基底'!$E$8</x:f>
        <x:v>2083.510195106384</x:v>
      </x:c>
    </x:row>
    <x:row r="168" ht="25" customHeight="1">
      <x:c r="A168" s="5" t="str">
        <x:v>G06-25</x:v>
      </x:c>
      <x:c r="B168" s="5" t="str">
        <x:v>G06</x:v>
      </x:c>
      <x:c r="C168" s="5" t="str">
        <x:v>BBD</x:v>
      </x:c>
      <x:c r="D168" s="5" t="str">
        <x:v>拟合</x:v>
      </x:c>
      <x:c r="E168" s="5" t="str">
        <x:v>中心点独立配制</x:v>
      </x:c>
      <x:c r="F168" s="5" t="str"/>
      <x:c r="G168" s="5" t="str">
        <x:v>丁酸乙酯</x:v>
      </x:c>
      <x:c r="H168" s="5" t="str">
        <x:v>2-甲基丙醛</x:v>
      </x:c>
      <x:c r="I168" s="5" t="str">
        <x:v>异戊醛</x:v>
      </x:c>
      <x:c r="J168" s="5" t="str">
        <x:v>苯乙醛</x:v>
      </x:c>
      <x:c r="K168" s="5" t="str">
        <x:v>M</x:v>
      </x:c>
      <x:c r="L168" s="5" t="str">
        <x:v>M</x:v>
      </x:c>
      <x:c r="M168" s="5" t="str">
        <x:v>M</x:v>
      </x:c>
      <x:c r="N168" s="5" t="str">
        <x:v>M</x:v>
      </x:c>
      <x:c r="O168" s="6" t="n">
        <x:f>'浓度水平'!G16</x:f>
        <x:v>11516</x:v>
      </x:c>
      <x:c r="P168" s="6" t="n">
        <x:f>'浓度水平'!G11</x:f>
        <x:v>954.06</x:v>
      </x:c>
      <x:c r="Q168" s="6" t="n">
        <x:f>'浓度水平'!G39</x:f>
        <x:v>5545</x:v>
      </x:c>
      <x:c r="R168" s="6" t="n">
        <x:f>'浓度水平'!G28</x:f>
        <x:v>556.325</x:v>
      </x:c>
      <x:c r="S168" s="6" t="n">
        <x:f>O168/'浓度水平'!E16</x:f>
        <x:v>141.30061349693253</x:v>
      </x:c>
      <x:c r="T168" s="6" t="n">
        <x:f>P168/'浓度水平'!E11</x:f>
        <x:v>161.7050847457627</x:v>
      </x:c>
      <x:c r="U168" s="6" t="n">
        <x:f>Q168/'浓度水平'!E39</x:f>
        <x:v>336.06060606060606</x:v>
      </x:c>
      <x:c r="V168" s="6" t="n">
        <x:f>R168/'浓度水平'!E28</x:f>
        <x:v>2.12337786259542</x:v>
      </x:c>
      <x:c r="W168" s="6" t="n">
        <x:f>O168*'固定基底'!$B$4/1000</x:f>
        <x:v>230.32</x:v>
      </x:c>
      <x:c r="X168" s="6" t="n">
        <x:f>P168*'固定基底'!$B$4/1000</x:f>
        <x:v>19.081199999999995</x:v>
      </x:c>
      <x:c r="Y168" s="6" t="n">
        <x:f>Q168*'固定基底'!$B$4/1000</x:f>
        <x:v>110.9</x:v>
      </x:c>
      <x:c r="Z168" s="6" t="n">
        <x:f>R168*'固定基底'!$B$4/1000</x:f>
        <x:v>11.1265</x:v>
      </x:c>
      <x:c r="AA168" s="2" t="n">
        <x:f>'固定基底'!$C$7</x:f>
        <x:v>92796.92267241378</x:v>
      </x:c>
      <x:c r="AB168" s="2" t="n">
        <x:f>'固定基底'!$C$8</x:f>
        <x:v>104175.5097553192</x:v>
      </x:c>
      <x:c r="AC168" s="2" t="n">
        <x:f>'固定基底'!$E$7</x:f>
        <x:v>1855.9384534482756</x:v>
      </x:c>
      <x:c r="AD168" s="2" t="n">
        <x:f>'固定基底'!$E$8</x:f>
        <x:v>2083.510195106384</x:v>
      </x:c>
    </x:row>
    <x:row r="169" ht="25" customHeight="1">
      <x:c r="A169" s="5" t="str">
        <x:v>G06-26</x:v>
      </x:c>
      <x:c r="B169" s="5" t="str">
        <x:v>G06</x:v>
      </x:c>
      <x:c r="C169" s="5" t="str">
        <x:v>BBD</x:v>
      </x:c>
      <x:c r="D169" s="5" t="str">
        <x:v>拟合</x:v>
      </x:c>
      <x:c r="E169" s="5" t="str">
        <x:v>中心点独立配制</x:v>
      </x:c>
      <x:c r="F169" s="5" t="str">
        <x:v>G06-25</x:v>
      </x:c>
      <x:c r="G169" s="5" t="str">
        <x:v>丁酸乙酯</x:v>
      </x:c>
      <x:c r="H169" s="5" t="str">
        <x:v>2-甲基丙醛</x:v>
      </x:c>
      <x:c r="I169" s="5" t="str">
        <x:v>异戊醛</x:v>
      </x:c>
      <x:c r="J169" s="5" t="str">
        <x:v>苯乙醛</x:v>
      </x:c>
      <x:c r="K169" s="5" t="str">
        <x:v>M</x:v>
      </x:c>
      <x:c r="L169" s="5" t="str">
        <x:v>M</x:v>
      </x:c>
      <x:c r="M169" s="5" t="str">
        <x:v>M</x:v>
      </x:c>
      <x:c r="N169" s="5" t="str">
        <x:v>M</x:v>
      </x:c>
      <x:c r="O169" s="6" t="n">
        <x:f>'浓度水平'!G16</x:f>
        <x:v>11516</x:v>
      </x:c>
      <x:c r="P169" s="6" t="n">
        <x:f>'浓度水平'!G11</x:f>
        <x:v>954.06</x:v>
      </x:c>
      <x:c r="Q169" s="6" t="n">
        <x:f>'浓度水平'!G39</x:f>
        <x:v>5545</x:v>
      </x:c>
      <x:c r="R169" s="6" t="n">
        <x:f>'浓度水平'!G28</x:f>
        <x:v>556.325</x:v>
      </x:c>
      <x:c r="S169" s="6" t="n">
        <x:f>O169/'浓度水平'!E16</x:f>
        <x:v>141.30061349693253</x:v>
      </x:c>
      <x:c r="T169" s="6" t="n">
        <x:f>P169/'浓度水平'!E11</x:f>
        <x:v>161.7050847457627</x:v>
      </x:c>
      <x:c r="U169" s="6" t="n">
        <x:f>Q169/'浓度水平'!E39</x:f>
        <x:v>336.06060606060606</x:v>
      </x:c>
      <x:c r="V169" s="6" t="n">
        <x:f>R169/'浓度水平'!E28</x:f>
        <x:v>2.12337786259542</x:v>
      </x:c>
      <x:c r="W169" s="6" t="n">
        <x:f>O169*'固定基底'!$B$4/1000</x:f>
        <x:v>230.32</x:v>
      </x:c>
      <x:c r="X169" s="6" t="n">
        <x:f>P169*'固定基底'!$B$4/1000</x:f>
        <x:v>19.081199999999995</x:v>
      </x:c>
      <x:c r="Y169" s="6" t="n">
        <x:f>Q169*'固定基底'!$B$4/1000</x:f>
        <x:v>110.9</x:v>
      </x:c>
      <x:c r="Z169" s="6" t="n">
        <x:f>R169*'固定基底'!$B$4/1000</x:f>
        <x:v>11.1265</x:v>
      </x:c>
      <x:c r="AA169" s="2" t="n">
        <x:f>'固定基底'!$C$7</x:f>
        <x:v>92796.92267241378</x:v>
      </x:c>
      <x:c r="AB169" s="2" t="n">
        <x:f>'固定基底'!$C$8</x:f>
        <x:v>104175.5097553192</x:v>
      </x:c>
      <x:c r="AC169" s="2" t="n">
        <x:f>'固定基底'!$E$7</x:f>
        <x:v>1855.9384534482756</x:v>
      </x:c>
      <x:c r="AD169" s="2" t="n">
        <x:f>'固定基底'!$E$8</x:f>
        <x:v>2083.510195106384</x:v>
      </x:c>
    </x:row>
    <x:row r="170" ht="25" customHeight="1">
      <x:c r="A170" s="5" t="str">
        <x:v>G06-27</x:v>
      </x:c>
      <x:c r="B170" s="5" t="str">
        <x:v>G06</x:v>
      </x:c>
      <x:c r="C170" s="5" t="str">
        <x:v>BBD</x:v>
      </x:c>
      <x:c r="D170" s="5" t="str">
        <x:v>拟合</x:v>
      </x:c>
      <x:c r="E170" s="5" t="str">
        <x:v>中心点独立配制</x:v>
      </x:c>
      <x:c r="F170" s="5" t="str">
        <x:v>G06-25</x:v>
      </x:c>
      <x:c r="G170" s="5" t="str">
        <x:v>丁酸乙酯</x:v>
      </x:c>
      <x:c r="H170" s="5" t="str">
        <x:v>2-甲基丙醛</x:v>
      </x:c>
      <x:c r="I170" s="5" t="str">
        <x:v>异戊醛</x:v>
      </x:c>
      <x:c r="J170" s="5" t="str">
        <x:v>苯乙醛</x:v>
      </x:c>
      <x:c r="K170" s="5" t="str">
        <x:v>M</x:v>
      </x:c>
      <x:c r="L170" s="5" t="str">
        <x:v>M</x:v>
      </x:c>
      <x:c r="M170" s="5" t="str">
        <x:v>M</x:v>
      </x:c>
      <x:c r="N170" s="5" t="str">
        <x:v>M</x:v>
      </x:c>
      <x:c r="O170" s="6" t="n">
        <x:f>'浓度水平'!G16</x:f>
        <x:v>11516</x:v>
      </x:c>
      <x:c r="P170" s="6" t="n">
        <x:f>'浓度水平'!G11</x:f>
        <x:v>954.06</x:v>
      </x:c>
      <x:c r="Q170" s="6" t="n">
        <x:f>'浓度水平'!G39</x:f>
        <x:v>5545</x:v>
      </x:c>
      <x:c r="R170" s="6" t="n">
        <x:f>'浓度水平'!G28</x:f>
        <x:v>556.325</x:v>
      </x:c>
      <x:c r="S170" s="6" t="n">
        <x:f>O170/'浓度水平'!E16</x:f>
        <x:v>141.30061349693253</x:v>
      </x:c>
      <x:c r="T170" s="6" t="n">
        <x:f>P170/'浓度水平'!E11</x:f>
        <x:v>161.7050847457627</x:v>
      </x:c>
      <x:c r="U170" s="6" t="n">
        <x:f>Q170/'浓度水平'!E39</x:f>
        <x:v>336.06060606060606</x:v>
      </x:c>
      <x:c r="V170" s="6" t="n">
        <x:f>R170/'浓度水平'!E28</x:f>
        <x:v>2.12337786259542</x:v>
      </x:c>
      <x:c r="W170" s="6" t="n">
        <x:f>O170*'固定基底'!$B$4/1000</x:f>
        <x:v>230.32</x:v>
      </x:c>
      <x:c r="X170" s="6" t="n">
        <x:f>P170*'固定基底'!$B$4/1000</x:f>
        <x:v>19.081199999999995</x:v>
      </x:c>
      <x:c r="Y170" s="6" t="n">
        <x:f>Q170*'固定基底'!$B$4/1000</x:f>
        <x:v>110.9</x:v>
      </x:c>
      <x:c r="Z170" s="6" t="n">
        <x:f>R170*'固定基底'!$B$4/1000</x:f>
        <x:v>11.1265</x:v>
      </x:c>
      <x:c r="AA170" s="2" t="n">
        <x:f>'固定基底'!$C$7</x:f>
        <x:v>92796.92267241378</x:v>
      </x:c>
      <x:c r="AB170" s="2" t="n">
        <x:f>'固定基底'!$C$8</x:f>
        <x:v>104175.5097553192</x:v>
      </x:c>
      <x:c r="AC170" s="2" t="n">
        <x:f>'固定基底'!$E$7</x:f>
        <x:v>1855.9384534482756</x:v>
      </x:c>
      <x:c r="AD170" s="2" t="n">
        <x:f>'固定基底'!$E$8</x:f>
        <x:v>2083.510195106384</x:v>
      </x:c>
    </x:row>
    <x:row r="171" ht="25" customHeight="1">
      <x:c r="A171" s="5" t="str">
        <x:v>G07-01</x:v>
      </x:c>
      <x:c r="B171" s="5" t="str">
        <x:v>G07</x:v>
      </x:c>
      <x:c r="C171" s="5" t="str">
        <x:v>BBD</x:v>
      </x:c>
      <x:c r="D171" s="5" t="str">
        <x:v>拟合</x:v>
      </x:c>
      <x:c r="E171" s="5" t="str">
        <x:v>边点</x:v>
      </x:c>
      <x:c r="F171" s="5" t="str"/>
      <x:c r="G171" s="5" t="str">
        <x:v>己酸乙酯</x:v>
      </x:c>
      <x:c r="H171" s="5" t="str">
        <x:v>苯乙酸乙酯</x:v>
      </x:c>
      <x:c r="I171" s="5" t="str">
        <x:v>乙酸异戊酯</x:v>
      </x:c>
      <x:c r="J171" s="5" t="str">
        <x:v>3-苯基丙酸乙酯</x:v>
      </x:c>
      <x:c r="K171" s="5" t="str">
        <x:v>L</x:v>
      </x:c>
      <x:c r="L171" s="5" t="str">
        <x:v>L</x:v>
      </x:c>
      <x:c r="M171" s="5" t="str">
        <x:v>M</x:v>
      </x:c>
      <x:c r="N171" s="5" t="str">
        <x:v>M</x:v>
      </x:c>
      <x:c r="O171" s="6" t="n">
        <x:f>'浓度水平'!F31</x:f>
        <x:v>110.6</x:v>
      </x:c>
      <x:c r="P171" s="6" t="n">
        <x:f>'浓度水平'!F14</x:f>
        <x:v>814</x:v>
      </x:c>
      <x:c r="Q171" s="6" t="n">
        <x:f>'浓度水平'!G33</x:f>
        <x:v>443.16499999999996</x:v>
      </x:c>
      <x:c r="R171" s="6" t="n">
        <x:f>'浓度水平'!G41</x:f>
        <x:v>635</x:v>
      </x:c>
      <x:c r="S171" s="6" t="n">
        <x:f>O171/'浓度水平'!E31</x:f>
        <x:v>2</x:v>
      </x:c>
      <x:c r="T171" s="6" t="n">
        <x:f>P171/'浓度水平'!E14</x:f>
        <x:v>2</x:v>
      </x:c>
      <x:c r="U171" s="6" t="n">
        <x:f>Q171/'浓度水平'!E33</x:f>
        <x:v>4.719542066027689</x:v>
      </x:c>
      <x:c r="V171" s="6" t="n">
        <x:f>R171/'浓度水平'!E41</x:f>
        <x:v>5.08</x:v>
      </x:c>
      <x:c r="W171" s="6" t="n">
        <x:f>O171*'固定基底'!$B$4/1000</x:f>
        <x:v>2.212</x:v>
      </x:c>
      <x:c r="X171" s="6" t="n">
        <x:f>P171*'固定基底'!$B$4/1000</x:f>
        <x:v>16.28</x:v>
      </x:c>
      <x:c r="Y171" s="6" t="n">
        <x:f>Q171*'固定基底'!$B$4/1000</x:f>
        <x:v>8.863299999999999</x:v>
      </x:c>
      <x:c r="Z171" s="6" t="n">
        <x:f>R171*'固定基底'!$B$4/1000</x:f>
        <x:v>12.7</x:v>
      </x:c>
      <x:c r="AA171" s="2" t="n">
        <x:f>'固定基底'!$C$7</x:f>
        <x:v>92796.92267241378</x:v>
      </x:c>
      <x:c r="AB171" s="2" t="n">
        <x:f>'固定基底'!$C$8</x:f>
        <x:v>104175.5097553192</x:v>
      </x:c>
      <x:c r="AC171" s="2" t="n">
        <x:f>'固定基底'!$E$7</x:f>
        <x:v>1855.9384534482756</x:v>
      </x:c>
      <x:c r="AD171" s="2" t="n">
        <x:f>'固定基底'!$E$8</x:f>
        <x:v>2083.510195106384</x:v>
      </x:c>
    </x:row>
    <x:row r="172" ht="25" customHeight="1">
      <x:c r="A172" s="5" t="str">
        <x:v>G07-02</x:v>
      </x:c>
      <x:c r="B172" s="5" t="str">
        <x:v>G07</x:v>
      </x:c>
      <x:c r="C172" s="5" t="str">
        <x:v>BBD</x:v>
      </x:c>
      <x:c r="D172" s="5" t="str">
        <x:v>拟合</x:v>
      </x:c>
      <x:c r="E172" s="5" t="str">
        <x:v>边点</x:v>
      </x:c>
      <x:c r="F172" s="5" t="str"/>
      <x:c r="G172" s="5" t="str">
        <x:v>己酸乙酯</x:v>
      </x:c>
      <x:c r="H172" s="5" t="str">
        <x:v>苯乙酸乙酯</x:v>
      </x:c>
      <x:c r="I172" s="5" t="str">
        <x:v>乙酸异戊酯</x:v>
      </x:c>
      <x:c r="J172" s="5" t="str">
        <x:v>3-苯基丙酸乙酯</x:v>
      </x:c>
      <x:c r="K172" s="5" t="str">
        <x:v>L</x:v>
      </x:c>
      <x:c r="L172" s="5" t="str">
        <x:v>H</x:v>
      </x:c>
      <x:c r="M172" s="5" t="str">
        <x:v>M</x:v>
      </x:c>
      <x:c r="N172" s="5" t="str">
        <x:v>M</x:v>
      </x:c>
      <x:c r="O172" s="6" t="n">
        <x:f>'浓度水平'!F31</x:f>
        <x:v>110.6</x:v>
      </x:c>
      <x:c r="P172" s="6" t="n">
        <x:f>'浓度水平'!H14</x:f>
        <x:v>21400</x:v>
      </x:c>
      <x:c r="Q172" s="6" t="n">
        <x:f>'浓度水平'!G33</x:f>
        <x:v>443.16499999999996</x:v>
      </x:c>
      <x:c r="R172" s="6" t="n">
        <x:f>'浓度水平'!G41</x:f>
        <x:v>635</x:v>
      </x:c>
      <x:c r="S172" s="6" t="n">
        <x:f>O172/'浓度水平'!E31</x:f>
        <x:v>2</x:v>
      </x:c>
      <x:c r="T172" s="6" t="n">
        <x:f>P172/'浓度水平'!E14</x:f>
        <x:v>52.57985257985258</x:v>
      </x:c>
      <x:c r="U172" s="6" t="n">
        <x:f>Q172/'浓度水平'!E33</x:f>
        <x:v>4.719542066027689</x:v>
      </x:c>
      <x:c r="V172" s="6" t="n">
        <x:f>R172/'浓度水平'!E41</x:f>
        <x:v>5.08</x:v>
      </x:c>
      <x:c r="W172" s="6" t="n">
        <x:f>O172*'固定基底'!$B$4/1000</x:f>
        <x:v>2.212</x:v>
      </x:c>
      <x:c r="X172" s="6" t="n">
        <x:f>P172*'固定基底'!$B$4/1000</x:f>
        <x:v>428</x:v>
      </x:c>
      <x:c r="Y172" s="6" t="n">
        <x:f>Q172*'固定基底'!$B$4/1000</x:f>
        <x:v>8.863299999999999</x:v>
      </x:c>
      <x:c r="Z172" s="6" t="n">
        <x:f>R172*'固定基底'!$B$4/1000</x:f>
        <x:v>12.7</x:v>
      </x:c>
      <x:c r="AA172" s="2" t="n">
        <x:f>'固定基底'!$C$7</x:f>
        <x:v>92796.92267241378</x:v>
      </x:c>
      <x:c r="AB172" s="2" t="n">
        <x:f>'固定基底'!$C$8</x:f>
        <x:v>104175.5097553192</x:v>
      </x:c>
      <x:c r="AC172" s="2" t="n">
        <x:f>'固定基底'!$E$7</x:f>
        <x:v>1855.9384534482756</x:v>
      </x:c>
      <x:c r="AD172" s="2" t="n">
        <x:f>'固定基底'!$E$8</x:f>
        <x:v>2083.510195106384</x:v>
      </x:c>
    </x:row>
    <x:row r="173" ht="25" customHeight="1">
      <x:c r="A173" s="5" t="str">
        <x:v>G07-03</x:v>
      </x:c>
      <x:c r="B173" s="5" t="str">
        <x:v>G07</x:v>
      </x:c>
      <x:c r="C173" s="5" t="str">
        <x:v>BBD</x:v>
      </x:c>
      <x:c r="D173" s="5" t="str">
        <x:v>拟合</x:v>
      </x:c>
      <x:c r="E173" s="5" t="str">
        <x:v>边点</x:v>
      </x:c>
      <x:c r="F173" s="5" t="str"/>
      <x:c r="G173" s="5" t="str">
        <x:v>己酸乙酯</x:v>
      </x:c>
      <x:c r="H173" s="5" t="str">
        <x:v>苯乙酸乙酯</x:v>
      </x:c>
      <x:c r="I173" s="5" t="str">
        <x:v>乙酸异戊酯</x:v>
      </x:c>
      <x:c r="J173" s="5" t="str">
        <x:v>3-苯基丙酸乙酯</x:v>
      </x:c>
      <x:c r="K173" s="5" t="str">
        <x:v>H</x:v>
      </x:c>
      <x:c r="L173" s="5" t="str">
        <x:v>L</x:v>
      </x:c>
      <x:c r="M173" s="5" t="str">
        <x:v>M</x:v>
      </x:c>
      <x:c r="N173" s="5" t="str">
        <x:v>M</x:v>
      </x:c>
      <x:c r="O173" s="6" t="n">
        <x:f>'浓度水平'!H31</x:f>
        <x:v>9622120</x:v>
      </x:c>
      <x:c r="P173" s="6" t="n">
        <x:f>'浓度水平'!F14</x:f>
        <x:v>814</x:v>
      </x:c>
      <x:c r="Q173" s="6" t="n">
        <x:f>'浓度水平'!G33</x:f>
        <x:v>443.16499999999996</x:v>
      </x:c>
      <x:c r="R173" s="6" t="n">
        <x:f>'浓度水平'!G41</x:f>
        <x:v>635</x:v>
      </x:c>
      <x:c r="S173" s="6" t="n">
        <x:f>O173/'浓度水平'!E31</x:f>
        <x:v>173998.5533453888</x:v>
      </x:c>
      <x:c r="T173" s="6" t="n">
        <x:f>P173/'浓度水平'!E14</x:f>
        <x:v>2</x:v>
      </x:c>
      <x:c r="U173" s="6" t="n">
        <x:f>Q173/'浓度水平'!E33</x:f>
        <x:v>4.719542066027689</x:v>
      </x:c>
      <x:c r="V173" s="6" t="n">
        <x:f>R173/'浓度水平'!E41</x:f>
        <x:v>5.08</x:v>
      </x:c>
      <x:c r="W173" s="6" t="n">
        <x:f>O173*'固定基底'!$B$4/1000</x:f>
        <x:v>192442.4</x:v>
      </x:c>
      <x:c r="X173" s="6" t="n">
        <x:f>P173*'固定基底'!$B$4/1000</x:f>
        <x:v>16.28</x:v>
      </x:c>
      <x:c r="Y173" s="6" t="n">
        <x:f>Q173*'固定基底'!$B$4/1000</x:f>
        <x:v>8.863299999999999</x:v>
      </x:c>
      <x:c r="Z173" s="6" t="n">
        <x:f>R173*'固定基底'!$B$4/1000</x:f>
        <x:v>12.7</x:v>
      </x:c>
      <x:c r="AA173" s="2" t="n">
        <x:f>'固定基底'!$C$7</x:f>
        <x:v>92796.92267241378</x:v>
      </x:c>
      <x:c r="AB173" s="2" t="n">
        <x:f>'固定基底'!$C$8</x:f>
        <x:v>104175.5097553192</x:v>
      </x:c>
      <x:c r="AC173" s="2" t="n">
        <x:f>'固定基底'!$E$7</x:f>
        <x:v>1855.9384534482756</x:v>
      </x:c>
      <x:c r="AD173" s="2" t="n">
        <x:f>'固定基底'!$E$8</x:f>
        <x:v>2083.510195106384</x:v>
      </x:c>
    </x:row>
    <x:row r="174" ht="25" customHeight="1">
      <x:c r="A174" s="5" t="str">
        <x:v>G07-04</x:v>
      </x:c>
      <x:c r="B174" s="5" t="str">
        <x:v>G07</x:v>
      </x:c>
      <x:c r="C174" s="5" t="str">
        <x:v>BBD</x:v>
      </x:c>
      <x:c r="D174" s="5" t="str">
        <x:v>拟合</x:v>
      </x:c>
      <x:c r="E174" s="5" t="str">
        <x:v>边点</x:v>
      </x:c>
      <x:c r="F174" s="5" t="str"/>
      <x:c r="G174" s="5" t="str">
        <x:v>己酸乙酯</x:v>
      </x:c>
      <x:c r="H174" s="5" t="str">
        <x:v>苯乙酸乙酯</x:v>
      </x:c>
      <x:c r="I174" s="5" t="str">
        <x:v>乙酸异戊酯</x:v>
      </x:c>
      <x:c r="J174" s="5" t="str">
        <x:v>3-苯基丙酸乙酯</x:v>
      </x:c>
      <x:c r="K174" s="5" t="str">
        <x:v>H</x:v>
      </x:c>
      <x:c r="L174" s="5" t="str">
        <x:v>H</x:v>
      </x:c>
      <x:c r="M174" s="5" t="str">
        <x:v>M</x:v>
      </x:c>
      <x:c r="N174" s="5" t="str">
        <x:v>M</x:v>
      </x:c>
      <x:c r="O174" s="6" t="n">
        <x:f>'浓度水平'!H31</x:f>
        <x:v>9622120</x:v>
      </x:c>
      <x:c r="P174" s="6" t="n">
        <x:f>'浓度水平'!H14</x:f>
        <x:v>21400</x:v>
      </x:c>
      <x:c r="Q174" s="6" t="n">
        <x:f>'浓度水平'!G33</x:f>
        <x:v>443.16499999999996</x:v>
      </x:c>
      <x:c r="R174" s="6" t="n">
        <x:f>'浓度水平'!G41</x:f>
        <x:v>635</x:v>
      </x:c>
      <x:c r="S174" s="6" t="n">
        <x:f>O174/'浓度水平'!E31</x:f>
        <x:v>173998.5533453888</x:v>
      </x:c>
      <x:c r="T174" s="6" t="n">
        <x:f>P174/'浓度水平'!E14</x:f>
        <x:v>52.57985257985258</x:v>
      </x:c>
      <x:c r="U174" s="6" t="n">
        <x:f>Q174/'浓度水平'!E33</x:f>
        <x:v>4.719542066027689</x:v>
      </x:c>
      <x:c r="V174" s="6" t="n">
        <x:f>R174/'浓度水平'!E41</x:f>
        <x:v>5.08</x:v>
      </x:c>
      <x:c r="W174" s="6" t="n">
        <x:f>O174*'固定基底'!$B$4/1000</x:f>
        <x:v>192442.4</x:v>
      </x:c>
      <x:c r="X174" s="6" t="n">
        <x:f>P174*'固定基底'!$B$4/1000</x:f>
        <x:v>428</x:v>
      </x:c>
      <x:c r="Y174" s="6" t="n">
        <x:f>Q174*'固定基底'!$B$4/1000</x:f>
        <x:v>8.863299999999999</x:v>
      </x:c>
      <x:c r="Z174" s="6" t="n">
        <x:f>R174*'固定基底'!$B$4/1000</x:f>
        <x:v>12.7</x:v>
      </x:c>
      <x:c r="AA174" s="2" t="n">
        <x:f>'固定基底'!$C$7</x:f>
        <x:v>92796.92267241378</x:v>
      </x:c>
      <x:c r="AB174" s="2" t="n">
        <x:f>'固定基底'!$C$8</x:f>
        <x:v>104175.5097553192</x:v>
      </x:c>
      <x:c r="AC174" s="2" t="n">
        <x:f>'固定基底'!$E$7</x:f>
        <x:v>1855.9384534482756</x:v>
      </x:c>
      <x:c r="AD174" s="2" t="n">
        <x:f>'固定基底'!$E$8</x:f>
        <x:v>2083.510195106384</x:v>
      </x:c>
    </x:row>
    <x:row r="175" ht="25" customHeight="1">
      <x:c r="A175" s="5" t="str">
        <x:v>G07-05</x:v>
      </x:c>
      <x:c r="B175" s="5" t="str">
        <x:v>G07</x:v>
      </x:c>
      <x:c r="C175" s="5" t="str">
        <x:v>BBD</x:v>
      </x:c>
      <x:c r="D175" s="5" t="str">
        <x:v>拟合</x:v>
      </x:c>
      <x:c r="E175" s="5" t="str">
        <x:v>边点</x:v>
      </x:c>
      <x:c r="F175" s="5" t="str"/>
      <x:c r="G175" s="5" t="str">
        <x:v>己酸乙酯</x:v>
      </x:c>
      <x:c r="H175" s="5" t="str">
        <x:v>苯乙酸乙酯</x:v>
      </x:c>
      <x:c r="I175" s="5" t="str">
        <x:v>乙酸异戊酯</x:v>
      </x:c>
      <x:c r="J175" s="5" t="str">
        <x:v>3-苯基丙酸乙酯</x:v>
      </x:c>
      <x:c r="K175" s="5" t="str">
        <x:v>L</x:v>
      </x:c>
      <x:c r="L175" s="5" t="str">
        <x:v>M</x:v>
      </x:c>
      <x:c r="M175" s="5" t="str">
        <x:v>L</x:v>
      </x:c>
      <x:c r="N175" s="5" t="str">
        <x:v>M</x:v>
      </x:c>
      <x:c r="O175" s="6" t="n">
        <x:f>'浓度水平'!F31</x:f>
        <x:v>110.6</x:v>
      </x:c>
      <x:c r="P175" s="6" t="n">
        <x:f>'浓度水平'!G14</x:f>
        <x:v>883.62</x:v>
      </x:c>
      <x:c r="Q175" s="6" t="n">
        <x:f>'浓度水平'!F33</x:f>
        <x:v>187.8</x:v>
      </x:c>
      <x:c r="R175" s="6" t="n">
        <x:f>'浓度水平'!G41</x:f>
        <x:v>635</x:v>
      </x:c>
      <x:c r="S175" s="6" t="n">
        <x:f>O175/'浓度水平'!E31</x:f>
        <x:v>2</x:v>
      </x:c>
      <x:c r="T175" s="6" t="n">
        <x:f>P175/'浓度水平'!E14</x:f>
        <x:v>2.171056511056511</x:v>
      </x:c>
      <x:c r="U175" s="6" t="n">
        <x:f>Q175/'浓度水平'!E33</x:f>
        <x:v>2</x:v>
      </x:c>
      <x:c r="V175" s="6" t="n">
        <x:f>R175/'浓度水平'!E41</x:f>
        <x:v>5.08</x:v>
      </x:c>
      <x:c r="W175" s="6" t="n">
        <x:f>O175*'固定基底'!$B$4/1000</x:f>
        <x:v>2.212</x:v>
      </x:c>
      <x:c r="X175" s="6" t="n">
        <x:f>P175*'固定基底'!$B$4/1000</x:f>
        <x:v>17.672400000000003</x:v>
      </x:c>
      <x:c r="Y175" s="6" t="n">
        <x:f>Q175*'固定基底'!$B$4/1000</x:f>
        <x:v>3.756</x:v>
      </x:c>
      <x:c r="Z175" s="6" t="n">
        <x:f>R175*'固定基底'!$B$4/1000</x:f>
        <x:v>12.7</x:v>
      </x:c>
      <x:c r="AA175" s="2" t="n">
        <x:f>'固定基底'!$C$7</x:f>
        <x:v>92796.92267241378</x:v>
      </x:c>
      <x:c r="AB175" s="2" t="n">
        <x:f>'固定基底'!$C$8</x:f>
        <x:v>104175.5097553192</x:v>
      </x:c>
      <x:c r="AC175" s="2" t="n">
        <x:f>'固定基底'!$E$7</x:f>
        <x:v>1855.9384534482756</x:v>
      </x:c>
      <x:c r="AD175" s="2" t="n">
        <x:f>'固定基底'!$E$8</x:f>
        <x:v>2083.510195106384</x:v>
      </x:c>
    </x:row>
    <x:row r="176" ht="25" customHeight="1">
      <x:c r="A176" s="5" t="str">
        <x:v>G07-06</x:v>
      </x:c>
      <x:c r="B176" s="5" t="str">
        <x:v>G07</x:v>
      </x:c>
      <x:c r="C176" s="5" t="str">
        <x:v>BBD</x:v>
      </x:c>
      <x:c r="D176" s="5" t="str">
        <x:v>拟合</x:v>
      </x:c>
      <x:c r="E176" s="5" t="str">
        <x:v>边点</x:v>
      </x:c>
      <x:c r="F176" s="5" t="str"/>
      <x:c r="G176" s="5" t="str">
        <x:v>己酸乙酯</x:v>
      </x:c>
      <x:c r="H176" s="5" t="str">
        <x:v>苯乙酸乙酯</x:v>
      </x:c>
      <x:c r="I176" s="5" t="str">
        <x:v>乙酸异戊酯</x:v>
      </x:c>
      <x:c r="J176" s="5" t="str">
        <x:v>3-苯基丙酸乙酯</x:v>
      </x:c>
      <x:c r="K176" s="5" t="str">
        <x:v>L</x:v>
      </x:c>
      <x:c r="L176" s="5" t="str">
        <x:v>M</x:v>
      </x:c>
      <x:c r="M176" s="5" t="str">
        <x:v>H</x:v>
      </x:c>
      <x:c r="N176" s="5" t="str">
        <x:v>M</x:v>
      </x:c>
      <x:c r="O176" s="6" t="n">
        <x:f>'浓度水平'!F31</x:f>
        <x:v>110.6</x:v>
      </x:c>
      <x:c r="P176" s="6" t="n">
        <x:f>'浓度水平'!G14</x:f>
        <x:v>883.62</x:v>
      </x:c>
      <x:c r="Q176" s="6" t="n">
        <x:f>'浓度水平'!H33</x:f>
        <x:v>6516</x:v>
      </x:c>
      <x:c r="R176" s="6" t="n">
        <x:f>'浓度水平'!G41</x:f>
        <x:v>635</x:v>
      </x:c>
      <x:c r="S176" s="6" t="n">
        <x:f>O176/'浓度水平'!E31</x:f>
        <x:v>2</x:v>
      </x:c>
      <x:c r="T176" s="6" t="n">
        <x:f>P176/'浓度水平'!E14</x:f>
        <x:v>2.171056511056511</x:v>
      </x:c>
      <x:c r="U176" s="6" t="n">
        <x:f>Q176/'浓度水平'!E33</x:f>
        <x:v>69.39297124600638</x:v>
      </x:c>
      <x:c r="V176" s="6" t="n">
        <x:f>R176/'浓度水平'!E41</x:f>
        <x:v>5.08</x:v>
      </x:c>
      <x:c r="W176" s="6" t="n">
        <x:f>O176*'固定基底'!$B$4/1000</x:f>
        <x:v>2.212</x:v>
      </x:c>
      <x:c r="X176" s="6" t="n">
        <x:f>P176*'固定基底'!$B$4/1000</x:f>
        <x:v>17.672400000000003</x:v>
      </x:c>
      <x:c r="Y176" s="6" t="n">
        <x:f>Q176*'固定基底'!$B$4/1000</x:f>
        <x:v>130.32</x:v>
      </x:c>
      <x:c r="Z176" s="6" t="n">
        <x:f>R176*'固定基底'!$B$4/1000</x:f>
        <x:v>12.7</x:v>
      </x:c>
      <x:c r="AA176" s="2" t="n">
        <x:f>'固定基底'!$C$7</x:f>
        <x:v>92796.92267241378</x:v>
      </x:c>
      <x:c r="AB176" s="2" t="n">
        <x:f>'固定基底'!$C$8</x:f>
        <x:v>104175.5097553192</x:v>
      </x:c>
      <x:c r="AC176" s="2" t="n">
        <x:f>'固定基底'!$E$7</x:f>
        <x:v>1855.9384534482756</x:v>
      </x:c>
      <x:c r="AD176" s="2" t="n">
        <x:f>'固定基底'!$E$8</x:f>
        <x:v>2083.510195106384</x:v>
      </x:c>
    </x:row>
    <x:row r="177" ht="25" customHeight="1">
      <x:c r="A177" s="5" t="str">
        <x:v>G07-07</x:v>
      </x:c>
      <x:c r="B177" s="5" t="str">
        <x:v>G07</x:v>
      </x:c>
      <x:c r="C177" s="5" t="str">
        <x:v>BBD</x:v>
      </x:c>
      <x:c r="D177" s="5" t="str">
        <x:v>拟合</x:v>
      </x:c>
      <x:c r="E177" s="5" t="str">
        <x:v>边点</x:v>
      </x:c>
      <x:c r="F177" s="5" t="str"/>
      <x:c r="G177" s="5" t="str">
        <x:v>己酸乙酯</x:v>
      </x:c>
      <x:c r="H177" s="5" t="str">
        <x:v>苯乙酸乙酯</x:v>
      </x:c>
      <x:c r="I177" s="5" t="str">
        <x:v>乙酸异戊酯</x:v>
      </x:c>
      <x:c r="J177" s="5" t="str">
        <x:v>3-苯基丙酸乙酯</x:v>
      </x:c>
      <x:c r="K177" s="5" t="str">
        <x:v>H</x:v>
      </x:c>
      <x:c r="L177" s="5" t="str">
        <x:v>M</x:v>
      </x:c>
      <x:c r="M177" s="5" t="str">
        <x:v>L</x:v>
      </x:c>
      <x:c r="N177" s="5" t="str">
        <x:v>M</x:v>
      </x:c>
      <x:c r="O177" s="6" t="n">
        <x:f>'浓度水平'!H31</x:f>
        <x:v>9622120</x:v>
      </x:c>
      <x:c r="P177" s="6" t="n">
        <x:f>'浓度水平'!G14</x:f>
        <x:v>883.62</x:v>
      </x:c>
      <x:c r="Q177" s="6" t="n">
        <x:f>'浓度水平'!F33</x:f>
        <x:v>187.8</x:v>
      </x:c>
      <x:c r="R177" s="6" t="n">
        <x:f>'浓度水平'!G41</x:f>
        <x:v>635</x:v>
      </x:c>
      <x:c r="S177" s="6" t="n">
        <x:f>O177/'浓度水平'!E31</x:f>
        <x:v>173998.5533453888</x:v>
      </x:c>
      <x:c r="T177" s="6" t="n">
        <x:f>P177/'浓度水平'!E14</x:f>
        <x:v>2.171056511056511</x:v>
      </x:c>
      <x:c r="U177" s="6" t="n">
        <x:f>Q177/'浓度水平'!E33</x:f>
        <x:v>2</x:v>
      </x:c>
      <x:c r="V177" s="6" t="n">
        <x:f>R177/'浓度水平'!E41</x:f>
        <x:v>5.08</x:v>
      </x:c>
      <x:c r="W177" s="6" t="n">
        <x:f>O177*'固定基底'!$B$4/1000</x:f>
        <x:v>192442.4</x:v>
      </x:c>
      <x:c r="X177" s="6" t="n">
        <x:f>P177*'固定基底'!$B$4/1000</x:f>
        <x:v>17.672400000000003</x:v>
      </x:c>
      <x:c r="Y177" s="6" t="n">
        <x:f>Q177*'固定基底'!$B$4/1000</x:f>
        <x:v>3.756</x:v>
      </x:c>
      <x:c r="Z177" s="6" t="n">
        <x:f>R177*'固定基底'!$B$4/1000</x:f>
        <x:v>12.7</x:v>
      </x:c>
      <x:c r="AA177" s="2" t="n">
        <x:f>'固定基底'!$C$7</x:f>
        <x:v>92796.92267241378</x:v>
      </x:c>
      <x:c r="AB177" s="2" t="n">
        <x:f>'固定基底'!$C$8</x:f>
        <x:v>104175.5097553192</x:v>
      </x:c>
      <x:c r="AC177" s="2" t="n">
        <x:f>'固定基底'!$E$7</x:f>
        <x:v>1855.9384534482756</x:v>
      </x:c>
      <x:c r="AD177" s="2" t="n">
        <x:f>'固定基底'!$E$8</x:f>
        <x:v>2083.510195106384</x:v>
      </x:c>
    </x:row>
    <x:row r="178" ht="25" customHeight="1">
      <x:c r="A178" s="5" t="str">
        <x:v>G07-08</x:v>
      </x:c>
      <x:c r="B178" s="5" t="str">
        <x:v>G07</x:v>
      </x:c>
      <x:c r="C178" s="5" t="str">
        <x:v>BBD</x:v>
      </x:c>
      <x:c r="D178" s="5" t="str">
        <x:v>拟合</x:v>
      </x:c>
      <x:c r="E178" s="5" t="str">
        <x:v>边点</x:v>
      </x:c>
      <x:c r="F178" s="5" t="str"/>
      <x:c r="G178" s="5" t="str">
        <x:v>己酸乙酯</x:v>
      </x:c>
      <x:c r="H178" s="5" t="str">
        <x:v>苯乙酸乙酯</x:v>
      </x:c>
      <x:c r="I178" s="5" t="str">
        <x:v>乙酸异戊酯</x:v>
      </x:c>
      <x:c r="J178" s="5" t="str">
        <x:v>3-苯基丙酸乙酯</x:v>
      </x:c>
      <x:c r="K178" s="5" t="str">
        <x:v>H</x:v>
      </x:c>
      <x:c r="L178" s="5" t="str">
        <x:v>M</x:v>
      </x:c>
      <x:c r="M178" s="5" t="str">
        <x:v>H</x:v>
      </x:c>
      <x:c r="N178" s="5" t="str">
        <x:v>M</x:v>
      </x:c>
      <x:c r="O178" s="6" t="n">
        <x:f>'浓度水平'!H31</x:f>
        <x:v>9622120</x:v>
      </x:c>
      <x:c r="P178" s="6" t="n">
        <x:f>'浓度水平'!G14</x:f>
        <x:v>883.62</x:v>
      </x:c>
      <x:c r="Q178" s="6" t="n">
        <x:f>'浓度水平'!H33</x:f>
        <x:v>6516</x:v>
      </x:c>
      <x:c r="R178" s="6" t="n">
        <x:f>'浓度水平'!G41</x:f>
        <x:v>635</x:v>
      </x:c>
      <x:c r="S178" s="6" t="n">
        <x:f>O178/'浓度水平'!E31</x:f>
        <x:v>173998.5533453888</x:v>
      </x:c>
      <x:c r="T178" s="6" t="n">
        <x:f>P178/'浓度水平'!E14</x:f>
        <x:v>2.171056511056511</x:v>
      </x:c>
      <x:c r="U178" s="6" t="n">
        <x:f>Q178/'浓度水平'!E33</x:f>
        <x:v>69.39297124600638</x:v>
      </x:c>
      <x:c r="V178" s="6" t="n">
        <x:f>R178/'浓度水平'!E41</x:f>
        <x:v>5.08</x:v>
      </x:c>
      <x:c r="W178" s="6" t="n">
        <x:f>O178*'固定基底'!$B$4/1000</x:f>
        <x:v>192442.4</x:v>
      </x:c>
      <x:c r="X178" s="6" t="n">
        <x:f>P178*'固定基底'!$B$4/1000</x:f>
        <x:v>17.672400000000003</x:v>
      </x:c>
      <x:c r="Y178" s="6" t="n">
        <x:f>Q178*'固定基底'!$B$4/1000</x:f>
        <x:v>130.32</x:v>
      </x:c>
      <x:c r="Z178" s="6" t="n">
        <x:f>R178*'固定基底'!$B$4/1000</x:f>
        <x:v>12.7</x:v>
      </x:c>
      <x:c r="AA178" s="2" t="n">
        <x:f>'固定基底'!$C$7</x:f>
        <x:v>92796.92267241378</x:v>
      </x:c>
      <x:c r="AB178" s="2" t="n">
        <x:f>'固定基底'!$C$8</x:f>
        <x:v>104175.5097553192</x:v>
      </x:c>
      <x:c r="AC178" s="2" t="n">
        <x:f>'固定基底'!$E$7</x:f>
        <x:v>1855.9384534482756</x:v>
      </x:c>
      <x:c r="AD178" s="2" t="n">
        <x:f>'固定基底'!$E$8</x:f>
        <x:v>2083.510195106384</x:v>
      </x:c>
    </x:row>
    <x:row r="179" ht="25" customHeight="1">
      <x:c r="A179" s="5" t="str">
        <x:v>G07-09</x:v>
      </x:c>
      <x:c r="B179" s="5" t="str">
        <x:v>G07</x:v>
      </x:c>
      <x:c r="C179" s="5" t="str">
        <x:v>BBD</x:v>
      </x:c>
      <x:c r="D179" s="5" t="str">
        <x:v>拟合</x:v>
      </x:c>
      <x:c r="E179" s="5" t="str">
        <x:v>边点</x:v>
      </x:c>
      <x:c r="F179" s="5" t="str"/>
      <x:c r="G179" s="5" t="str">
        <x:v>己酸乙酯</x:v>
      </x:c>
      <x:c r="H179" s="5" t="str">
        <x:v>苯乙酸乙酯</x:v>
      </x:c>
      <x:c r="I179" s="5" t="str">
        <x:v>乙酸异戊酯</x:v>
      </x:c>
      <x:c r="J179" s="5" t="str">
        <x:v>3-苯基丙酸乙酯</x:v>
      </x:c>
      <x:c r="K179" s="5" t="str">
        <x:v>L</x:v>
      </x:c>
      <x:c r="L179" s="5" t="str">
        <x:v>M</x:v>
      </x:c>
      <x:c r="M179" s="5" t="str">
        <x:v>M</x:v>
      </x:c>
      <x:c r="N179" s="5" t="str">
        <x:v>L</x:v>
      </x:c>
      <x:c r="O179" s="6" t="n">
        <x:f>'浓度水平'!F31</x:f>
        <x:v>110.6</x:v>
      </x:c>
      <x:c r="P179" s="6" t="n">
        <x:f>'浓度水平'!G14</x:f>
        <x:v>883.62</x:v>
      </x:c>
      <x:c r="Q179" s="6" t="n">
        <x:f>'浓度水平'!G33</x:f>
        <x:v>443.16499999999996</x:v>
      </x:c>
      <x:c r="R179" s="6" t="n">
        <x:f>'浓度水平'!F41</x:f>
        <x:v>250</x:v>
      </x:c>
      <x:c r="S179" s="6" t="n">
        <x:f>O179/'浓度水平'!E31</x:f>
        <x:v>2</x:v>
      </x:c>
      <x:c r="T179" s="6" t="n">
        <x:f>P179/'浓度水平'!E14</x:f>
        <x:v>2.171056511056511</x:v>
      </x:c>
      <x:c r="U179" s="6" t="n">
        <x:f>Q179/'浓度水平'!E33</x:f>
        <x:v>4.719542066027689</x:v>
      </x:c>
      <x:c r="V179" s="6" t="n">
        <x:f>R179/'浓度水平'!E41</x:f>
        <x:v>2</x:v>
      </x:c>
      <x:c r="W179" s="6" t="n">
        <x:f>O179*'固定基底'!$B$4/1000</x:f>
        <x:v>2.212</x:v>
      </x:c>
      <x:c r="X179" s="6" t="n">
        <x:f>P179*'固定基底'!$B$4/1000</x:f>
        <x:v>17.672400000000003</x:v>
      </x:c>
      <x:c r="Y179" s="6" t="n">
        <x:f>Q179*'固定基底'!$B$4/1000</x:f>
        <x:v>8.863299999999999</x:v>
      </x:c>
      <x:c r="Z179" s="6" t="n">
        <x:f>R179*'固定基底'!$B$4/1000</x:f>
        <x:v>5</x:v>
      </x:c>
      <x:c r="AA179" s="2" t="n">
        <x:f>'固定基底'!$C$7</x:f>
        <x:v>92796.92267241378</x:v>
      </x:c>
      <x:c r="AB179" s="2" t="n">
        <x:f>'固定基底'!$C$8</x:f>
        <x:v>104175.5097553192</x:v>
      </x:c>
      <x:c r="AC179" s="2" t="n">
        <x:f>'固定基底'!$E$7</x:f>
        <x:v>1855.9384534482756</x:v>
      </x:c>
      <x:c r="AD179" s="2" t="n">
        <x:f>'固定基底'!$E$8</x:f>
        <x:v>2083.510195106384</x:v>
      </x:c>
    </x:row>
    <x:row r="180" ht="25" customHeight="1">
      <x:c r="A180" s="5" t="str">
        <x:v>G07-10</x:v>
      </x:c>
      <x:c r="B180" s="5" t="str">
        <x:v>G07</x:v>
      </x:c>
      <x:c r="C180" s="5" t="str">
        <x:v>BBD</x:v>
      </x:c>
      <x:c r="D180" s="5" t="str">
        <x:v>拟合</x:v>
      </x:c>
      <x:c r="E180" s="5" t="str">
        <x:v>边点</x:v>
      </x:c>
      <x:c r="F180" s="5" t="str"/>
      <x:c r="G180" s="5" t="str">
        <x:v>己酸乙酯</x:v>
      </x:c>
      <x:c r="H180" s="5" t="str">
        <x:v>苯乙酸乙酯</x:v>
      </x:c>
      <x:c r="I180" s="5" t="str">
        <x:v>乙酸异戊酯</x:v>
      </x:c>
      <x:c r="J180" s="5" t="str">
        <x:v>3-苯基丙酸乙酯</x:v>
      </x:c>
      <x:c r="K180" s="5" t="str">
        <x:v>L</x:v>
      </x:c>
      <x:c r="L180" s="5" t="str">
        <x:v>M</x:v>
      </x:c>
      <x:c r="M180" s="5" t="str">
        <x:v>M</x:v>
      </x:c>
      <x:c r="N180" s="5" t="str">
        <x:v>H</x:v>
      </x:c>
      <x:c r="O180" s="6" t="n">
        <x:f>'浓度水平'!F31</x:f>
        <x:v>110.6</x:v>
      </x:c>
      <x:c r="P180" s="6" t="n">
        <x:f>'浓度水平'!G14</x:f>
        <x:v>883.62</x:v>
      </x:c>
      <x:c r="Q180" s="6" t="n">
        <x:f>'浓度水平'!G33</x:f>
        <x:v>443.16499999999996</x:v>
      </x:c>
      <x:c r="R180" s="6" t="n">
        <x:f>'浓度水平'!H41</x:f>
        <x:v>11648000</x:v>
      </x:c>
      <x:c r="S180" s="6" t="n">
        <x:f>O180/'浓度水平'!E31</x:f>
        <x:v>2</x:v>
      </x:c>
      <x:c r="T180" s="6" t="n">
        <x:f>P180/'浓度水平'!E14</x:f>
        <x:v>2.171056511056511</x:v>
      </x:c>
      <x:c r="U180" s="6" t="n">
        <x:f>Q180/'浓度水平'!E33</x:f>
        <x:v>4.719542066027689</x:v>
      </x:c>
      <x:c r="V180" s="6" t="n">
        <x:f>R180/'浓度水平'!E41</x:f>
        <x:v>93184</x:v>
      </x:c>
      <x:c r="W180" s="6" t="n">
        <x:f>O180*'固定基底'!$B$4/1000</x:f>
        <x:v>2.212</x:v>
      </x:c>
      <x:c r="X180" s="6" t="n">
        <x:f>P180*'固定基底'!$B$4/1000</x:f>
        <x:v>17.672400000000003</x:v>
      </x:c>
      <x:c r="Y180" s="6" t="n">
        <x:f>Q180*'固定基底'!$B$4/1000</x:f>
        <x:v>8.863299999999999</x:v>
      </x:c>
      <x:c r="Z180" s="6" t="n">
        <x:f>R180*'固定基底'!$B$4/1000</x:f>
        <x:v>232960</x:v>
      </x:c>
      <x:c r="AA180" s="2" t="n">
        <x:f>'固定基底'!$C$7</x:f>
        <x:v>92796.92267241378</x:v>
      </x:c>
      <x:c r="AB180" s="2" t="n">
        <x:f>'固定基底'!$C$8</x:f>
        <x:v>104175.5097553192</x:v>
      </x:c>
      <x:c r="AC180" s="2" t="n">
        <x:f>'固定基底'!$E$7</x:f>
        <x:v>1855.9384534482756</x:v>
      </x:c>
      <x:c r="AD180" s="2" t="n">
        <x:f>'固定基底'!$E$8</x:f>
        <x:v>2083.510195106384</x:v>
      </x:c>
    </x:row>
    <x:row r="181" ht="25" customHeight="1">
      <x:c r="A181" s="5" t="str">
        <x:v>G07-11</x:v>
      </x:c>
      <x:c r="B181" s="5" t="str">
        <x:v>G07</x:v>
      </x:c>
      <x:c r="C181" s="5" t="str">
        <x:v>BBD</x:v>
      </x:c>
      <x:c r="D181" s="5" t="str">
        <x:v>拟合</x:v>
      </x:c>
      <x:c r="E181" s="5" t="str">
        <x:v>边点</x:v>
      </x:c>
      <x:c r="F181" s="5" t="str"/>
      <x:c r="G181" s="5" t="str">
        <x:v>己酸乙酯</x:v>
      </x:c>
      <x:c r="H181" s="5" t="str">
        <x:v>苯乙酸乙酯</x:v>
      </x:c>
      <x:c r="I181" s="5" t="str">
        <x:v>乙酸异戊酯</x:v>
      </x:c>
      <x:c r="J181" s="5" t="str">
        <x:v>3-苯基丙酸乙酯</x:v>
      </x:c>
      <x:c r="K181" s="5" t="str">
        <x:v>H</x:v>
      </x:c>
      <x:c r="L181" s="5" t="str">
        <x:v>M</x:v>
      </x:c>
      <x:c r="M181" s="5" t="str">
        <x:v>M</x:v>
      </x:c>
      <x:c r="N181" s="5" t="str">
        <x:v>L</x:v>
      </x:c>
      <x:c r="O181" s="6" t="n">
        <x:f>'浓度水平'!H31</x:f>
        <x:v>9622120</x:v>
      </x:c>
      <x:c r="P181" s="6" t="n">
        <x:f>'浓度水平'!G14</x:f>
        <x:v>883.62</x:v>
      </x:c>
      <x:c r="Q181" s="6" t="n">
        <x:f>'浓度水平'!G33</x:f>
        <x:v>443.16499999999996</x:v>
      </x:c>
      <x:c r="R181" s="6" t="n">
        <x:f>'浓度水平'!F41</x:f>
        <x:v>250</x:v>
      </x:c>
      <x:c r="S181" s="6" t="n">
        <x:f>O181/'浓度水平'!E31</x:f>
        <x:v>173998.5533453888</x:v>
      </x:c>
      <x:c r="T181" s="6" t="n">
        <x:f>P181/'浓度水平'!E14</x:f>
        <x:v>2.171056511056511</x:v>
      </x:c>
      <x:c r="U181" s="6" t="n">
        <x:f>Q181/'浓度水平'!E33</x:f>
        <x:v>4.719542066027689</x:v>
      </x:c>
      <x:c r="V181" s="6" t="n">
        <x:f>R181/'浓度水平'!E41</x:f>
        <x:v>2</x:v>
      </x:c>
      <x:c r="W181" s="6" t="n">
        <x:f>O181*'固定基底'!$B$4/1000</x:f>
        <x:v>192442.4</x:v>
      </x:c>
      <x:c r="X181" s="6" t="n">
        <x:f>P181*'固定基底'!$B$4/1000</x:f>
        <x:v>17.672400000000003</x:v>
      </x:c>
      <x:c r="Y181" s="6" t="n">
        <x:f>Q181*'固定基底'!$B$4/1000</x:f>
        <x:v>8.863299999999999</x:v>
      </x:c>
      <x:c r="Z181" s="6" t="n">
        <x:f>R181*'固定基底'!$B$4/1000</x:f>
        <x:v>5</x:v>
      </x:c>
      <x:c r="AA181" s="2" t="n">
        <x:f>'固定基底'!$C$7</x:f>
        <x:v>92796.92267241378</x:v>
      </x:c>
      <x:c r="AB181" s="2" t="n">
        <x:f>'固定基底'!$C$8</x:f>
        <x:v>104175.5097553192</x:v>
      </x:c>
      <x:c r="AC181" s="2" t="n">
        <x:f>'固定基底'!$E$7</x:f>
        <x:v>1855.9384534482756</x:v>
      </x:c>
      <x:c r="AD181" s="2" t="n">
        <x:f>'固定基底'!$E$8</x:f>
        <x:v>2083.510195106384</x:v>
      </x:c>
    </x:row>
    <x:row r="182" ht="25" customHeight="1">
      <x:c r="A182" s="5" t="str">
        <x:v>G07-12</x:v>
      </x:c>
      <x:c r="B182" s="5" t="str">
        <x:v>G07</x:v>
      </x:c>
      <x:c r="C182" s="5" t="str">
        <x:v>BBD</x:v>
      </x:c>
      <x:c r="D182" s="5" t="str">
        <x:v>拟合</x:v>
      </x:c>
      <x:c r="E182" s="5" t="str">
        <x:v>边点</x:v>
      </x:c>
      <x:c r="F182" s="5" t="str"/>
      <x:c r="G182" s="5" t="str">
        <x:v>己酸乙酯</x:v>
      </x:c>
      <x:c r="H182" s="5" t="str">
        <x:v>苯乙酸乙酯</x:v>
      </x:c>
      <x:c r="I182" s="5" t="str">
        <x:v>乙酸异戊酯</x:v>
      </x:c>
      <x:c r="J182" s="5" t="str">
        <x:v>3-苯基丙酸乙酯</x:v>
      </x:c>
      <x:c r="K182" s="5" t="str">
        <x:v>H</x:v>
      </x:c>
      <x:c r="L182" s="5" t="str">
        <x:v>M</x:v>
      </x:c>
      <x:c r="M182" s="5" t="str">
        <x:v>M</x:v>
      </x:c>
      <x:c r="N182" s="5" t="str">
        <x:v>H</x:v>
      </x:c>
      <x:c r="O182" s="6" t="n">
        <x:f>'浓度水平'!H31</x:f>
        <x:v>9622120</x:v>
      </x:c>
      <x:c r="P182" s="6" t="n">
        <x:f>'浓度水平'!G14</x:f>
        <x:v>883.62</x:v>
      </x:c>
      <x:c r="Q182" s="6" t="n">
        <x:f>'浓度水平'!G33</x:f>
        <x:v>443.16499999999996</x:v>
      </x:c>
      <x:c r="R182" s="6" t="n">
        <x:f>'浓度水平'!H41</x:f>
        <x:v>11648000</x:v>
      </x:c>
      <x:c r="S182" s="6" t="n">
        <x:f>O182/'浓度水平'!E31</x:f>
        <x:v>173998.5533453888</x:v>
      </x:c>
      <x:c r="T182" s="6" t="n">
        <x:f>P182/'浓度水平'!E14</x:f>
        <x:v>2.171056511056511</x:v>
      </x:c>
      <x:c r="U182" s="6" t="n">
        <x:f>Q182/'浓度水平'!E33</x:f>
        <x:v>4.719542066027689</x:v>
      </x:c>
      <x:c r="V182" s="6" t="n">
        <x:f>R182/'浓度水平'!E41</x:f>
        <x:v>93184</x:v>
      </x:c>
      <x:c r="W182" s="6" t="n">
        <x:f>O182*'固定基底'!$B$4/1000</x:f>
        <x:v>192442.4</x:v>
      </x:c>
      <x:c r="X182" s="6" t="n">
        <x:f>P182*'固定基底'!$B$4/1000</x:f>
        <x:v>17.672400000000003</x:v>
      </x:c>
      <x:c r="Y182" s="6" t="n">
        <x:f>Q182*'固定基底'!$B$4/1000</x:f>
        <x:v>8.863299999999999</x:v>
      </x:c>
      <x:c r="Z182" s="6" t="n">
        <x:f>R182*'固定基底'!$B$4/1000</x:f>
        <x:v>232960</x:v>
      </x:c>
      <x:c r="AA182" s="2" t="n">
        <x:f>'固定基底'!$C$7</x:f>
        <x:v>92796.92267241378</x:v>
      </x:c>
      <x:c r="AB182" s="2" t="n">
        <x:f>'固定基底'!$C$8</x:f>
        <x:v>104175.5097553192</x:v>
      </x:c>
      <x:c r="AC182" s="2" t="n">
        <x:f>'固定基底'!$E$7</x:f>
        <x:v>1855.9384534482756</x:v>
      </x:c>
      <x:c r="AD182" s="2" t="n">
        <x:f>'固定基底'!$E$8</x:f>
        <x:v>2083.510195106384</x:v>
      </x:c>
    </x:row>
    <x:row r="183" ht="25" customHeight="1">
      <x:c r="A183" s="5" t="str">
        <x:v>G07-13</x:v>
      </x:c>
      <x:c r="B183" s="5" t="str">
        <x:v>G07</x:v>
      </x:c>
      <x:c r="C183" s="5" t="str">
        <x:v>BBD</x:v>
      </x:c>
      <x:c r="D183" s="5" t="str">
        <x:v>拟合</x:v>
      </x:c>
      <x:c r="E183" s="5" t="str">
        <x:v>边点</x:v>
      </x:c>
      <x:c r="F183" s="5" t="str"/>
      <x:c r="G183" s="5" t="str">
        <x:v>己酸乙酯</x:v>
      </x:c>
      <x:c r="H183" s="5" t="str">
        <x:v>苯乙酸乙酯</x:v>
      </x:c>
      <x:c r="I183" s="5" t="str">
        <x:v>乙酸异戊酯</x:v>
      </x:c>
      <x:c r="J183" s="5" t="str">
        <x:v>3-苯基丙酸乙酯</x:v>
      </x:c>
      <x:c r="K183" s="5" t="str">
        <x:v>M</x:v>
      </x:c>
      <x:c r="L183" s="5" t="str">
        <x:v>L</x:v>
      </x:c>
      <x:c r="M183" s="5" t="str">
        <x:v>L</x:v>
      </x:c>
      <x:c r="N183" s="5" t="str">
        <x:v>M</x:v>
      </x:c>
      <x:c r="O183" s="6" t="n">
        <x:f>'浓度水平'!G31</x:f>
        <x:v>215340</x:v>
      </x:c>
      <x:c r="P183" s="6" t="n">
        <x:f>'浓度水平'!F14</x:f>
        <x:v>814</x:v>
      </x:c>
      <x:c r="Q183" s="6" t="n">
        <x:f>'浓度水平'!F33</x:f>
        <x:v>187.8</x:v>
      </x:c>
      <x:c r="R183" s="6" t="n">
        <x:f>'浓度水平'!G41</x:f>
        <x:v>635</x:v>
      </x:c>
      <x:c r="S183" s="6" t="n">
        <x:f>O183/'浓度水平'!E31</x:f>
        <x:v>3894.0325497287527</x:v>
      </x:c>
      <x:c r="T183" s="6" t="n">
        <x:f>P183/'浓度水平'!E14</x:f>
        <x:v>2</x:v>
      </x:c>
      <x:c r="U183" s="6" t="n">
        <x:f>Q183/'浓度水平'!E33</x:f>
        <x:v>2</x:v>
      </x:c>
      <x:c r="V183" s="6" t="n">
        <x:f>R183/'浓度水平'!E41</x:f>
        <x:v>5.08</x:v>
      </x:c>
      <x:c r="W183" s="6" t="n">
        <x:f>O183*'固定基底'!$B$4/1000</x:f>
        <x:v>4306.8</x:v>
      </x:c>
      <x:c r="X183" s="6" t="n">
        <x:f>P183*'固定基底'!$B$4/1000</x:f>
        <x:v>16.28</x:v>
      </x:c>
      <x:c r="Y183" s="6" t="n">
        <x:f>Q183*'固定基底'!$B$4/1000</x:f>
        <x:v>3.756</x:v>
      </x:c>
      <x:c r="Z183" s="6" t="n">
        <x:f>R183*'固定基底'!$B$4/1000</x:f>
        <x:v>12.7</x:v>
      </x:c>
      <x:c r="AA183" s="2" t="n">
        <x:f>'固定基底'!$C$7</x:f>
        <x:v>92796.92267241378</x:v>
      </x:c>
      <x:c r="AB183" s="2" t="n">
        <x:f>'固定基底'!$C$8</x:f>
        <x:v>104175.5097553192</x:v>
      </x:c>
      <x:c r="AC183" s="2" t="n">
        <x:f>'固定基底'!$E$7</x:f>
        <x:v>1855.9384534482756</x:v>
      </x:c>
      <x:c r="AD183" s="2" t="n">
        <x:f>'固定基底'!$E$8</x:f>
        <x:v>2083.510195106384</x:v>
      </x:c>
    </x:row>
    <x:row r="184" ht="25" customHeight="1">
      <x:c r="A184" s="5" t="str">
        <x:v>G07-14</x:v>
      </x:c>
      <x:c r="B184" s="5" t="str">
        <x:v>G07</x:v>
      </x:c>
      <x:c r="C184" s="5" t="str">
        <x:v>BBD</x:v>
      </x:c>
      <x:c r="D184" s="5" t="str">
        <x:v>拟合</x:v>
      </x:c>
      <x:c r="E184" s="5" t="str">
        <x:v>边点</x:v>
      </x:c>
      <x:c r="F184" s="5" t="str"/>
      <x:c r="G184" s="5" t="str">
        <x:v>己酸乙酯</x:v>
      </x:c>
      <x:c r="H184" s="5" t="str">
        <x:v>苯乙酸乙酯</x:v>
      </x:c>
      <x:c r="I184" s="5" t="str">
        <x:v>乙酸异戊酯</x:v>
      </x:c>
      <x:c r="J184" s="5" t="str">
        <x:v>3-苯基丙酸乙酯</x:v>
      </x:c>
      <x:c r="K184" s="5" t="str">
        <x:v>M</x:v>
      </x:c>
      <x:c r="L184" s="5" t="str">
        <x:v>L</x:v>
      </x:c>
      <x:c r="M184" s="5" t="str">
        <x:v>H</x:v>
      </x:c>
      <x:c r="N184" s="5" t="str">
        <x:v>M</x:v>
      </x:c>
      <x:c r="O184" s="6" t="n">
        <x:f>'浓度水平'!G31</x:f>
        <x:v>215340</x:v>
      </x:c>
      <x:c r="P184" s="6" t="n">
        <x:f>'浓度水平'!F14</x:f>
        <x:v>814</x:v>
      </x:c>
      <x:c r="Q184" s="6" t="n">
        <x:f>'浓度水平'!H33</x:f>
        <x:v>6516</x:v>
      </x:c>
      <x:c r="R184" s="6" t="n">
        <x:f>'浓度水平'!G41</x:f>
        <x:v>635</x:v>
      </x:c>
      <x:c r="S184" s="6" t="n">
        <x:f>O184/'浓度水平'!E31</x:f>
        <x:v>3894.0325497287527</x:v>
      </x:c>
      <x:c r="T184" s="6" t="n">
        <x:f>P184/'浓度水平'!E14</x:f>
        <x:v>2</x:v>
      </x:c>
      <x:c r="U184" s="6" t="n">
        <x:f>Q184/'浓度水平'!E33</x:f>
        <x:v>69.39297124600638</x:v>
      </x:c>
      <x:c r="V184" s="6" t="n">
        <x:f>R184/'浓度水平'!E41</x:f>
        <x:v>5.08</x:v>
      </x:c>
      <x:c r="W184" s="6" t="n">
        <x:f>O184*'固定基底'!$B$4/1000</x:f>
        <x:v>4306.8</x:v>
      </x:c>
      <x:c r="X184" s="6" t="n">
        <x:f>P184*'固定基底'!$B$4/1000</x:f>
        <x:v>16.28</x:v>
      </x:c>
      <x:c r="Y184" s="6" t="n">
        <x:f>Q184*'固定基底'!$B$4/1000</x:f>
        <x:v>130.32</x:v>
      </x:c>
      <x:c r="Z184" s="6" t="n">
        <x:f>R184*'固定基底'!$B$4/1000</x:f>
        <x:v>12.7</x:v>
      </x:c>
      <x:c r="AA184" s="2" t="n">
        <x:f>'固定基底'!$C$7</x:f>
        <x:v>92796.92267241378</x:v>
      </x:c>
      <x:c r="AB184" s="2" t="n">
        <x:f>'固定基底'!$C$8</x:f>
        <x:v>104175.5097553192</x:v>
      </x:c>
      <x:c r="AC184" s="2" t="n">
        <x:f>'固定基底'!$E$7</x:f>
        <x:v>1855.9384534482756</x:v>
      </x:c>
      <x:c r="AD184" s="2" t="n">
        <x:f>'固定基底'!$E$8</x:f>
        <x:v>2083.510195106384</x:v>
      </x:c>
    </x:row>
    <x:row r="185" ht="25" customHeight="1">
      <x:c r="A185" s="5" t="str">
        <x:v>G07-15</x:v>
      </x:c>
      <x:c r="B185" s="5" t="str">
        <x:v>G07</x:v>
      </x:c>
      <x:c r="C185" s="5" t="str">
        <x:v>BBD</x:v>
      </x:c>
      <x:c r="D185" s="5" t="str">
        <x:v>拟合</x:v>
      </x:c>
      <x:c r="E185" s="5" t="str">
        <x:v>边点</x:v>
      </x:c>
      <x:c r="F185" s="5" t="str"/>
      <x:c r="G185" s="5" t="str">
        <x:v>己酸乙酯</x:v>
      </x:c>
      <x:c r="H185" s="5" t="str">
        <x:v>苯乙酸乙酯</x:v>
      </x:c>
      <x:c r="I185" s="5" t="str">
        <x:v>乙酸异戊酯</x:v>
      </x:c>
      <x:c r="J185" s="5" t="str">
        <x:v>3-苯基丙酸乙酯</x:v>
      </x:c>
      <x:c r="K185" s="5" t="str">
        <x:v>M</x:v>
      </x:c>
      <x:c r="L185" s="5" t="str">
        <x:v>H</x:v>
      </x:c>
      <x:c r="M185" s="5" t="str">
        <x:v>L</x:v>
      </x:c>
      <x:c r="N185" s="5" t="str">
        <x:v>M</x:v>
      </x:c>
      <x:c r="O185" s="6" t="n">
        <x:f>'浓度水平'!G31</x:f>
        <x:v>215340</x:v>
      </x:c>
      <x:c r="P185" s="6" t="n">
        <x:f>'浓度水平'!H14</x:f>
        <x:v>21400</x:v>
      </x:c>
      <x:c r="Q185" s="6" t="n">
        <x:f>'浓度水平'!F33</x:f>
        <x:v>187.8</x:v>
      </x:c>
      <x:c r="R185" s="6" t="n">
        <x:f>'浓度水平'!G41</x:f>
        <x:v>635</x:v>
      </x:c>
      <x:c r="S185" s="6" t="n">
        <x:f>O185/'浓度水平'!E31</x:f>
        <x:v>3894.0325497287527</x:v>
      </x:c>
      <x:c r="T185" s="6" t="n">
        <x:f>P185/'浓度水平'!E14</x:f>
        <x:v>52.57985257985258</x:v>
      </x:c>
      <x:c r="U185" s="6" t="n">
        <x:f>Q185/'浓度水平'!E33</x:f>
        <x:v>2</x:v>
      </x:c>
      <x:c r="V185" s="6" t="n">
        <x:f>R185/'浓度水平'!E41</x:f>
        <x:v>5.08</x:v>
      </x:c>
      <x:c r="W185" s="6" t="n">
        <x:f>O185*'固定基底'!$B$4/1000</x:f>
        <x:v>4306.8</x:v>
      </x:c>
      <x:c r="X185" s="6" t="n">
        <x:f>P185*'固定基底'!$B$4/1000</x:f>
        <x:v>428</x:v>
      </x:c>
      <x:c r="Y185" s="6" t="n">
        <x:f>Q185*'固定基底'!$B$4/1000</x:f>
        <x:v>3.756</x:v>
      </x:c>
      <x:c r="Z185" s="6" t="n">
        <x:f>R185*'固定基底'!$B$4/1000</x:f>
        <x:v>12.7</x:v>
      </x:c>
      <x:c r="AA185" s="2" t="n">
        <x:f>'固定基底'!$C$7</x:f>
        <x:v>92796.92267241378</x:v>
      </x:c>
      <x:c r="AB185" s="2" t="n">
        <x:f>'固定基底'!$C$8</x:f>
        <x:v>104175.5097553192</x:v>
      </x:c>
      <x:c r="AC185" s="2" t="n">
        <x:f>'固定基底'!$E$7</x:f>
        <x:v>1855.9384534482756</x:v>
      </x:c>
      <x:c r="AD185" s="2" t="n">
        <x:f>'固定基底'!$E$8</x:f>
        <x:v>2083.510195106384</x:v>
      </x:c>
    </x:row>
    <x:row r="186" ht="25" customHeight="1">
      <x:c r="A186" s="5" t="str">
        <x:v>G07-16</x:v>
      </x:c>
      <x:c r="B186" s="5" t="str">
        <x:v>G07</x:v>
      </x:c>
      <x:c r="C186" s="5" t="str">
        <x:v>BBD</x:v>
      </x:c>
      <x:c r="D186" s="5" t="str">
        <x:v>拟合</x:v>
      </x:c>
      <x:c r="E186" s="5" t="str">
        <x:v>边点</x:v>
      </x:c>
      <x:c r="F186" s="5" t="str"/>
      <x:c r="G186" s="5" t="str">
        <x:v>己酸乙酯</x:v>
      </x:c>
      <x:c r="H186" s="5" t="str">
        <x:v>苯乙酸乙酯</x:v>
      </x:c>
      <x:c r="I186" s="5" t="str">
        <x:v>乙酸异戊酯</x:v>
      </x:c>
      <x:c r="J186" s="5" t="str">
        <x:v>3-苯基丙酸乙酯</x:v>
      </x:c>
      <x:c r="K186" s="5" t="str">
        <x:v>M</x:v>
      </x:c>
      <x:c r="L186" s="5" t="str">
        <x:v>H</x:v>
      </x:c>
      <x:c r="M186" s="5" t="str">
        <x:v>H</x:v>
      </x:c>
      <x:c r="N186" s="5" t="str">
        <x:v>M</x:v>
      </x:c>
      <x:c r="O186" s="6" t="n">
        <x:f>'浓度水平'!G31</x:f>
        <x:v>215340</x:v>
      </x:c>
      <x:c r="P186" s="6" t="n">
        <x:f>'浓度水平'!H14</x:f>
        <x:v>21400</x:v>
      </x:c>
      <x:c r="Q186" s="6" t="n">
        <x:f>'浓度水平'!H33</x:f>
        <x:v>6516</x:v>
      </x:c>
      <x:c r="R186" s="6" t="n">
        <x:f>'浓度水平'!G41</x:f>
        <x:v>635</x:v>
      </x:c>
      <x:c r="S186" s="6" t="n">
        <x:f>O186/'浓度水平'!E31</x:f>
        <x:v>3894.0325497287527</x:v>
      </x:c>
      <x:c r="T186" s="6" t="n">
        <x:f>P186/'浓度水平'!E14</x:f>
        <x:v>52.57985257985258</x:v>
      </x:c>
      <x:c r="U186" s="6" t="n">
        <x:f>Q186/'浓度水平'!E33</x:f>
        <x:v>69.39297124600638</x:v>
      </x:c>
      <x:c r="V186" s="6" t="n">
        <x:f>R186/'浓度水平'!E41</x:f>
        <x:v>5.08</x:v>
      </x:c>
      <x:c r="W186" s="6" t="n">
        <x:f>O186*'固定基底'!$B$4/1000</x:f>
        <x:v>4306.8</x:v>
      </x:c>
      <x:c r="X186" s="6" t="n">
        <x:f>P186*'固定基底'!$B$4/1000</x:f>
        <x:v>428</x:v>
      </x:c>
      <x:c r="Y186" s="6" t="n">
        <x:f>Q186*'固定基底'!$B$4/1000</x:f>
        <x:v>130.32</x:v>
      </x:c>
      <x:c r="Z186" s="6" t="n">
        <x:f>R186*'固定基底'!$B$4/1000</x:f>
        <x:v>12.7</x:v>
      </x:c>
      <x:c r="AA186" s="2" t="n">
        <x:f>'固定基底'!$C$7</x:f>
        <x:v>92796.92267241378</x:v>
      </x:c>
      <x:c r="AB186" s="2" t="n">
        <x:f>'固定基底'!$C$8</x:f>
        <x:v>104175.5097553192</x:v>
      </x:c>
      <x:c r="AC186" s="2" t="n">
        <x:f>'固定基底'!$E$7</x:f>
        <x:v>1855.9384534482756</x:v>
      </x:c>
      <x:c r="AD186" s="2" t="n">
        <x:f>'固定基底'!$E$8</x:f>
        <x:v>2083.510195106384</x:v>
      </x:c>
    </x:row>
    <x:row r="187" ht="25" customHeight="1">
      <x:c r="A187" s="5" t="str">
        <x:v>G07-17</x:v>
      </x:c>
      <x:c r="B187" s="5" t="str">
        <x:v>G07</x:v>
      </x:c>
      <x:c r="C187" s="5" t="str">
        <x:v>BBD</x:v>
      </x:c>
      <x:c r="D187" s="5" t="str">
        <x:v>拟合</x:v>
      </x:c>
      <x:c r="E187" s="5" t="str">
        <x:v>边点</x:v>
      </x:c>
      <x:c r="F187" s="5" t="str"/>
      <x:c r="G187" s="5" t="str">
        <x:v>己酸乙酯</x:v>
      </x:c>
      <x:c r="H187" s="5" t="str">
        <x:v>苯乙酸乙酯</x:v>
      </x:c>
      <x:c r="I187" s="5" t="str">
        <x:v>乙酸异戊酯</x:v>
      </x:c>
      <x:c r="J187" s="5" t="str">
        <x:v>3-苯基丙酸乙酯</x:v>
      </x:c>
      <x:c r="K187" s="5" t="str">
        <x:v>M</x:v>
      </x:c>
      <x:c r="L187" s="5" t="str">
        <x:v>L</x:v>
      </x:c>
      <x:c r="M187" s="5" t="str">
        <x:v>M</x:v>
      </x:c>
      <x:c r="N187" s="5" t="str">
        <x:v>L</x:v>
      </x:c>
      <x:c r="O187" s="6" t="n">
        <x:f>'浓度水平'!G31</x:f>
        <x:v>215340</x:v>
      </x:c>
      <x:c r="P187" s="6" t="n">
        <x:f>'浓度水平'!F14</x:f>
        <x:v>814</x:v>
      </x:c>
      <x:c r="Q187" s="6" t="n">
        <x:f>'浓度水平'!G33</x:f>
        <x:v>443.16499999999996</x:v>
      </x:c>
      <x:c r="R187" s="6" t="n">
        <x:f>'浓度水平'!F41</x:f>
        <x:v>250</x:v>
      </x:c>
      <x:c r="S187" s="6" t="n">
        <x:f>O187/'浓度水平'!E31</x:f>
        <x:v>3894.0325497287527</x:v>
      </x:c>
      <x:c r="T187" s="6" t="n">
        <x:f>P187/'浓度水平'!E14</x:f>
        <x:v>2</x:v>
      </x:c>
      <x:c r="U187" s="6" t="n">
        <x:f>Q187/'浓度水平'!E33</x:f>
        <x:v>4.719542066027689</x:v>
      </x:c>
      <x:c r="V187" s="6" t="n">
        <x:f>R187/'浓度水平'!E41</x:f>
        <x:v>2</x:v>
      </x:c>
      <x:c r="W187" s="6" t="n">
        <x:f>O187*'固定基底'!$B$4/1000</x:f>
        <x:v>4306.8</x:v>
      </x:c>
      <x:c r="X187" s="6" t="n">
        <x:f>P187*'固定基底'!$B$4/1000</x:f>
        <x:v>16.28</x:v>
      </x:c>
      <x:c r="Y187" s="6" t="n">
        <x:f>Q187*'固定基底'!$B$4/1000</x:f>
        <x:v>8.863299999999999</x:v>
      </x:c>
      <x:c r="Z187" s="6" t="n">
        <x:f>R187*'固定基底'!$B$4/1000</x:f>
        <x:v>5</x:v>
      </x:c>
      <x:c r="AA187" s="2" t="n">
        <x:f>'固定基底'!$C$7</x:f>
        <x:v>92796.92267241378</x:v>
      </x:c>
      <x:c r="AB187" s="2" t="n">
        <x:f>'固定基底'!$C$8</x:f>
        <x:v>104175.5097553192</x:v>
      </x:c>
      <x:c r="AC187" s="2" t="n">
        <x:f>'固定基底'!$E$7</x:f>
        <x:v>1855.9384534482756</x:v>
      </x:c>
      <x:c r="AD187" s="2" t="n">
        <x:f>'固定基底'!$E$8</x:f>
        <x:v>2083.510195106384</x:v>
      </x:c>
    </x:row>
    <x:row r="188" ht="25" customHeight="1">
      <x:c r="A188" s="5" t="str">
        <x:v>G07-18</x:v>
      </x:c>
      <x:c r="B188" s="5" t="str">
        <x:v>G07</x:v>
      </x:c>
      <x:c r="C188" s="5" t="str">
        <x:v>BBD</x:v>
      </x:c>
      <x:c r="D188" s="5" t="str">
        <x:v>拟合</x:v>
      </x:c>
      <x:c r="E188" s="5" t="str">
        <x:v>边点</x:v>
      </x:c>
      <x:c r="F188" s="5" t="str"/>
      <x:c r="G188" s="5" t="str">
        <x:v>己酸乙酯</x:v>
      </x:c>
      <x:c r="H188" s="5" t="str">
        <x:v>苯乙酸乙酯</x:v>
      </x:c>
      <x:c r="I188" s="5" t="str">
        <x:v>乙酸异戊酯</x:v>
      </x:c>
      <x:c r="J188" s="5" t="str">
        <x:v>3-苯基丙酸乙酯</x:v>
      </x:c>
      <x:c r="K188" s="5" t="str">
        <x:v>M</x:v>
      </x:c>
      <x:c r="L188" s="5" t="str">
        <x:v>L</x:v>
      </x:c>
      <x:c r="M188" s="5" t="str">
        <x:v>M</x:v>
      </x:c>
      <x:c r="N188" s="5" t="str">
        <x:v>H</x:v>
      </x:c>
      <x:c r="O188" s="6" t="n">
        <x:f>'浓度水平'!G31</x:f>
        <x:v>215340</x:v>
      </x:c>
      <x:c r="P188" s="6" t="n">
        <x:f>'浓度水平'!F14</x:f>
        <x:v>814</x:v>
      </x:c>
      <x:c r="Q188" s="6" t="n">
        <x:f>'浓度水平'!G33</x:f>
        <x:v>443.16499999999996</x:v>
      </x:c>
      <x:c r="R188" s="6" t="n">
        <x:f>'浓度水平'!H41</x:f>
        <x:v>11648000</x:v>
      </x:c>
      <x:c r="S188" s="6" t="n">
        <x:f>O188/'浓度水平'!E31</x:f>
        <x:v>3894.0325497287527</x:v>
      </x:c>
      <x:c r="T188" s="6" t="n">
        <x:f>P188/'浓度水平'!E14</x:f>
        <x:v>2</x:v>
      </x:c>
      <x:c r="U188" s="6" t="n">
        <x:f>Q188/'浓度水平'!E33</x:f>
        <x:v>4.719542066027689</x:v>
      </x:c>
      <x:c r="V188" s="6" t="n">
        <x:f>R188/'浓度水平'!E41</x:f>
        <x:v>93184</x:v>
      </x:c>
      <x:c r="W188" s="6" t="n">
        <x:f>O188*'固定基底'!$B$4/1000</x:f>
        <x:v>4306.8</x:v>
      </x:c>
      <x:c r="X188" s="6" t="n">
        <x:f>P188*'固定基底'!$B$4/1000</x:f>
        <x:v>16.28</x:v>
      </x:c>
      <x:c r="Y188" s="6" t="n">
        <x:f>Q188*'固定基底'!$B$4/1000</x:f>
        <x:v>8.863299999999999</x:v>
      </x:c>
      <x:c r="Z188" s="6" t="n">
        <x:f>R188*'固定基底'!$B$4/1000</x:f>
        <x:v>232960</x:v>
      </x:c>
      <x:c r="AA188" s="2" t="n">
        <x:f>'固定基底'!$C$7</x:f>
        <x:v>92796.92267241378</x:v>
      </x:c>
      <x:c r="AB188" s="2" t="n">
        <x:f>'固定基底'!$C$8</x:f>
        <x:v>104175.5097553192</x:v>
      </x:c>
      <x:c r="AC188" s="2" t="n">
        <x:f>'固定基底'!$E$7</x:f>
        <x:v>1855.9384534482756</x:v>
      </x:c>
      <x:c r="AD188" s="2" t="n">
        <x:f>'固定基底'!$E$8</x:f>
        <x:v>2083.510195106384</x:v>
      </x:c>
    </x:row>
    <x:row r="189" ht="25" customHeight="1">
      <x:c r="A189" s="5" t="str">
        <x:v>G07-19</x:v>
      </x:c>
      <x:c r="B189" s="5" t="str">
        <x:v>G07</x:v>
      </x:c>
      <x:c r="C189" s="5" t="str">
        <x:v>BBD</x:v>
      </x:c>
      <x:c r="D189" s="5" t="str">
        <x:v>拟合</x:v>
      </x:c>
      <x:c r="E189" s="5" t="str">
        <x:v>边点</x:v>
      </x:c>
      <x:c r="F189" s="5" t="str"/>
      <x:c r="G189" s="5" t="str">
        <x:v>己酸乙酯</x:v>
      </x:c>
      <x:c r="H189" s="5" t="str">
        <x:v>苯乙酸乙酯</x:v>
      </x:c>
      <x:c r="I189" s="5" t="str">
        <x:v>乙酸异戊酯</x:v>
      </x:c>
      <x:c r="J189" s="5" t="str">
        <x:v>3-苯基丙酸乙酯</x:v>
      </x:c>
      <x:c r="K189" s="5" t="str">
        <x:v>M</x:v>
      </x:c>
      <x:c r="L189" s="5" t="str">
        <x:v>H</x:v>
      </x:c>
      <x:c r="M189" s="5" t="str">
        <x:v>M</x:v>
      </x:c>
      <x:c r="N189" s="5" t="str">
        <x:v>L</x:v>
      </x:c>
      <x:c r="O189" s="6" t="n">
        <x:f>'浓度水平'!G31</x:f>
        <x:v>215340</x:v>
      </x:c>
      <x:c r="P189" s="6" t="n">
        <x:f>'浓度水平'!H14</x:f>
        <x:v>21400</x:v>
      </x:c>
      <x:c r="Q189" s="6" t="n">
        <x:f>'浓度水平'!G33</x:f>
        <x:v>443.16499999999996</x:v>
      </x:c>
      <x:c r="R189" s="6" t="n">
        <x:f>'浓度水平'!F41</x:f>
        <x:v>250</x:v>
      </x:c>
      <x:c r="S189" s="6" t="n">
        <x:f>O189/'浓度水平'!E31</x:f>
        <x:v>3894.0325497287527</x:v>
      </x:c>
      <x:c r="T189" s="6" t="n">
        <x:f>P189/'浓度水平'!E14</x:f>
        <x:v>52.57985257985258</x:v>
      </x:c>
      <x:c r="U189" s="6" t="n">
        <x:f>Q189/'浓度水平'!E33</x:f>
        <x:v>4.719542066027689</x:v>
      </x:c>
      <x:c r="V189" s="6" t="n">
        <x:f>R189/'浓度水平'!E41</x:f>
        <x:v>2</x:v>
      </x:c>
      <x:c r="W189" s="6" t="n">
        <x:f>O189*'固定基底'!$B$4/1000</x:f>
        <x:v>4306.8</x:v>
      </x:c>
      <x:c r="X189" s="6" t="n">
        <x:f>P189*'固定基底'!$B$4/1000</x:f>
        <x:v>428</x:v>
      </x:c>
      <x:c r="Y189" s="6" t="n">
        <x:f>Q189*'固定基底'!$B$4/1000</x:f>
        <x:v>8.863299999999999</x:v>
      </x:c>
      <x:c r="Z189" s="6" t="n">
        <x:f>R189*'固定基底'!$B$4/1000</x:f>
        <x:v>5</x:v>
      </x:c>
      <x:c r="AA189" s="2" t="n">
        <x:f>'固定基底'!$C$7</x:f>
        <x:v>92796.92267241378</x:v>
      </x:c>
      <x:c r="AB189" s="2" t="n">
        <x:f>'固定基底'!$C$8</x:f>
        <x:v>104175.5097553192</x:v>
      </x:c>
      <x:c r="AC189" s="2" t="n">
        <x:f>'固定基底'!$E$7</x:f>
        <x:v>1855.9384534482756</x:v>
      </x:c>
      <x:c r="AD189" s="2" t="n">
        <x:f>'固定基底'!$E$8</x:f>
        <x:v>2083.510195106384</x:v>
      </x:c>
    </x:row>
    <x:row r="190" ht="25" customHeight="1">
      <x:c r="A190" s="5" t="str">
        <x:v>G07-20</x:v>
      </x:c>
      <x:c r="B190" s="5" t="str">
        <x:v>G07</x:v>
      </x:c>
      <x:c r="C190" s="5" t="str">
        <x:v>BBD</x:v>
      </x:c>
      <x:c r="D190" s="5" t="str">
        <x:v>拟合</x:v>
      </x:c>
      <x:c r="E190" s="5" t="str">
        <x:v>边点</x:v>
      </x:c>
      <x:c r="F190" s="5" t="str"/>
      <x:c r="G190" s="5" t="str">
        <x:v>己酸乙酯</x:v>
      </x:c>
      <x:c r="H190" s="5" t="str">
        <x:v>苯乙酸乙酯</x:v>
      </x:c>
      <x:c r="I190" s="5" t="str">
        <x:v>乙酸异戊酯</x:v>
      </x:c>
      <x:c r="J190" s="5" t="str">
        <x:v>3-苯基丙酸乙酯</x:v>
      </x:c>
      <x:c r="K190" s="5" t="str">
        <x:v>M</x:v>
      </x:c>
      <x:c r="L190" s="5" t="str">
        <x:v>H</x:v>
      </x:c>
      <x:c r="M190" s="5" t="str">
        <x:v>M</x:v>
      </x:c>
      <x:c r="N190" s="5" t="str">
        <x:v>H</x:v>
      </x:c>
      <x:c r="O190" s="6" t="n">
        <x:f>'浓度水平'!G31</x:f>
        <x:v>215340</x:v>
      </x:c>
      <x:c r="P190" s="6" t="n">
        <x:f>'浓度水平'!H14</x:f>
        <x:v>21400</x:v>
      </x:c>
      <x:c r="Q190" s="6" t="n">
        <x:f>'浓度水平'!G33</x:f>
        <x:v>443.16499999999996</x:v>
      </x:c>
      <x:c r="R190" s="6" t="n">
        <x:f>'浓度水平'!H41</x:f>
        <x:v>11648000</x:v>
      </x:c>
      <x:c r="S190" s="6" t="n">
        <x:f>O190/'浓度水平'!E31</x:f>
        <x:v>3894.0325497287527</x:v>
      </x:c>
      <x:c r="T190" s="6" t="n">
        <x:f>P190/'浓度水平'!E14</x:f>
        <x:v>52.57985257985258</x:v>
      </x:c>
      <x:c r="U190" s="6" t="n">
        <x:f>Q190/'浓度水平'!E33</x:f>
        <x:v>4.719542066027689</x:v>
      </x:c>
      <x:c r="V190" s="6" t="n">
        <x:f>R190/'浓度水平'!E41</x:f>
        <x:v>93184</x:v>
      </x:c>
      <x:c r="W190" s="6" t="n">
        <x:f>O190*'固定基底'!$B$4/1000</x:f>
        <x:v>4306.8</x:v>
      </x:c>
      <x:c r="X190" s="6" t="n">
        <x:f>P190*'固定基底'!$B$4/1000</x:f>
        <x:v>428</x:v>
      </x:c>
      <x:c r="Y190" s="6" t="n">
        <x:f>Q190*'固定基底'!$B$4/1000</x:f>
        <x:v>8.863299999999999</x:v>
      </x:c>
      <x:c r="Z190" s="6" t="n">
        <x:f>R190*'固定基底'!$B$4/1000</x:f>
        <x:v>232960</x:v>
      </x:c>
      <x:c r="AA190" s="2" t="n">
        <x:f>'固定基底'!$C$7</x:f>
        <x:v>92796.92267241378</x:v>
      </x:c>
      <x:c r="AB190" s="2" t="n">
        <x:f>'固定基底'!$C$8</x:f>
        <x:v>104175.5097553192</x:v>
      </x:c>
      <x:c r="AC190" s="2" t="n">
        <x:f>'固定基底'!$E$7</x:f>
        <x:v>1855.9384534482756</x:v>
      </x:c>
      <x:c r="AD190" s="2" t="n">
        <x:f>'固定基底'!$E$8</x:f>
        <x:v>2083.510195106384</x:v>
      </x:c>
    </x:row>
    <x:row r="191" ht="25" customHeight="1">
      <x:c r="A191" s="5" t="str">
        <x:v>G07-21</x:v>
      </x:c>
      <x:c r="B191" s="5" t="str">
        <x:v>G07</x:v>
      </x:c>
      <x:c r="C191" s="5" t="str">
        <x:v>BBD</x:v>
      </x:c>
      <x:c r="D191" s="5" t="str">
        <x:v>拟合</x:v>
      </x:c>
      <x:c r="E191" s="5" t="str">
        <x:v>边点</x:v>
      </x:c>
      <x:c r="F191" s="5" t="str"/>
      <x:c r="G191" s="5" t="str">
        <x:v>己酸乙酯</x:v>
      </x:c>
      <x:c r="H191" s="5" t="str">
        <x:v>苯乙酸乙酯</x:v>
      </x:c>
      <x:c r="I191" s="5" t="str">
        <x:v>乙酸异戊酯</x:v>
      </x:c>
      <x:c r="J191" s="5" t="str">
        <x:v>3-苯基丙酸乙酯</x:v>
      </x:c>
      <x:c r="K191" s="5" t="str">
        <x:v>M</x:v>
      </x:c>
      <x:c r="L191" s="5" t="str">
        <x:v>M</x:v>
      </x:c>
      <x:c r="M191" s="5" t="str">
        <x:v>L</x:v>
      </x:c>
      <x:c r="N191" s="5" t="str">
        <x:v>L</x:v>
      </x:c>
      <x:c r="O191" s="6" t="n">
        <x:f>'浓度水平'!G31</x:f>
        <x:v>215340</x:v>
      </x:c>
      <x:c r="P191" s="6" t="n">
        <x:f>'浓度水平'!G14</x:f>
        <x:v>883.62</x:v>
      </x:c>
      <x:c r="Q191" s="6" t="n">
        <x:f>'浓度水平'!F33</x:f>
        <x:v>187.8</x:v>
      </x:c>
      <x:c r="R191" s="6" t="n">
        <x:f>'浓度水平'!F41</x:f>
        <x:v>250</x:v>
      </x:c>
      <x:c r="S191" s="6" t="n">
        <x:f>O191/'浓度水平'!E31</x:f>
        <x:v>3894.0325497287527</x:v>
      </x:c>
      <x:c r="T191" s="6" t="n">
        <x:f>P191/'浓度水平'!E14</x:f>
        <x:v>2.171056511056511</x:v>
      </x:c>
      <x:c r="U191" s="6" t="n">
        <x:f>Q191/'浓度水平'!E33</x:f>
        <x:v>2</x:v>
      </x:c>
      <x:c r="V191" s="6" t="n">
        <x:f>R191/'浓度水平'!E41</x:f>
        <x:v>2</x:v>
      </x:c>
      <x:c r="W191" s="6" t="n">
        <x:f>O191*'固定基底'!$B$4/1000</x:f>
        <x:v>4306.8</x:v>
      </x:c>
      <x:c r="X191" s="6" t="n">
        <x:f>P191*'固定基底'!$B$4/1000</x:f>
        <x:v>17.672400000000003</x:v>
      </x:c>
      <x:c r="Y191" s="6" t="n">
        <x:f>Q191*'固定基底'!$B$4/1000</x:f>
        <x:v>3.756</x:v>
      </x:c>
      <x:c r="Z191" s="6" t="n">
        <x:f>R191*'固定基底'!$B$4/1000</x:f>
        <x:v>5</x:v>
      </x:c>
      <x:c r="AA191" s="2" t="n">
        <x:f>'固定基底'!$C$7</x:f>
        <x:v>92796.92267241378</x:v>
      </x:c>
      <x:c r="AB191" s="2" t="n">
        <x:f>'固定基底'!$C$8</x:f>
        <x:v>104175.5097553192</x:v>
      </x:c>
      <x:c r="AC191" s="2" t="n">
        <x:f>'固定基底'!$E$7</x:f>
        <x:v>1855.9384534482756</x:v>
      </x:c>
      <x:c r="AD191" s="2" t="n">
        <x:f>'固定基底'!$E$8</x:f>
        <x:v>2083.510195106384</x:v>
      </x:c>
    </x:row>
    <x:row r="192" ht="25" customHeight="1">
      <x:c r="A192" s="5" t="str">
        <x:v>G07-22</x:v>
      </x:c>
      <x:c r="B192" s="5" t="str">
        <x:v>G07</x:v>
      </x:c>
      <x:c r="C192" s="5" t="str">
        <x:v>BBD</x:v>
      </x:c>
      <x:c r="D192" s="5" t="str">
        <x:v>拟合</x:v>
      </x:c>
      <x:c r="E192" s="5" t="str">
        <x:v>边点</x:v>
      </x:c>
      <x:c r="F192" s="5" t="str"/>
      <x:c r="G192" s="5" t="str">
        <x:v>己酸乙酯</x:v>
      </x:c>
      <x:c r="H192" s="5" t="str">
        <x:v>苯乙酸乙酯</x:v>
      </x:c>
      <x:c r="I192" s="5" t="str">
        <x:v>乙酸异戊酯</x:v>
      </x:c>
      <x:c r="J192" s="5" t="str">
        <x:v>3-苯基丙酸乙酯</x:v>
      </x:c>
      <x:c r="K192" s="5" t="str">
        <x:v>M</x:v>
      </x:c>
      <x:c r="L192" s="5" t="str">
        <x:v>M</x:v>
      </x:c>
      <x:c r="M192" s="5" t="str">
        <x:v>L</x:v>
      </x:c>
      <x:c r="N192" s="5" t="str">
        <x:v>H</x:v>
      </x:c>
      <x:c r="O192" s="6" t="n">
        <x:f>'浓度水平'!G31</x:f>
        <x:v>215340</x:v>
      </x:c>
      <x:c r="P192" s="6" t="n">
        <x:f>'浓度水平'!G14</x:f>
        <x:v>883.62</x:v>
      </x:c>
      <x:c r="Q192" s="6" t="n">
        <x:f>'浓度水平'!F33</x:f>
        <x:v>187.8</x:v>
      </x:c>
      <x:c r="R192" s="6" t="n">
        <x:f>'浓度水平'!H41</x:f>
        <x:v>11648000</x:v>
      </x:c>
      <x:c r="S192" s="6" t="n">
        <x:f>O192/'浓度水平'!E31</x:f>
        <x:v>3894.0325497287527</x:v>
      </x:c>
      <x:c r="T192" s="6" t="n">
        <x:f>P192/'浓度水平'!E14</x:f>
        <x:v>2.171056511056511</x:v>
      </x:c>
      <x:c r="U192" s="6" t="n">
        <x:f>Q192/'浓度水平'!E33</x:f>
        <x:v>2</x:v>
      </x:c>
      <x:c r="V192" s="6" t="n">
        <x:f>R192/'浓度水平'!E41</x:f>
        <x:v>93184</x:v>
      </x:c>
      <x:c r="W192" s="6" t="n">
        <x:f>O192*'固定基底'!$B$4/1000</x:f>
        <x:v>4306.8</x:v>
      </x:c>
      <x:c r="X192" s="6" t="n">
        <x:f>P192*'固定基底'!$B$4/1000</x:f>
        <x:v>17.672400000000003</x:v>
      </x:c>
      <x:c r="Y192" s="6" t="n">
        <x:f>Q192*'固定基底'!$B$4/1000</x:f>
        <x:v>3.756</x:v>
      </x:c>
      <x:c r="Z192" s="6" t="n">
        <x:f>R192*'固定基底'!$B$4/1000</x:f>
        <x:v>232960</x:v>
      </x:c>
      <x:c r="AA192" s="2" t="n">
        <x:f>'固定基底'!$C$7</x:f>
        <x:v>92796.92267241378</x:v>
      </x:c>
      <x:c r="AB192" s="2" t="n">
        <x:f>'固定基底'!$C$8</x:f>
        <x:v>104175.5097553192</x:v>
      </x:c>
      <x:c r="AC192" s="2" t="n">
        <x:f>'固定基底'!$E$7</x:f>
        <x:v>1855.9384534482756</x:v>
      </x:c>
      <x:c r="AD192" s="2" t="n">
        <x:f>'固定基底'!$E$8</x:f>
        <x:v>2083.510195106384</x:v>
      </x:c>
    </x:row>
    <x:row r="193" ht="25" customHeight="1">
      <x:c r="A193" s="5" t="str">
        <x:v>G07-23</x:v>
      </x:c>
      <x:c r="B193" s="5" t="str">
        <x:v>G07</x:v>
      </x:c>
      <x:c r="C193" s="5" t="str">
        <x:v>BBD</x:v>
      </x:c>
      <x:c r="D193" s="5" t="str">
        <x:v>拟合</x:v>
      </x:c>
      <x:c r="E193" s="5" t="str">
        <x:v>边点</x:v>
      </x:c>
      <x:c r="F193" s="5" t="str"/>
      <x:c r="G193" s="5" t="str">
        <x:v>己酸乙酯</x:v>
      </x:c>
      <x:c r="H193" s="5" t="str">
        <x:v>苯乙酸乙酯</x:v>
      </x:c>
      <x:c r="I193" s="5" t="str">
        <x:v>乙酸异戊酯</x:v>
      </x:c>
      <x:c r="J193" s="5" t="str">
        <x:v>3-苯基丙酸乙酯</x:v>
      </x:c>
      <x:c r="K193" s="5" t="str">
        <x:v>M</x:v>
      </x:c>
      <x:c r="L193" s="5" t="str">
        <x:v>M</x:v>
      </x:c>
      <x:c r="M193" s="5" t="str">
        <x:v>H</x:v>
      </x:c>
      <x:c r="N193" s="5" t="str">
        <x:v>L</x:v>
      </x:c>
      <x:c r="O193" s="6" t="n">
        <x:f>'浓度水平'!G31</x:f>
        <x:v>215340</x:v>
      </x:c>
      <x:c r="P193" s="6" t="n">
        <x:f>'浓度水平'!G14</x:f>
        <x:v>883.62</x:v>
      </x:c>
      <x:c r="Q193" s="6" t="n">
        <x:f>'浓度水平'!H33</x:f>
        <x:v>6516</x:v>
      </x:c>
      <x:c r="R193" s="6" t="n">
        <x:f>'浓度水平'!F41</x:f>
        <x:v>250</x:v>
      </x:c>
      <x:c r="S193" s="6" t="n">
        <x:f>O193/'浓度水平'!E31</x:f>
        <x:v>3894.0325497287527</x:v>
      </x:c>
      <x:c r="T193" s="6" t="n">
        <x:f>P193/'浓度水平'!E14</x:f>
        <x:v>2.171056511056511</x:v>
      </x:c>
      <x:c r="U193" s="6" t="n">
        <x:f>Q193/'浓度水平'!E33</x:f>
        <x:v>69.39297124600638</x:v>
      </x:c>
      <x:c r="V193" s="6" t="n">
        <x:f>R193/'浓度水平'!E41</x:f>
        <x:v>2</x:v>
      </x:c>
      <x:c r="W193" s="6" t="n">
        <x:f>O193*'固定基底'!$B$4/1000</x:f>
        <x:v>4306.8</x:v>
      </x:c>
      <x:c r="X193" s="6" t="n">
        <x:f>P193*'固定基底'!$B$4/1000</x:f>
        <x:v>17.672400000000003</x:v>
      </x:c>
      <x:c r="Y193" s="6" t="n">
        <x:f>Q193*'固定基底'!$B$4/1000</x:f>
        <x:v>130.32</x:v>
      </x:c>
      <x:c r="Z193" s="6" t="n">
        <x:f>R193*'固定基底'!$B$4/1000</x:f>
        <x:v>5</x:v>
      </x:c>
      <x:c r="AA193" s="2" t="n">
        <x:f>'固定基底'!$C$7</x:f>
        <x:v>92796.92267241378</x:v>
      </x:c>
      <x:c r="AB193" s="2" t="n">
        <x:f>'固定基底'!$C$8</x:f>
        <x:v>104175.5097553192</x:v>
      </x:c>
      <x:c r="AC193" s="2" t="n">
        <x:f>'固定基底'!$E$7</x:f>
        <x:v>1855.9384534482756</x:v>
      </x:c>
      <x:c r="AD193" s="2" t="n">
        <x:f>'固定基底'!$E$8</x:f>
        <x:v>2083.510195106384</x:v>
      </x:c>
    </x:row>
    <x:row r="194" ht="25" customHeight="1">
      <x:c r="A194" s="5" t="str">
        <x:v>G07-24</x:v>
      </x:c>
      <x:c r="B194" s="5" t="str">
        <x:v>G07</x:v>
      </x:c>
      <x:c r="C194" s="5" t="str">
        <x:v>BBD</x:v>
      </x:c>
      <x:c r="D194" s="5" t="str">
        <x:v>拟合</x:v>
      </x:c>
      <x:c r="E194" s="5" t="str">
        <x:v>边点</x:v>
      </x:c>
      <x:c r="F194" s="5" t="str"/>
      <x:c r="G194" s="5" t="str">
        <x:v>己酸乙酯</x:v>
      </x:c>
      <x:c r="H194" s="5" t="str">
        <x:v>苯乙酸乙酯</x:v>
      </x:c>
      <x:c r="I194" s="5" t="str">
        <x:v>乙酸异戊酯</x:v>
      </x:c>
      <x:c r="J194" s="5" t="str">
        <x:v>3-苯基丙酸乙酯</x:v>
      </x:c>
      <x:c r="K194" s="5" t="str">
        <x:v>M</x:v>
      </x:c>
      <x:c r="L194" s="5" t="str">
        <x:v>M</x:v>
      </x:c>
      <x:c r="M194" s="5" t="str">
        <x:v>H</x:v>
      </x:c>
      <x:c r="N194" s="5" t="str">
        <x:v>H</x:v>
      </x:c>
      <x:c r="O194" s="6" t="n">
        <x:f>'浓度水平'!G31</x:f>
        <x:v>215340</x:v>
      </x:c>
      <x:c r="P194" s="6" t="n">
        <x:f>'浓度水平'!G14</x:f>
        <x:v>883.62</x:v>
      </x:c>
      <x:c r="Q194" s="6" t="n">
        <x:f>'浓度水平'!H33</x:f>
        <x:v>6516</x:v>
      </x:c>
      <x:c r="R194" s="6" t="n">
        <x:f>'浓度水平'!H41</x:f>
        <x:v>11648000</x:v>
      </x:c>
      <x:c r="S194" s="6" t="n">
        <x:f>O194/'浓度水平'!E31</x:f>
        <x:v>3894.0325497287527</x:v>
      </x:c>
      <x:c r="T194" s="6" t="n">
        <x:f>P194/'浓度水平'!E14</x:f>
        <x:v>2.171056511056511</x:v>
      </x:c>
      <x:c r="U194" s="6" t="n">
        <x:f>Q194/'浓度水平'!E33</x:f>
        <x:v>69.39297124600638</x:v>
      </x:c>
      <x:c r="V194" s="6" t="n">
        <x:f>R194/'浓度水平'!E41</x:f>
        <x:v>93184</x:v>
      </x:c>
      <x:c r="W194" s="6" t="n">
        <x:f>O194*'固定基底'!$B$4/1000</x:f>
        <x:v>4306.8</x:v>
      </x:c>
      <x:c r="X194" s="6" t="n">
        <x:f>P194*'固定基底'!$B$4/1000</x:f>
        <x:v>17.672400000000003</x:v>
      </x:c>
      <x:c r="Y194" s="6" t="n">
        <x:f>Q194*'固定基底'!$B$4/1000</x:f>
        <x:v>130.32</x:v>
      </x:c>
      <x:c r="Z194" s="6" t="n">
        <x:f>R194*'固定基底'!$B$4/1000</x:f>
        <x:v>232960</x:v>
      </x:c>
      <x:c r="AA194" s="2" t="n">
        <x:f>'固定基底'!$C$7</x:f>
        <x:v>92796.92267241378</x:v>
      </x:c>
      <x:c r="AB194" s="2" t="n">
        <x:f>'固定基底'!$C$8</x:f>
        <x:v>104175.5097553192</x:v>
      </x:c>
      <x:c r="AC194" s="2" t="n">
        <x:f>'固定基底'!$E$7</x:f>
        <x:v>1855.9384534482756</x:v>
      </x:c>
      <x:c r="AD194" s="2" t="n">
        <x:f>'固定基底'!$E$8</x:f>
        <x:v>2083.510195106384</x:v>
      </x:c>
    </x:row>
    <x:row r="195" ht="25" customHeight="1">
      <x:c r="A195" s="5" t="str">
        <x:v>G07-25</x:v>
      </x:c>
      <x:c r="B195" s="5" t="str">
        <x:v>G07</x:v>
      </x:c>
      <x:c r="C195" s="5" t="str">
        <x:v>BBD</x:v>
      </x:c>
      <x:c r="D195" s="5" t="str">
        <x:v>拟合</x:v>
      </x:c>
      <x:c r="E195" s="5" t="str">
        <x:v>中心点独立配制</x:v>
      </x:c>
      <x:c r="F195" s="5" t="str"/>
      <x:c r="G195" s="5" t="str">
        <x:v>己酸乙酯</x:v>
      </x:c>
      <x:c r="H195" s="5" t="str">
        <x:v>苯乙酸乙酯</x:v>
      </x:c>
      <x:c r="I195" s="5" t="str">
        <x:v>乙酸异戊酯</x:v>
      </x:c>
      <x:c r="J195" s="5" t="str">
        <x:v>3-苯基丙酸乙酯</x:v>
      </x:c>
      <x:c r="K195" s="5" t="str">
        <x:v>M</x:v>
      </x:c>
      <x:c r="L195" s="5" t="str">
        <x:v>M</x:v>
      </x:c>
      <x:c r="M195" s="5" t="str">
        <x:v>M</x:v>
      </x:c>
      <x:c r="N195" s="5" t="str">
        <x:v>M</x:v>
      </x:c>
      <x:c r="O195" s="6" t="n">
        <x:f>'浓度水平'!G31</x:f>
        <x:v>215340</x:v>
      </x:c>
      <x:c r="P195" s="6" t="n">
        <x:f>'浓度水平'!G14</x:f>
        <x:v>883.62</x:v>
      </x:c>
      <x:c r="Q195" s="6" t="n">
        <x:f>'浓度水平'!G33</x:f>
        <x:v>443.16499999999996</x:v>
      </x:c>
      <x:c r="R195" s="6" t="n">
        <x:f>'浓度水平'!G41</x:f>
        <x:v>635</x:v>
      </x:c>
      <x:c r="S195" s="6" t="n">
        <x:f>O195/'浓度水平'!E31</x:f>
        <x:v>3894.0325497287527</x:v>
      </x:c>
      <x:c r="T195" s="6" t="n">
        <x:f>P195/'浓度水平'!E14</x:f>
        <x:v>2.171056511056511</x:v>
      </x:c>
      <x:c r="U195" s="6" t="n">
        <x:f>Q195/'浓度水平'!E33</x:f>
        <x:v>4.719542066027689</x:v>
      </x:c>
      <x:c r="V195" s="6" t="n">
        <x:f>R195/'浓度水平'!E41</x:f>
        <x:v>5.08</x:v>
      </x:c>
      <x:c r="W195" s="6" t="n">
        <x:f>O195*'固定基底'!$B$4/1000</x:f>
        <x:v>4306.8</x:v>
      </x:c>
      <x:c r="X195" s="6" t="n">
        <x:f>P195*'固定基底'!$B$4/1000</x:f>
        <x:v>17.672400000000003</x:v>
      </x:c>
      <x:c r="Y195" s="6" t="n">
        <x:f>Q195*'固定基底'!$B$4/1000</x:f>
        <x:v>8.863299999999999</x:v>
      </x:c>
      <x:c r="Z195" s="6" t="n">
        <x:f>R195*'固定基底'!$B$4/1000</x:f>
        <x:v>12.7</x:v>
      </x:c>
      <x:c r="AA195" s="2" t="n">
        <x:f>'固定基底'!$C$7</x:f>
        <x:v>92796.92267241378</x:v>
      </x:c>
      <x:c r="AB195" s="2" t="n">
        <x:f>'固定基底'!$C$8</x:f>
        <x:v>104175.5097553192</x:v>
      </x:c>
      <x:c r="AC195" s="2" t="n">
        <x:f>'固定基底'!$E$7</x:f>
        <x:v>1855.9384534482756</x:v>
      </x:c>
      <x:c r="AD195" s="2" t="n">
        <x:f>'固定基底'!$E$8</x:f>
        <x:v>2083.510195106384</x:v>
      </x:c>
    </x:row>
    <x:row r="196" ht="25" customHeight="1">
      <x:c r="A196" s="5" t="str">
        <x:v>G07-26</x:v>
      </x:c>
      <x:c r="B196" s="5" t="str">
        <x:v>G07</x:v>
      </x:c>
      <x:c r="C196" s="5" t="str">
        <x:v>BBD</x:v>
      </x:c>
      <x:c r="D196" s="5" t="str">
        <x:v>拟合</x:v>
      </x:c>
      <x:c r="E196" s="5" t="str">
        <x:v>中心点独立配制</x:v>
      </x:c>
      <x:c r="F196" s="5" t="str">
        <x:v>G07-25</x:v>
      </x:c>
      <x:c r="G196" s="5" t="str">
        <x:v>己酸乙酯</x:v>
      </x:c>
      <x:c r="H196" s="5" t="str">
        <x:v>苯乙酸乙酯</x:v>
      </x:c>
      <x:c r="I196" s="5" t="str">
        <x:v>乙酸异戊酯</x:v>
      </x:c>
      <x:c r="J196" s="5" t="str">
        <x:v>3-苯基丙酸乙酯</x:v>
      </x:c>
      <x:c r="K196" s="5" t="str">
        <x:v>M</x:v>
      </x:c>
      <x:c r="L196" s="5" t="str">
        <x:v>M</x:v>
      </x:c>
      <x:c r="M196" s="5" t="str">
        <x:v>M</x:v>
      </x:c>
      <x:c r="N196" s="5" t="str">
        <x:v>M</x:v>
      </x:c>
      <x:c r="O196" s="6" t="n">
        <x:f>'浓度水平'!G31</x:f>
        <x:v>215340</x:v>
      </x:c>
      <x:c r="P196" s="6" t="n">
        <x:f>'浓度水平'!G14</x:f>
        <x:v>883.62</x:v>
      </x:c>
      <x:c r="Q196" s="6" t="n">
        <x:f>'浓度水平'!G33</x:f>
        <x:v>443.16499999999996</x:v>
      </x:c>
      <x:c r="R196" s="6" t="n">
        <x:f>'浓度水平'!G41</x:f>
        <x:v>635</x:v>
      </x:c>
      <x:c r="S196" s="6" t="n">
        <x:f>O196/'浓度水平'!E31</x:f>
        <x:v>3894.0325497287527</x:v>
      </x:c>
      <x:c r="T196" s="6" t="n">
        <x:f>P196/'浓度水平'!E14</x:f>
        <x:v>2.171056511056511</x:v>
      </x:c>
      <x:c r="U196" s="6" t="n">
        <x:f>Q196/'浓度水平'!E33</x:f>
        <x:v>4.719542066027689</x:v>
      </x:c>
      <x:c r="V196" s="6" t="n">
        <x:f>R196/'浓度水平'!E41</x:f>
        <x:v>5.08</x:v>
      </x:c>
      <x:c r="W196" s="6" t="n">
        <x:f>O196*'固定基底'!$B$4/1000</x:f>
        <x:v>4306.8</x:v>
      </x:c>
      <x:c r="X196" s="6" t="n">
        <x:f>P196*'固定基底'!$B$4/1000</x:f>
        <x:v>17.672400000000003</x:v>
      </x:c>
      <x:c r="Y196" s="6" t="n">
        <x:f>Q196*'固定基底'!$B$4/1000</x:f>
        <x:v>8.863299999999999</x:v>
      </x:c>
      <x:c r="Z196" s="6" t="n">
        <x:f>R196*'固定基底'!$B$4/1000</x:f>
        <x:v>12.7</x:v>
      </x:c>
      <x:c r="AA196" s="2" t="n">
        <x:f>'固定基底'!$C$7</x:f>
        <x:v>92796.92267241378</x:v>
      </x:c>
      <x:c r="AB196" s="2" t="n">
        <x:f>'固定基底'!$C$8</x:f>
        <x:v>104175.5097553192</x:v>
      </x:c>
      <x:c r="AC196" s="2" t="n">
        <x:f>'固定基底'!$E$7</x:f>
        <x:v>1855.9384534482756</x:v>
      </x:c>
      <x:c r="AD196" s="2" t="n">
        <x:f>'固定基底'!$E$8</x:f>
        <x:v>2083.510195106384</x:v>
      </x:c>
    </x:row>
    <x:row r="197" ht="25" customHeight="1">
      <x:c r="A197" s="5" t="str">
        <x:v>G07-27</x:v>
      </x:c>
      <x:c r="B197" s="5" t="str">
        <x:v>G07</x:v>
      </x:c>
      <x:c r="C197" s="5" t="str">
        <x:v>BBD</x:v>
      </x:c>
      <x:c r="D197" s="5" t="str">
        <x:v>拟合</x:v>
      </x:c>
      <x:c r="E197" s="5" t="str">
        <x:v>中心点独立配制</x:v>
      </x:c>
      <x:c r="F197" s="5" t="str">
        <x:v>G07-25</x:v>
      </x:c>
      <x:c r="G197" s="5" t="str">
        <x:v>己酸乙酯</x:v>
      </x:c>
      <x:c r="H197" s="5" t="str">
        <x:v>苯乙酸乙酯</x:v>
      </x:c>
      <x:c r="I197" s="5" t="str">
        <x:v>乙酸异戊酯</x:v>
      </x:c>
      <x:c r="J197" s="5" t="str">
        <x:v>3-苯基丙酸乙酯</x:v>
      </x:c>
      <x:c r="K197" s="5" t="str">
        <x:v>M</x:v>
      </x:c>
      <x:c r="L197" s="5" t="str">
        <x:v>M</x:v>
      </x:c>
      <x:c r="M197" s="5" t="str">
        <x:v>M</x:v>
      </x:c>
      <x:c r="N197" s="5" t="str">
        <x:v>M</x:v>
      </x:c>
      <x:c r="O197" s="6" t="n">
        <x:f>'浓度水平'!G31</x:f>
        <x:v>215340</x:v>
      </x:c>
      <x:c r="P197" s="6" t="n">
        <x:f>'浓度水平'!G14</x:f>
        <x:v>883.62</x:v>
      </x:c>
      <x:c r="Q197" s="6" t="n">
        <x:f>'浓度水平'!G33</x:f>
        <x:v>443.16499999999996</x:v>
      </x:c>
      <x:c r="R197" s="6" t="n">
        <x:f>'浓度水平'!G41</x:f>
        <x:v>635</x:v>
      </x:c>
      <x:c r="S197" s="6" t="n">
        <x:f>O197/'浓度水平'!E31</x:f>
        <x:v>3894.0325497287527</x:v>
      </x:c>
      <x:c r="T197" s="6" t="n">
        <x:f>P197/'浓度水平'!E14</x:f>
        <x:v>2.171056511056511</x:v>
      </x:c>
      <x:c r="U197" s="6" t="n">
        <x:f>Q197/'浓度水平'!E33</x:f>
        <x:v>4.719542066027689</x:v>
      </x:c>
      <x:c r="V197" s="6" t="n">
        <x:f>R197/'浓度水平'!E41</x:f>
        <x:v>5.08</x:v>
      </x:c>
      <x:c r="W197" s="6" t="n">
        <x:f>O197*'固定基底'!$B$4/1000</x:f>
        <x:v>4306.8</x:v>
      </x:c>
      <x:c r="X197" s="6" t="n">
        <x:f>P197*'固定基底'!$B$4/1000</x:f>
        <x:v>17.672400000000003</x:v>
      </x:c>
      <x:c r="Y197" s="6" t="n">
        <x:f>Q197*'固定基底'!$B$4/1000</x:f>
        <x:v>8.863299999999999</x:v>
      </x:c>
      <x:c r="Z197" s="6" t="n">
        <x:f>R197*'固定基底'!$B$4/1000</x:f>
        <x:v>12.7</x:v>
      </x:c>
      <x:c r="AA197" s="2" t="n">
        <x:f>'固定基底'!$C$7</x:f>
        <x:v>92796.92267241378</x:v>
      </x:c>
      <x:c r="AB197" s="2" t="n">
        <x:f>'固定基底'!$C$8</x:f>
        <x:v>104175.5097553192</x:v>
      </x:c>
      <x:c r="AC197" s="2" t="n">
        <x:f>'固定基底'!$E$7</x:f>
        <x:v>1855.9384534482756</x:v>
      </x:c>
      <x:c r="AD197" s="2" t="n">
        <x:f>'固定基底'!$E$8</x:f>
        <x:v>2083.510195106384</x:v>
      </x:c>
    </x:row>
    <x:row r="198" ht="25" customHeight="1">
      <x:c r="A198" s="5" t="str">
        <x:v>G07-V01</x:v>
      </x:c>
      <x:c r="B198" s="5" t="str">
        <x:v>G07</x:v>
      </x:c>
      <x:c r="C198" s="5" t="str">
        <x:v>域内轴向验证</x:v>
      </x:c>
      <x:c r="D198" s="5" t="str">
        <x:v>验证不参与拟合</x:v>
      </x:c>
      <x:c r="E198" s="5" t="str">
        <x:v>独立验证</x:v>
      </x:c>
      <x:c r="F198" s="5" t="str"/>
      <x:c r="G198" s="5" t="str">
        <x:v>己酸乙酯</x:v>
      </x:c>
      <x:c r="H198" s="5" t="str">
        <x:v>苯乙酸乙酯</x:v>
      </x:c>
      <x:c r="I198" s="5" t="str">
        <x:v>乙酸异戊酯</x:v>
      </x:c>
      <x:c r="J198" s="5" t="str">
        <x:v>3-苯基丙酸乙酯</x:v>
      </x:c>
      <x:c r="K198" s="5" t="str">
        <x:v>H</x:v>
      </x:c>
      <x:c r="L198" s="5" t="str">
        <x:v>M</x:v>
      </x:c>
      <x:c r="M198" s="5" t="str">
        <x:v>M</x:v>
      </x:c>
      <x:c r="N198" s="5" t="str">
        <x:v>M</x:v>
      </x:c>
      <x:c r="O198" s="6" t="n">
        <x:f>'浓度水平'!H31</x:f>
        <x:v>9622120</x:v>
      </x:c>
      <x:c r="P198" s="6" t="n">
        <x:f>'浓度水平'!G14</x:f>
        <x:v>883.62</x:v>
      </x:c>
      <x:c r="Q198" s="6" t="n">
        <x:f>'浓度水平'!G33</x:f>
        <x:v>443.16499999999996</x:v>
      </x:c>
      <x:c r="R198" s="6" t="n">
        <x:f>'浓度水平'!G41</x:f>
        <x:v>635</x:v>
      </x:c>
      <x:c r="S198" s="6" t="n">
        <x:f>O198/'浓度水平'!E31</x:f>
        <x:v>173998.5533453888</x:v>
      </x:c>
      <x:c r="T198" s="6" t="n">
        <x:f>P198/'浓度水平'!E14</x:f>
        <x:v>2.171056511056511</x:v>
      </x:c>
      <x:c r="U198" s="6" t="n">
        <x:f>Q198/'浓度水平'!E33</x:f>
        <x:v>4.719542066027689</x:v>
      </x:c>
      <x:c r="V198" s="6" t="n">
        <x:f>R198/'浓度水平'!E41</x:f>
        <x:v>5.08</x:v>
      </x:c>
      <x:c r="W198" s="6" t="n">
        <x:f>O198*'固定基底'!$B$4/1000</x:f>
        <x:v>192442.4</x:v>
      </x:c>
      <x:c r="X198" s="6" t="n">
        <x:f>P198*'固定基底'!$B$4/1000</x:f>
        <x:v>17.672400000000003</x:v>
      </x:c>
      <x:c r="Y198" s="6" t="n">
        <x:f>Q198*'固定基底'!$B$4/1000</x:f>
        <x:v>8.863299999999999</x:v>
      </x:c>
      <x:c r="Z198" s="6" t="n">
        <x:f>R198*'固定基底'!$B$4/1000</x:f>
        <x:v>12.7</x:v>
      </x:c>
      <x:c r="AA198" s="2" t="n">
        <x:f>'固定基底'!$C$7</x:f>
        <x:v>92796.92267241378</x:v>
      </x:c>
      <x:c r="AB198" s="2" t="n">
        <x:f>'固定基底'!$C$8</x:f>
        <x:v>104175.5097553192</x:v>
      </x:c>
      <x:c r="AC198" s="2" t="n">
        <x:f>'固定基底'!$E$7</x:f>
        <x:v>1855.9384534482756</x:v>
      </x:c>
      <x:c r="AD198" s="2" t="n">
        <x:f>'固定基底'!$E$8</x:f>
        <x:v>2083.510195106384</x:v>
      </x:c>
    </x:row>
    <x:row r="199" ht="25" customHeight="1">
      <x:c r="A199" s="5" t="str">
        <x:v>G08-01</x:v>
      </x:c>
      <x:c r="B199" s="5" t="str">
        <x:v>G08</x:v>
      </x:c>
      <x:c r="C199" s="5" t="str">
        <x:v>BBD</x:v>
      </x:c>
      <x:c r="D199" s="5" t="str">
        <x:v>拟合</x:v>
      </x:c>
      <x:c r="E199" s="5" t="str">
        <x:v>边点</x:v>
      </x:c>
      <x:c r="F199" s="5" t="str"/>
      <x:c r="G199" s="5" t="str">
        <x:v>戊酸乙酯</x:v>
      </x:c>
      <x:c r="H199" s="5" t="str">
        <x:v>辛酸</x:v>
      </x:c>
      <x:c r="I199" s="5" t="str">
        <x:v>己酸己酯</x:v>
      </x:c>
      <x:c r="J199" s="5" t="str">
        <x:v>2-甲基丁酸乙酯</x:v>
      </x:c>
      <x:c r="K199" s="5" t="str">
        <x:v>L</x:v>
      </x:c>
      <x:c r="L199" s="5" t="str">
        <x:v>L</x:v>
      </x:c>
      <x:c r="M199" s="5" t="str">
        <x:v>M</x:v>
      </x:c>
      <x:c r="N199" s="5" t="str">
        <x:v>M</x:v>
      </x:c>
      <x:c r="O199" s="6" t="n">
        <x:f>'浓度水平'!F38</x:f>
        <x:v>53.6</x:v>
      </x:c>
      <x:c r="P199" s="6" t="n">
        <x:f>'浓度水平'!F34</x:f>
        <x:v>5400</x:v>
      </x:c>
      <x:c r="Q199" s="6" t="n">
        <x:f>'浓度水平'!G44</x:f>
        <x:v>6441.62</x:v>
      </x:c>
      <x:c r="R199" s="6" t="n">
        <x:f>'浓度水平'!G45</x:f>
        <x:v>464</x:v>
      </x:c>
      <x:c r="S199" s="6" t="n">
        <x:f>O199/'浓度水平'!E38</x:f>
        <x:v>2</x:v>
      </x:c>
      <x:c r="T199" s="6" t="n">
        <x:f>P199/'浓度水平'!E34</x:f>
        <x:v>2</x:v>
      </x:c>
      <x:c r="U199" s="6" t="n">
        <x:f>Q199/'浓度水平'!E44</x:f>
        <x:v>3.4064621893178213</x:v>
      </x:c>
      <x:c r="V199" s="6" t="n">
        <x:f>R199/'浓度水平'!E45</x:f>
        <x:v>25.77777777777778</x:v>
      </x:c>
      <x:c r="W199" s="6" t="n">
        <x:f>O199*'固定基底'!$B$4/1000</x:f>
        <x:v>1.072</x:v>
      </x:c>
      <x:c r="X199" s="6" t="n">
        <x:f>P199*'固定基底'!$B$4/1000</x:f>
        <x:v>108</x:v>
      </x:c>
      <x:c r="Y199" s="6" t="n">
        <x:f>Q199*'固定基底'!$B$4/1000</x:f>
        <x:v>128.8324</x:v>
      </x:c>
      <x:c r="Z199" s="6" t="n">
        <x:f>R199*'固定基底'!$B$4/1000</x:f>
        <x:v>9.28</x:v>
      </x:c>
      <x:c r="AA199" s="2" t="n">
        <x:f>'固定基底'!$C$7</x:f>
        <x:v>92796.92267241378</x:v>
      </x:c>
      <x:c r="AB199" s="2" t="n">
        <x:f>'固定基底'!$C$8</x:f>
        <x:v>104175.5097553192</x:v>
      </x:c>
      <x:c r="AC199" s="2" t="n">
        <x:f>'固定基底'!$E$7</x:f>
        <x:v>1855.9384534482756</x:v>
      </x:c>
      <x:c r="AD199" s="2" t="n">
        <x:f>'固定基底'!$E$8</x:f>
        <x:v>2083.510195106384</x:v>
      </x:c>
    </x:row>
    <x:row r="200" ht="25" customHeight="1">
      <x:c r="A200" s="5" t="str">
        <x:v>G08-02</x:v>
      </x:c>
      <x:c r="B200" s="5" t="str">
        <x:v>G08</x:v>
      </x:c>
      <x:c r="C200" s="5" t="str">
        <x:v>BBD</x:v>
      </x:c>
      <x:c r="D200" s="5" t="str">
        <x:v>拟合</x:v>
      </x:c>
      <x:c r="E200" s="5" t="str">
        <x:v>边点</x:v>
      </x:c>
      <x:c r="F200" s="5" t="str"/>
      <x:c r="G200" s="5" t="str">
        <x:v>戊酸乙酯</x:v>
      </x:c>
      <x:c r="H200" s="5" t="str">
        <x:v>辛酸</x:v>
      </x:c>
      <x:c r="I200" s="5" t="str">
        <x:v>己酸己酯</x:v>
      </x:c>
      <x:c r="J200" s="5" t="str">
        <x:v>2-甲基丁酸乙酯</x:v>
      </x:c>
      <x:c r="K200" s="5" t="str">
        <x:v>L</x:v>
      </x:c>
      <x:c r="L200" s="5" t="str">
        <x:v>H</x:v>
      </x:c>
      <x:c r="M200" s="5" t="str">
        <x:v>M</x:v>
      </x:c>
      <x:c r="N200" s="5" t="str">
        <x:v>M</x:v>
      </x:c>
      <x:c r="O200" s="6" t="n">
        <x:f>'浓度水平'!F38</x:f>
        <x:v>53.6</x:v>
      </x:c>
      <x:c r="P200" s="6" t="n">
        <x:f>'浓度水平'!H34</x:f>
        <x:v>40201.1</x:v>
      </x:c>
      <x:c r="Q200" s="6" t="n">
        <x:f>'浓度水平'!G44</x:f>
        <x:v>6441.62</x:v>
      </x:c>
      <x:c r="R200" s="6" t="n">
        <x:f>'浓度水平'!G45</x:f>
        <x:v>464</x:v>
      </x:c>
      <x:c r="S200" s="6" t="n">
        <x:f>O200/'浓度水平'!E38</x:f>
        <x:v>2</x:v>
      </x:c>
      <x:c r="T200" s="6" t="n">
        <x:f>P200/'浓度水平'!E34</x:f>
        <x:v>14.889296296296296</x:v>
      </x:c>
      <x:c r="U200" s="6" t="n">
        <x:f>Q200/'浓度水平'!E44</x:f>
        <x:v>3.4064621893178213</x:v>
      </x:c>
      <x:c r="V200" s="6" t="n">
        <x:f>R200/'浓度水平'!E45</x:f>
        <x:v>25.77777777777778</x:v>
      </x:c>
      <x:c r="W200" s="6" t="n">
        <x:f>O200*'固定基底'!$B$4/1000</x:f>
        <x:v>1.072</x:v>
      </x:c>
      <x:c r="X200" s="6" t="n">
        <x:f>P200*'固定基底'!$B$4/1000</x:f>
        <x:v>804.022</x:v>
      </x:c>
      <x:c r="Y200" s="6" t="n">
        <x:f>Q200*'固定基底'!$B$4/1000</x:f>
        <x:v>128.8324</x:v>
      </x:c>
      <x:c r="Z200" s="6" t="n">
        <x:f>R200*'固定基底'!$B$4/1000</x:f>
        <x:v>9.28</x:v>
      </x:c>
      <x:c r="AA200" s="2" t="n">
        <x:f>'固定基底'!$C$7</x:f>
        <x:v>92796.92267241378</x:v>
      </x:c>
      <x:c r="AB200" s="2" t="n">
        <x:f>'固定基底'!$C$8</x:f>
        <x:v>104175.5097553192</x:v>
      </x:c>
      <x:c r="AC200" s="2" t="n">
        <x:f>'固定基底'!$E$7</x:f>
        <x:v>1855.9384534482756</x:v>
      </x:c>
      <x:c r="AD200" s="2" t="n">
        <x:f>'固定基底'!$E$8</x:f>
        <x:v>2083.510195106384</x:v>
      </x:c>
    </x:row>
    <x:row r="201" ht="25" customHeight="1">
      <x:c r="A201" s="5" t="str">
        <x:v>G08-03</x:v>
      </x:c>
      <x:c r="B201" s="5" t="str">
        <x:v>G08</x:v>
      </x:c>
      <x:c r="C201" s="5" t="str">
        <x:v>BBD</x:v>
      </x:c>
      <x:c r="D201" s="5" t="str">
        <x:v>拟合</x:v>
      </x:c>
      <x:c r="E201" s="5" t="str">
        <x:v>边点</x:v>
      </x:c>
      <x:c r="F201" s="5" t="str"/>
      <x:c r="G201" s="5" t="str">
        <x:v>戊酸乙酯</x:v>
      </x:c>
      <x:c r="H201" s="5" t="str">
        <x:v>辛酸</x:v>
      </x:c>
      <x:c r="I201" s="5" t="str">
        <x:v>己酸己酯</x:v>
      </x:c>
      <x:c r="J201" s="5" t="str">
        <x:v>2-甲基丁酸乙酯</x:v>
      </x:c>
      <x:c r="K201" s="5" t="str">
        <x:v>H</x:v>
      </x:c>
      <x:c r="L201" s="5" t="str">
        <x:v>L</x:v>
      </x:c>
      <x:c r="M201" s="5" t="str">
        <x:v>M</x:v>
      </x:c>
      <x:c r="N201" s="5" t="str">
        <x:v>M</x:v>
      </x:c>
      <x:c r="O201" s="6" t="n">
        <x:f>'浓度水平'!H38</x:f>
        <x:v>1039840</x:v>
      </x:c>
      <x:c r="P201" s="6" t="n">
        <x:f>'浓度水平'!F34</x:f>
        <x:v>5400</x:v>
      </x:c>
      <x:c r="Q201" s="6" t="n">
        <x:f>'浓度水平'!G44</x:f>
        <x:v>6441.62</x:v>
      </x:c>
      <x:c r="R201" s="6" t="n">
        <x:f>'浓度水平'!G45</x:f>
        <x:v>464</x:v>
      </x:c>
      <x:c r="S201" s="6" t="n">
        <x:f>O201/'浓度水平'!E38</x:f>
        <x:v>38800</x:v>
      </x:c>
      <x:c r="T201" s="6" t="n">
        <x:f>P201/'浓度水平'!E34</x:f>
        <x:v>2</x:v>
      </x:c>
      <x:c r="U201" s="6" t="n">
        <x:f>Q201/'浓度水平'!E44</x:f>
        <x:v>3.4064621893178213</x:v>
      </x:c>
      <x:c r="V201" s="6" t="n">
        <x:f>R201/'浓度水平'!E45</x:f>
        <x:v>25.77777777777778</x:v>
      </x:c>
      <x:c r="W201" s="6" t="n">
        <x:f>O201*'固定基底'!$B$4/1000</x:f>
        <x:v>20796.8</x:v>
      </x:c>
      <x:c r="X201" s="6" t="n">
        <x:f>P201*'固定基底'!$B$4/1000</x:f>
        <x:v>108</x:v>
      </x:c>
      <x:c r="Y201" s="6" t="n">
        <x:f>Q201*'固定基底'!$B$4/1000</x:f>
        <x:v>128.8324</x:v>
      </x:c>
      <x:c r="Z201" s="6" t="n">
        <x:f>R201*'固定基底'!$B$4/1000</x:f>
        <x:v>9.28</x:v>
      </x:c>
      <x:c r="AA201" s="2" t="n">
        <x:f>'固定基底'!$C$7</x:f>
        <x:v>92796.92267241378</x:v>
      </x:c>
      <x:c r="AB201" s="2" t="n">
        <x:f>'固定基底'!$C$8</x:f>
        <x:v>104175.5097553192</x:v>
      </x:c>
      <x:c r="AC201" s="2" t="n">
        <x:f>'固定基底'!$E$7</x:f>
        <x:v>1855.9384534482756</x:v>
      </x:c>
      <x:c r="AD201" s="2" t="n">
        <x:f>'固定基底'!$E$8</x:f>
        <x:v>2083.510195106384</x:v>
      </x:c>
    </x:row>
    <x:row r="202" ht="25" customHeight="1">
      <x:c r="A202" s="5" t="str">
        <x:v>G08-04</x:v>
      </x:c>
      <x:c r="B202" s="5" t="str">
        <x:v>G08</x:v>
      </x:c>
      <x:c r="C202" s="5" t="str">
        <x:v>BBD</x:v>
      </x:c>
      <x:c r="D202" s="5" t="str">
        <x:v>拟合</x:v>
      </x:c>
      <x:c r="E202" s="5" t="str">
        <x:v>边点</x:v>
      </x:c>
      <x:c r="F202" s="5" t="str"/>
      <x:c r="G202" s="5" t="str">
        <x:v>戊酸乙酯</x:v>
      </x:c>
      <x:c r="H202" s="5" t="str">
        <x:v>辛酸</x:v>
      </x:c>
      <x:c r="I202" s="5" t="str">
        <x:v>己酸己酯</x:v>
      </x:c>
      <x:c r="J202" s="5" t="str">
        <x:v>2-甲基丁酸乙酯</x:v>
      </x:c>
      <x:c r="K202" s="5" t="str">
        <x:v>H</x:v>
      </x:c>
      <x:c r="L202" s="5" t="str">
        <x:v>H</x:v>
      </x:c>
      <x:c r="M202" s="5" t="str">
        <x:v>M</x:v>
      </x:c>
      <x:c r="N202" s="5" t="str">
        <x:v>M</x:v>
      </x:c>
      <x:c r="O202" s="6" t="n">
        <x:f>'浓度水平'!H38</x:f>
        <x:v>1039840</x:v>
      </x:c>
      <x:c r="P202" s="6" t="n">
        <x:f>'浓度水平'!H34</x:f>
        <x:v>40201.1</x:v>
      </x:c>
      <x:c r="Q202" s="6" t="n">
        <x:f>'浓度水平'!G44</x:f>
        <x:v>6441.62</x:v>
      </x:c>
      <x:c r="R202" s="6" t="n">
        <x:f>'浓度水平'!G45</x:f>
        <x:v>464</x:v>
      </x:c>
      <x:c r="S202" s="6" t="n">
        <x:f>O202/'浓度水平'!E38</x:f>
        <x:v>38800</x:v>
      </x:c>
      <x:c r="T202" s="6" t="n">
        <x:f>P202/'浓度水平'!E34</x:f>
        <x:v>14.889296296296296</x:v>
      </x:c>
      <x:c r="U202" s="6" t="n">
        <x:f>Q202/'浓度水平'!E44</x:f>
        <x:v>3.4064621893178213</x:v>
      </x:c>
      <x:c r="V202" s="6" t="n">
        <x:f>R202/'浓度水平'!E45</x:f>
        <x:v>25.77777777777778</x:v>
      </x:c>
      <x:c r="W202" s="6" t="n">
        <x:f>O202*'固定基底'!$B$4/1000</x:f>
        <x:v>20796.8</x:v>
      </x:c>
      <x:c r="X202" s="6" t="n">
        <x:f>P202*'固定基底'!$B$4/1000</x:f>
        <x:v>804.022</x:v>
      </x:c>
      <x:c r="Y202" s="6" t="n">
        <x:f>Q202*'固定基底'!$B$4/1000</x:f>
        <x:v>128.8324</x:v>
      </x:c>
      <x:c r="Z202" s="6" t="n">
        <x:f>R202*'固定基底'!$B$4/1000</x:f>
        <x:v>9.28</x:v>
      </x:c>
      <x:c r="AA202" s="2" t="n">
        <x:f>'固定基底'!$C$7</x:f>
        <x:v>92796.92267241378</x:v>
      </x:c>
      <x:c r="AB202" s="2" t="n">
        <x:f>'固定基底'!$C$8</x:f>
        <x:v>104175.5097553192</x:v>
      </x:c>
      <x:c r="AC202" s="2" t="n">
        <x:f>'固定基底'!$E$7</x:f>
        <x:v>1855.9384534482756</x:v>
      </x:c>
      <x:c r="AD202" s="2" t="n">
        <x:f>'固定基底'!$E$8</x:f>
        <x:v>2083.510195106384</x:v>
      </x:c>
    </x:row>
    <x:row r="203" ht="25" customHeight="1">
      <x:c r="A203" s="5" t="str">
        <x:v>G08-05</x:v>
      </x:c>
      <x:c r="B203" s="5" t="str">
        <x:v>G08</x:v>
      </x:c>
      <x:c r="C203" s="5" t="str">
        <x:v>BBD</x:v>
      </x:c>
      <x:c r="D203" s="5" t="str">
        <x:v>拟合</x:v>
      </x:c>
      <x:c r="E203" s="5" t="str">
        <x:v>边点</x:v>
      </x:c>
      <x:c r="F203" s="5" t="str"/>
      <x:c r="G203" s="5" t="str">
        <x:v>戊酸乙酯</x:v>
      </x:c>
      <x:c r="H203" s="5" t="str">
        <x:v>辛酸</x:v>
      </x:c>
      <x:c r="I203" s="5" t="str">
        <x:v>己酸己酯</x:v>
      </x:c>
      <x:c r="J203" s="5" t="str">
        <x:v>2-甲基丁酸乙酯</x:v>
      </x:c>
      <x:c r="K203" s="5" t="str">
        <x:v>L</x:v>
      </x:c>
      <x:c r="L203" s="5" t="str">
        <x:v>M</x:v>
      </x:c>
      <x:c r="M203" s="5" t="str">
        <x:v>L</x:v>
      </x:c>
      <x:c r="N203" s="5" t="str">
        <x:v>M</x:v>
      </x:c>
      <x:c r="O203" s="6" t="n">
        <x:f>'浓度水平'!F38</x:f>
        <x:v>53.6</x:v>
      </x:c>
      <x:c r="P203" s="6" t="n">
        <x:f>'浓度水平'!G34</x:f>
        <x:v>7200</x:v>
      </x:c>
      <x:c r="Q203" s="6" t="n">
        <x:f>'浓度水平'!F44</x:f>
        <x:v>3782</x:v>
      </x:c>
      <x:c r="R203" s="6" t="n">
        <x:f>'浓度水平'!G45</x:f>
        <x:v>464</x:v>
      </x:c>
      <x:c r="S203" s="6" t="n">
        <x:f>O203/'浓度水平'!E38</x:f>
        <x:v>2</x:v>
      </x:c>
      <x:c r="T203" s="6" t="n">
        <x:f>P203/'浓度水平'!E34</x:f>
        <x:v>2.6666666666666665</x:v>
      </x:c>
      <x:c r="U203" s="6" t="n">
        <x:f>Q203/'浓度水平'!E44</x:f>
        <x:v>2</x:v>
      </x:c>
      <x:c r="V203" s="6" t="n">
        <x:f>R203/'浓度水平'!E45</x:f>
        <x:v>25.77777777777778</x:v>
      </x:c>
      <x:c r="W203" s="6" t="n">
        <x:f>O203*'固定基底'!$B$4/1000</x:f>
        <x:v>1.072</x:v>
      </x:c>
      <x:c r="X203" s="6" t="n">
        <x:f>P203*'固定基底'!$B$4/1000</x:f>
        <x:v>144</x:v>
      </x:c>
      <x:c r="Y203" s="6" t="n">
        <x:f>Q203*'固定基底'!$B$4/1000</x:f>
        <x:v>75.64</x:v>
      </x:c>
      <x:c r="Z203" s="6" t="n">
        <x:f>R203*'固定基底'!$B$4/1000</x:f>
        <x:v>9.28</x:v>
      </x:c>
      <x:c r="AA203" s="2" t="n">
        <x:f>'固定基底'!$C$7</x:f>
        <x:v>92796.92267241378</x:v>
      </x:c>
      <x:c r="AB203" s="2" t="n">
        <x:f>'固定基底'!$C$8</x:f>
        <x:v>104175.5097553192</x:v>
      </x:c>
      <x:c r="AC203" s="2" t="n">
        <x:f>'固定基底'!$E$7</x:f>
        <x:v>1855.9384534482756</x:v>
      </x:c>
      <x:c r="AD203" s="2" t="n">
        <x:f>'固定基底'!$E$8</x:f>
        <x:v>2083.510195106384</x:v>
      </x:c>
    </x:row>
    <x:row r="204" ht="25" customHeight="1">
      <x:c r="A204" s="5" t="str">
        <x:v>G08-06</x:v>
      </x:c>
      <x:c r="B204" s="5" t="str">
        <x:v>G08</x:v>
      </x:c>
      <x:c r="C204" s="5" t="str">
        <x:v>BBD</x:v>
      </x:c>
      <x:c r="D204" s="5" t="str">
        <x:v>拟合</x:v>
      </x:c>
      <x:c r="E204" s="5" t="str">
        <x:v>边点</x:v>
      </x:c>
      <x:c r="F204" s="5" t="str"/>
      <x:c r="G204" s="5" t="str">
        <x:v>戊酸乙酯</x:v>
      </x:c>
      <x:c r="H204" s="5" t="str">
        <x:v>辛酸</x:v>
      </x:c>
      <x:c r="I204" s="5" t="str">
        <x:v>己酸己酯</x:v>
      </x:c>
      <x:c r="J204" s="5" t="str">
        <x:v>2-甲基丁酸乙酯</x:v>
      </x:c>
      <x:c r="K204" s="5" t="str">
        <x:v>L</x:v>
      </x:c>
      <x:c r="L204" s="5" t="str">
        <x:v>M</x:v>
      </x:c>
      <x:c r="M204" s="5" t="str">
        <x:v>H</x:v>
      </x:c>
      <x:c r="N204" s="5" t="str">
        <x:v>M</x:v>
      </x:c>
      <x:c r="O204" s="6" t="n">
        <x:f>'浓度水平'!F38</x:f>
        <x:v>53.6</x:v>
      </x:c>
      <x:c r="P204" s="6" t="n">
        <x:f>'浓度水平'!G34</x:f>
        <x:v>7200</x:v>
      </x:c>
      <x:c r="Q204" s="6" t="n">
        <x:f>'浓度水平'!H44</x:f>
        <x:v>193759</x:v>
      </x:c>
      <x:c r="R204" s="6" t="n">
        <x:f>'浓度水平'!G45</x:f>
        <x:v>464</x:v>
      </x:c>
      <x:c r="S204" s="6" t="n">
        <x:f>O204/'浓度水平'!E38</x:f>
        <x:v>2</x:v>
      </x:c>
      <x:c r="T204" s="6" t="n">
        <x:f>P204/'浓度水平'!E34</x:f>
        <x:v>2.6666666666666665</x:v>
      </x:c>
      <x:c r="U204" s="6" t="n">
        <x:f>Q204/'浓度水平'!E44</x:f>
        <x:v>102.46377578001058</x:v>
      </x:c>
      <x:c r="V204" s="6" t="n">
        <x:f>R204/'浓度水平'!E45</x:f>
        <x:v>25.77777777777778</x:v>
      </x:c>
      <x:c r="W204" s="6" t="n">
        <x:f>O204*'固定基底'!$B$4/1000</x:f>
        <x:v>1.072</x:v>
      </x:c>
      <x:c r="X204" s="6" t="n">
        <x:f>P204*'固定基底'!$B$4/1000</x:f>
        <x:v>144</x:v>
      </x:c>
      <x:c r="Y204" s="6" t="n">
        <x:f>Q204*'固定基底'!$B$4/1000</x:f>
        <x:v>3875.18</x:v>
      </x:c>
      <x:c r="Z204" s="6" t="n">
        <x:f>R204*'固定基底'!$B$4/1000</x:f>
        <x:v>9.28</x:v>
      </x:c>
      <x:c r="AA204" s="2" t="n">
        <x:f>'固定基底'!$C$7</x:f>
        <x:v>92796.92267241378</x:v>
      </x:c>
      <x:c r="AB204" s="2" t="n">
        <x:f>'固定基底'!$C$8</x:f>
        <x:v>104175.5097553192</x:v>
      </x:c>
      <x:c r="AC204" s="2" t="n">
        <x:f>'固定基底'!$E$7</x:f>
        <x:v>1855.9384534482756</x:v>
      </x:c>
      <x:c r="AD204" s="2" t="n">
        <x:f>'固定基底'!$E$8</x:f>
        <x:v>2083.510195106384</x:v>
      </x:c>
    </x:row>
    <x:row r="205" ht="25" customHeight="1">
      <x:c r="A205" s="5" t="str">
        <x:v>G08-07</x:v>
      </x:c>
      <x:c r="B205" s="5" t="str">
        <x:v>G08</x:v>
      </x:c>
      <x:c r="C205" s="5" t="str">
        <x:v>BBD</x:v>
      </x:c>
      <x:c r="D205" s="5" t="str">
        <x:v>拟合</x:v>
      </x:c>
      <x:c r="E205" s="5" t="str">
        <x:v>边点</x:v>
      </x:c>
      <x:c r="F205" s="5" t="str"/>
      <x:c r="G205" s="5" t="str">
        <x:v>戊酸乙酯</x:v>
      </x:c>
      <x:c r="H205" s="5" t="str">
        <x:v>辛酸</x:v>
      </x:c>
      <x:c r="I205" s="5" t="str">
        <x:v>己酸己酯</x:v>
      </x:c>
      <x:c r="J205" s="5" t="str">
        <x:v>2-甲基丁酸乙酯</x:v>
      </x:c>
      <x:c r="K205" s="5" t="str">
        <x:v>H</x:v>
      </x:c>
      <x:c r="L205" s="5" t="str">
        <x:v>M</x:v>
      </x:c>
      <x:c r="M205" s="5" t="str">
        <x:v>L</x:v>
      </x:c>
      <x:c r="N205" s="5" t="str">
        <x:v>M</x:v>
      </x:c>
      <x:c r="O205" s="6" t="n">
        <x:f>'浓度水平'!H38</x:f>
        <x:v>1039840</x:v>
      </x:c>
      <x:c r="P205" s="6" t="n">
        <x:f>'浓度水平'!G34</x:f>
        <x:v>7200</x:v>
      </x:c>
      <x:c r="Q205" s="6" t="n">
        <x:f>'浓度水平'!F44</x:f>
        <x:v>3782</x:v>
      </x:c>
      <x:c r="R205" s="6" t="n">
        <x:f>'浓度水平'!G45</x:f>
        <x:v>464</x:v>
      </x:c>
      <x:c r="S205" s="6" t="n">
        <x:f>O205/'浓度水平'!E38</x:f>
        <x:v>38800</x:v>
      </x:c>
      <x:c r="T205" s="6" t="n">
        <x:f>P205/'浓度水平'!E34</x:f>
        <x:v>2.6666666666666665</x:v>
      </x:c>
      <x:c r="U205" s="6" t="n">
        <x:f>Q205/'浓度水平'!E44</x:f>
        <x:v>2</x:v>
      </x:c>
      <x:c r="V205" s="6" t="n">
        <x:f>R205/'浓度水平'!E45</x:f>
        <x:v>25.77777777777778</x:v>
      </x:c>
      <x:c r="W205" s="6" t="n">
        <x:f>O205*'固定基底'!$B$4/1000</x:f>
        <x:v>20796.8</x:v>
      </x:c>
      <x:c r="X205" s="6" t="n">
        <x:f>P205*'固定基底'!$B$4/1000</x:f>
        <x:v>144</x:v>
      </x:c>
      <x:c r="Y205" s="6" t="n">
        <x:f>Q205*'固定基底'!$B$4/1000</x:f>
        <x:v>75.64</x:v>
      </x:c>
      <x:c r="Z205" s="6" t="n">
        <x:f>R205*'固定基底'!$B$4/1000</x:f>
        <x:v>9.28</x:v>
      </x:c>
      <x:c r="AA205" s="2" t="n">
        <x:f>'固定基底'!$C$7</x:f>
        <x:v>92796.92267241378</x:v>
      </x:c>
      <x:c r="AB205" s="2" t="n">
        <x:f>'固定基底'!$C$8</x:f>
        <x:v>104175.5097553192</x:v>
      </x:c>
      <x:c r="AC205" s="2" t="n">
        <x:f>'固定基底'!$E$7</x:f>
        <x:v>1855.9384534482756</x:v>
      </x:c>
      <x:c r="AD205" s="2" t="n">
        <x:f>'固定基底'!$E$8</x:f>
        <x:v>2083.510195106384</x:v>
      </x:c>
    </x:row>
    <x:row r="206" ht="25" customHeight="1">
      <x:c r="A206" s="5" t="str">
        <x:v>G08-08</x:v>
      </x:c>
      <x:c r="B206" s="5" t="str">
        <x:v>G08</x:v>
      </x:c>
      <x:c r="C206" s="5" t="str">
        <x:v>BBD</x:v>
      </x:c>
      <x:c r="D206" s="5" t="str">
        <x:v>拟合</x:v>
      </x:c>
      <x:c r="E206" s="5" t="str">
        <x:v>边点</x:v>
      </x:c>
      <x:c r="F206" s="5" t="str"/>
      <x:c r="G206" s="5" t="str">
        <x:v>戊酸乙酯</x:v>
      </x:c>
      <x:c r="H206" s="5" t="str">
        <x:v>辛酸</x:v>
      </x:c>
      <x:c r="I206" s="5" t="str">
        <x:v>己酸己酯</x:v>
      </x:c>
      <x:c r="J206" s="5" t="str">
        <x:v>2-甲基丁酸乙酯</x:v>
      </x:c>
      <x:c r="K206" s="5" t="str">
        <x:v>H</x:v>
      </x:c>
      <x:c r="L206" s="5" t="str">
        <x:v>M</x:v>
      </x:c>
      <x:c r="M206" s="5" t="str">
        <x:v>H</x:v>
      </x:c>
      <x:c r="N206" s="5" t="str">
        <x:v>M</x:v>
      </x:c>
      <x:c r="O206" s="6" t="n">
        <x:f>'浓度水平'!H38</x:f>
        <x:v>1039840</x:v>
      </x:c>
      <x:c r="P206" s="6" t="n">
        <x:f>'浓度水平'!G34</x:f>
        <x:v>7200</x:v>
      </x:c>
      <x:c r="Q206" s="6" t="n">
        <x:f>'浓度水平'!H44</x:f>
        <x:v>193759</x:v>
      </x:c>
      <x:c r="R206" s="6" t="n">
        <x:f>'浓度水平'!G45</x:f>
        <x:v>464</x:v>
      </x:c>
      <x:c r="S206" s="6" t="n">
        <x:f>O206/'浓度水平'!E38</x:f>
        <x:v>38800</x:v>
      </x:c>
      <x:c r="T206" s="6" t="n">
        <x:f>P206/'浓度水平'!E34</x:f>
        <x:v>2.6666666666666665</x:v>
      </x:c>
      <x:c r="U206" s="6" t="n">
        <x:f>Q206/'浓度水平'!E44</x:f>
        <x:v>102.46377578001058</x:v>
      </x:c>
      <x:c r="V206" s="6" t="n">
        <x:f>R206/'浓度水平'!E45</x:f>
        <x:v>25.77777777777778</x:v>
      </x:c>
      <x:c r="W206" s="6" t="n">
        <x:f>O206*'固定基底'!$B$4/1000</x:f>
        <x:v>20796.8</x:v>
      </x:c>
      <x:c r="X206" s="6" t="n">
        <x:f>P206*'固定基底'!$B$4/1000</x:f>
        <x:v>144</x:v>
      </x:c>
      <x:c r="Y206" s="6" t="n">
        <x:f>Q206*'固定基底'!$B$4/1000</x:f>
        <x:v>3875.18</x:v>
      </x:c>
      <x:c r="Z206" s="6" t="n">
        <x:f>R206*'固定基底'!$B$4/1000</x:f>
        <x:v>9.28</x:v>
      </x:c>
      <x:c r="AA206" s="2" t="n">
        <x:f>'固定基底'!$C$7</x:f>
        <x:v>92796.92267241378</x:v>
      </x:c>
      <x:c r="AB206" s="2" t="n">
        <x:f>'固定基底'!$C$8</x:f>
        <x:v>104175.5097553192</x:v>
      </x:c>
      <x:c r="AC206" s="2" t="n">
        <x:f>'固定基底'!$E$7</x:f>
        <x:v>1855.9384534482756</x:v>
      </x:c>
      <x:c r="AD206" s="2" t="n">
        <x:f>'固定基底'!$E$8</x:f>
        <x:v>2083.510195106384</x:v>
      </x:c>
    </x:row>
    <x:row r="207" ht="25" customHeight="1">
      <x:c r="A207" s="5" t="str">
        <x:v>G08-09</x:v>
      </x:c>
      <x:c r="B207" s="5" t="str">
        <x:v>G08</x:v>
      </x:c>
      <x:c r="C207" s="5" t="str">
        <x:v>BBD</x:v>
      </x:c>
      <x:c r="D207" s="5" t="str">
        <x:v>拟合</x:v>
      </x:c>
      <x:c r="E207" s="5" t="str">
        <x:v>边点</x:v>
      </x:c>
      <x:c r="F207" s="5" t="str"/>
      <x:c r="G207" s="5" t="str">
        <x:v>戊酸乙酯</x:v>
      </x:c>
      <x:c r="H207" s="5" t="str">
        <x:v>辛酸</x:v>
      </x:c>
      <x:c r="I207" s="5" t="str">
        <x:v>己酸己酯</x:v>
      </x:c>
      <x:c r="J207" s="5" t="str">
        <x:v>2-甲基丁酸乙酯</x:v>
      </x:c>
      <x:c r="K207" s="5" t="str">
        <x:v>L</x:v>
      </x:c>
      <x:c r="L207" s="5" t="str">
        <x:v>M</x:v>
      </x:c>
      <x:c r="M207" s="5" t="str">
        <x:v>M</x:v>
      </x:c>
      <x:c r="N207" s="5" t="str">
        <x:v>L</x:v>
      </x:c>
      <x:c r="O207" s="6" t="n">
        <x:f>'浓度水平'!F38</x:f>
        <x:v>53.6</x:v>
      </x:c>
      <x:c r="P207" s="6" t="n">
        <x:f>'浓度水平'!G34</x:f>
        <x:v>7200</x:v>
      </x:c>
      <x:c r="Q207" s="6" t="n">
        <x:f>'浓度水平'!G44</x:f>
        <x:v>6441.62</x:v>
      </x:c>
      <x:c r="R207" s="6" t="n">
        <x:f>'浓度水平'!F45</x:f>
        <x:v>36</x:v>
      </x:c>
      <x:c r="S207" s="6" t="n">
        <x:f>O207/'浓度水平'!E38</x:f>
        <x:v>2</x:v>
      </x:c>
      <x:c r="T207" s="6" t="n">
        <x:f>P207/'浓度水平'!E34</x:f>
        <x:v>2.6666666666666665</x:v>
      </x:c>
      <x:c r="U207" s="6" t="n">
        <x:f>Q207/'浓度水平'!E44</x:f>
        <x:v>3.4064621893178213</x:v>
      </x:c>
      <x:c r="V207" s="6" t="n">
        <x:f>R207/'浓度水平'!E45</x:f>
        <x:v>2</x:v>
      </x:c>
      <x:c r="W207" s="6" t="n">
        <x:f>O207*'固定基底'!$B$4/1000</x:f>
        <x:v>1.072</x:v>
      </x:c>
      <x:c r="X207" s="6" t="n">
        <x:f>P207*'固定基底'!$B$4/1000</x:f>
        <x:v>144</x:v>
      </x:c>
      <x:c r="Y207" s="6" t="n">
        <x:f>Q207*'固定基底'!$B$4/1000</x:f>
        <x:v>128.8324</x:v>
      </x:c>
      <x:c r="Z207" s="6" t="n">
        <x:f>R207*'固定基底'!$B$4/1000</x:f>
        <x:v>0.72</x:v>
      </x:c>
      <x:c r="AA207" s="2" t="n">
        <x:f>'固定基底'!$C$7</x:f>
        <x:v>92796.92267241378</x:v>
      </x:c>
      <x:c r="AB207" s="2" t="n">
        <x:f>'固定基底'!$C$8</x:f>
        <x:v>104175.5097553192</x:v>
      </x:c>
      <x:c r="AC207" s="2" t="n">
        <x:f>'固定基底'!$E$7</x:f>
        <x:v>1855.9384534482756</x:v>
      </x:c>
      <x:c r="AD207" s="2" t="n">
        <x:f>'固定基底'!$E$8</x:f>
        <x:v>2083.510195106384</x:v>
      </x:c>
    </x:row>
    <x:row r="208" ht="25" customHeight="1">
      <x:c r="A208" s="5" t="str">
        <x:v>G08-10</x:v>
      </x:c>
      <x:c r="B208" s="5" t="str">
        <x:v>G08</x:v>
      </x:c>
      <x:c r="C208" s="5" t="str">
        <x:v>BBD</x:v>
      </x:c>
      <x:c r="D208" s="5" t="str">
        <x:v>拟合</x:v>
      </x:c>
      <x:c r="E208" s="5" t="str">
        <x:v>边点</x:v>
      </x:c>
      <x:c r="F208" s="5" t="str"/>
      <x:c r="G208" s="5" t="str">
        <x:v>戊酸乙酯</x:v>
      </x:c>
      <x:c r="H208" s="5" t="str">
        <x:v>辛酸</x:v>
      </x:c>
      <x:c r="I208" s="5" t="str">
        <x:v>己酸己酯</x:v>
      </x:c>
      <x:c r="J208" s="5" t="str">
        <x:v>2-甲基丁酸乙酯</x:v>
      </x:c>
      <x:c r="K208" s="5" t="str">
        <x:v>L</x:v>
      </x:c>
      <x:c r="L208" s="5" t="str">
        <x:v>M</x:v>
      </x:c>
      <x:c r="M208" s="5" t="str">
        <x:v>M</x:v>
      </x:c>
      <x:c r="N208" s="5" t="str">
        <x:v>H</x:v>
      </x:c>
      <x:c r="O208" s="6" t="n">
        <x:f>'浓度水平'!F38</x:f>
        <x:v>53.6</x:v>
      </x:c>
      <x:c r="P208" s="6" t="n">
        <x:f>'浓度水平'!G34</x:f>
        <x:v>7200</x:v>
      </x:c>
      <x:c r="Q208" s="6" t="n">
        <x:f>'浓度水平'!G44</x:f>
        <x:v>6441.62</x:v>
      </x:c>
      <x:c r="R208" s="6" t="n">
        <x:f>'浓度水平'!H45</x:f>
        <x:v>1611</x:v>
      </x:c>
      <x:c r="S208" s="6" t="n">
        <x:f>O208/'浓度水平'!E38</x:f>
        <x:v>2</x:v>
      </x:c>
      <x:c r="T208" s="6" t="n">
        <x:f>P208/'浓度水平'!E34</x:f>
        <x:v>2.6666666666666665</x:v>
      </x:c>
      <x:c r="U208" s="6" t="n">
        <x:f>Q208/'浓度水平'!E44</x:f>
        <x:v>3.4064621893178213</x:v>
      </x:c>
      <x:c r="V208" s="6" t="n">
        <x:f>R208/'浓度水平'!E45</x:f>
        <x:v>89.5</x:v>
      </x:c>
      <x:c r="W208" s="6" t="n">
        <x:f>O208*'固定基底'!$B$4/1000</x:f>
        <x:v>1.072</x:v>
      </x:c>
      <x:c r="X208" s="6" t="n">
        <x:f>P208*'固定基底'!$B$4/1000</x:f>
        <x:v>144</x:v>
      </x:c>
      <x:c r="Y208" s="6" t="n">
        <x:f>Q208*'固定基底'!$B$4/1000</x:f>
        <x:v>128.8324</x:v>
      </x:c>
      <x:c r="Z208" s="6" t="n">
        <x:f>R208*'固定基底'!$B$4/1000</x:f>
        <x:v>32.22</x:v>
      </x:c>
      <x:c r="AA208" s="2" t="n">
        <x:f>'固定基底'!$C$7</x:f>
        <x:v>92796.92267241378</x:v>
      </x:c>
      <x:c r="AB208" s="2" t="n">
        <x:f>'固定基底'!$C$8</x:f>
        <x:v>104175.5097553192</x:v>
      </x:c>
      <x:c r="AC208" s="2" t="n">
        <x:f>'固定基底'!$E$7</x:f>
        <x:v>1855.9384534482756</x:v>
      </x:c>
      <x:c r="AD208" s="2" t="n">
        <x:f>'固定基底'!$E$8</x:f>
        <x:v>2083.510195106384</x:v>
      </x:c>
    </x:row>
    <x:row r="209" ht="25" customHeight="1">
      <x:c r="A209" s="5" t="str">
        <x:v>G08-11</x:v>
      </x:c>
      <x:c r="B209" s="5" t="str">
        <x:v>G08</x:v>
      </x:c>
      <x:c r="C209" s="5" t="str">
        <x:v>BBD</x:v>
      </x:c>
      <x:c r="D209" s="5" t="str">
        <x:v>拟合</x:v>
      </x:c>
      <x:c r="E209" s="5" t="str">
        <x:v>边点</x:v>
      </x:c>
      <x:c r="F209" s="5" t="str"/>
      <x:c r="G209" s="5" t="str">
        <x:v>戊酸乙酯</x:v>
      </x:c>
      <x:c r="H209" s="5" t="str">
        <x:v>辛酸</x:v>
      </x:c>
      <x:c r="I209" s="5" t="str">
        <x:v>己酸己酯</x:v>
      </x:c>
      <x:c r="J209" s="5" t="str">
        <x:v>2-甲基丁酸乙酯</x:v>
      </x:c>
      <x:c r="K209" s="5" t="str">
        <x:v>H</x:v>
      </x:c>
      <x:c r="L209" s="5" t="str">
        <x:v>M</x:v>
      </x:c>
      <x:c r="M209" s="5" t="str">
        <x:v>M</x:v>
      </x:c>
      <x:c r="N209" s="5" t="str">
        <x:v>L</x:v>
      </x:c>
      <x:c r="O209" s="6" t="n">
        <x:f>'浓度水平'!H38</x:f>
        <x:v>1039840</x:v>
      </x:c>
      <x:c r="P209" s="6" t="n">
        <x:f>'浓度水平'!G34</x:f>
        <x:v>7200</x:v>
      </x:c>
      <x:c r="Q209" s="6" t="n">
        <x:f>'浓度水平'!G44</x:f>
        <x:v>6441.62</x:v>
      </x:c>
      <x:c r="R209" s="6" t="n">
        <x:f>'浓度水平'!F45</x:f>
        <x:v>36</x:v>
      </x:c>
      <x:c r="S209" s="6" t="n">
        <x:f>O209/'浓度水平'!E38</x:f>
        <x:v>38800</x:v>
      </x:c>
      <x:c r="T209" s="6" t="n">
        <x:f>P209/'浓度水平'!E34</x:f>
        <x:v>2.6666666666666665</x:v>
      </x:c>
      <x:c r="U209" s="6" t="n">
        <x:f>Q209/'浓度水平'!E44</x:f>
        <x:v>3.4064621893178213</x:v>
      </x:c>
      <x:c r="V209" s="6" t="n">
        <x:f>R209/'浓度水平'!E45</x:f>
        <x:v>2</x:v>
      </x:c>
      <x:c r="W209" s="6" t="n">
        <x:f>O209*'固定基底'!$B$4/1000</x:f>
        <x:v>20796.8</x:v>
      </x:c>
      <x:c r="X209" s="6" t="n">
        <x:f>P209*'固定基底'!$B$4/1000</x:f>
        <x:v>144</x:v>
      </x:c>
      <x:c r="Y209" s="6" t="n">
        <x:f>Q209*'固定基底'!$B$4/1000</x:f>
        <x:v>128.8324</x:v>
      </x:c>
      <x:c r="Z209" s="6" t="n">
        <x:f>R209*'固定基底'!$B$4/1000</x:f>
        <x:v>0.72</x:v>
      </x:c>
      <x:c r="AA209" s="2" t="n">
        <x:f>'固定基底'!$C$7</x:f>
        <x:v>92796.92267241378</x:v>
      </x:c>
      <x:c r="AB209" s="2" t="n">
        <x:f>'固定基底'!$C$8</x:f>
        <x:v>104175.5097553192</x:v>
      </x:c>
      <x:c r="AC209" s="2" t="n">
        <x:f>'固定基底'!$E$7</x:f>
        <x:v>1855.9384534482756</x:v>
      </x:c>
      <x:c r="AD209" s="2" t="n">
        <x:f>'固定基底'!$E$8</x:f>
        <x:v>2083.510195106384</x:v>
      </x:c>
    </x:row>
    <x:row r="210" ht="25" customHeight="1">
      <x:c r="A210" s="5" t="str">
        <x:v>G08-12</x:v>
      </x:c>
      <x:c r="B210" s="5" t="str">
        <x:v>G08</x:v>
      </x:c>
      <x:c r="C210" s="5" t="str">
        <x:v>BBD</x:v>
      </x:c>
      <x:c r="D210" s="5" t="str">
        <x:v>拟合</x:v>
      </x:c>
      <x:c r="E210" s="5" t="str">
        <x:v>边点</x:v>
      </x:c>
      <x:c r="F210" s="5" t="str"/>
      <x:c r="G210" s="5" t="str">
        <x:v>戊酸乙酯</x:v>
      </x:c>
      <x:c r="H210" s="5" t="str">
        <x:v>辛酸</x:v>
      </x:c>
      <x:c r="I210" s="5" t="str">
        <x:v>己酸己酯</x:v>
      </x:c>
      <x:c r="J210" s="5" t="str">
        <x:v>2-甲基丁酸乙酯</x:v>
      </x:c>
      <x:c r="K210" s="5" t="str">
        <x:v>H</x:v>
      </x:c>
      <x:c r="L210" s="5" t="str">
        <x:v>M</x:v>
      </x:c>
      <x:c r="M210" s="5" t="str">
        <x:v>M</x:v>
      </x:c>
      <x:c r="N210" s="5" t="str">
        <x:v>H</x:v>
      </x:c>
      <x:c r="O210" s="6" t="n">
        <x:f>'浓度水平'!H38</x:f>
        <x:v>1039840</x:v>
      </x:c>
      <x:c r="P210" s="6" t="n">
        <x:f>'浓度水平'!G34</x:f>
        <x:v>7200</x:v>
      </x:c>
      <x:c r="Q210" s="6" t="n">
        <x:f>'浓度水平'!G44</x:f>
        <x:v>6441.62</x:v>
      </x:c>
      <x:c r="R210" s="6" t="n">
        <x:f>'浓度水平'!H45</x:f>
        <x:v>1611</x:v>
      </x:c>
      <x:c r="S210" s="6" t="n">
        <x:f>O210/'浓度水平'!E38</x:f>
        <x:v>38800</x:v>
      </x:c>
      <x:c r="T210" s="6" t="n">
        <x:f>P210/'浓度水平'!E34</x:f>
        <x:v>2.6666666666666665</x:v>
      </x:c>
      <x:c r="U210" s="6" t="n">
        <x:f>Q210/'浓度水平'!E44</x:f>
        <x:v>3.4064621893178213</x:v>
      </x:c>
      <x:c r="V210" s="6" t="n">
        <x:f>R210/'浓度水平'!E45</x:f>
        <x:v>89.5</x:v>
      </x:c>
      <x:c r="W210" s="6" t="n">
        <x:f>O210*'固定基底'!$B$4/1000</x:f>
        <x:v>20796.8</x:v>
      </x:c>
      <x:c r="X210" s="6" t="n">
        <x:f>P210*'固定基底'!$B$4/1000</x:f>
        <x:v>144</x:v>
      </x:c>
      <x:c r="Y210" s="6" t="n">
        <x:f>Q210*'固定基底'!$B$4/1000</x:f>
        <x:v>128.8324</x:v>
      </x:c>
      <x:c r="Z210" s="6" t="n">
        <x:f>R210*'固定基底'!$B$4/1000</x:f>
        <x:v>32.22</x:v>
      </x:c>
      <x:c r="AA210" s="2" t="n">
        <x:f>'固定基底'!$C$7</x:f>
        <x:v>92796.92267241378</x:v>
      </x:c>
      <x:c r="AB210" s="2" t="n">
        <x:f>'固定基底'!$C$8</x:f>
        <x:v>104175.5097553192</x:v>
      </x:c>
      <x:c r="AC210" s="2" t="n">
        <x:f>'固定基底'!$E$7</x:f>
        <x:v>1855.9384534482756</x:v>
      </x:c>
      <x:c r="AD210" s="2" t="n">
        <x:f>'固定基底'!$E$8</x:f>
        <x:v>2083.510195106384</x:v>
      </x:c>
    </x:row>
    <x:row r="211" ht="25" customHeight="1">
      <x:c r="A211" s="5" t="str">
        <x:v>G08-13</x:v>
      </x:c>
      <x:c r="B211" s="5" t="str">
        <x:v>G08</x:v>
      </x:c>
      <x:c r="C211" s="5" t="str">
        <x:v>BBD</x:v>
      </x:c>
      <x:c r="D211" s="5" t="str">
        <x:v>拟合</x:v>
      </x:c>
      <x:c r="E211" s="5" t="str">
        <x:v>边点</x:v>
      </x:c>
      <x:c r="F211" s="5" t="str"/>
      <x:c r="G211" s="5" t="str">
        <x:v>戊酸乙酯</x:v>
      </x:c>
      <x:c r="H211" s="5" t="str">
        <x:v>辛酸</x:v>
      </x:c>
      <x:c r="I211" s="5" t="str">
        <x:v>己酸己酯</x:v>
      </x:c>
      <x:c r="J211" s="5" t="str">
        <x:v>2-甲基丁酸乙酯</x:v>
      </x:c>
      <x:c r="K211" s="5" t="str">
        <x:v>M</x:v>
      </x:c>
      <x:c r="L211" s="5" t="str">
        <x:v>L</x:v>
      </x:c>
      <x:c r="M211" s="5" t="str">
        <x:v>L</x:v>
      </x:c>
      <x:c r="N211" s="5" t="str">
        <x:v>M</x:v>
      </x:c>
      <x:c r="O211" s="6" t="n">
        <x:f>'浓度水平'!G38</x:f>
        <x:v>6665</x:v>
      </x:c>
      <x:c r="P211" s="6" t="n">
        <x:f>'浓度水平'!F34</x:f>
        <x:v>5400</x:v>
      </x:c>
      <x:c r="Q211" s="6" t="n">
        <x:f>'浓度水平'!F44</x:f>
        <x:v>3782</x:v>
      </x:c>
      <x:c r="R211" s="6" t="n">
        <x:f>'浓度水平'!G45</x:f>
        <x:v>464</x:v>
      </x:c>
      <x:c r="S211" s="6" t="n">
        <x:f>O211/'浓度水平'!E38</x:f>
        <x:v>248.69402985074626</x:v>
      </x:c>
      <x:c r="T211" s="6" t="n">
        <x:f>P211/'浓度水平'!E34</x:f>
        <x:v>2</x:v>
      </x:c>
      <x:c r="U211" s="6" t="n">
        <x:f>Q211/'浓度水平'!E44</x:f>
        <x:v>2</x:v>
      </x:c>
      <x:c r="V211" s="6" t="n">
        <x:f>R211/'浓度水平'!E45</x:f>
        <x:v>25.77777777777778</x:v>
      </x:c>
      <x:c r="W211" s="6" t="n">
        <x:f>O211*'固定基底'!$B$4/1000</x:f>
        <x:v>133.3</x:v>
      </x:c>
      <x:c r="X211" s="6" t="n">
        <x:f>P211*'固定基底'!$B$4/1000</x:f>
        <x:v>108</x:v>
      </x:c>
      <x:c r="Y211" s="6" t="n">
        <x:f>Q211*'固定基底'!$B$4/1000</x:f>
        <x:v>75.64</x:v>
      </x:c>
      <x:c r="Z211" s="6" t="n">
        <x:f>R211*'固定基底'!$B$4/1000</x:f>
        <x:v>9.28</x:v>
      </x:c>
      <x:c r="AA211" s="2" t="n">
        <x:f>'固定基底'!$C$7</x:f>
        <x:v>92796.92267241378</x:v>
      </x:c>
      <x:c r="AB211" s="2" t="n">
        <x:f>'固定基底'!$C$8</x:f>
        <x:v>104175.5097553192</x:v>
      </x:c>
      <x:c r="AC211" s="2" t="n">
        <x:f>'固定基底'!$E$7</x:f>
        <x:v>1855.9384534482756</x:v>
      </x:c>
      <x:c r="AD211" s="2" t="n">
        <x:f>'固定基底'!$E$8</x:f>
        <x:v>2083.510195106384</x:v>
      </x:c>
    </x:row>
    <x:row r="212" ht="25" customHeight="1">
      <x:c r="A212" s="5" t="str">
        <x:v>G08-14</x:v>
      </x:c>
      <x:c r="B212" s="5" t="str">
        <x:v>G08</x:v>
      </x:c>
      <x:c r="C212" s="5" t="str">
        <x:v>BBD</x:v>
      </x:c>
      <x:c r="D212" s="5" t="str">
        <x:v>拟合</x:v>
      </x:c>
      <x:c r="E212" s="5" t="str">
        <x:v>边点</x:v>
      </x:c>
      <x:c r="F212" s="5" t="str"/>
      <x:c r="G212" s="5" t="str">
        <x:v>戊酸乙酯</x:v>
      </x:c>
      <x:c r="H212" s="5" t="str">
        <x:v>辛酸</x:v>
      </x:c>
      <x:c r="I212" s="5" t="str">
        <x:v>己酸己酯</x:v>
      </x:c>
      <x:c r="J212" s="5" t="str">
        <x:v>2-甲基丁酸乙酯</x:v>
      </x:c>
      <x:c r="K212" s="5" t="str">
        <x:v>M</x:v>
      </x:c>
      <x:c r="L212" s="5" t="str">
        <x:v>L</x:v>
      </x:c>
      <x:c r="M212" s="5" t="str">
        <x:v>H</x:v>
      </x:c>
      <x:c r="N212" s="5" t="str">
        <x:v>M</x:v>
      </x:c>
      <x:c r="O212" s="6" t="n">
        <x:f>'浓度水平'!G38</x:f>
        <x:v>6665</x:v>
      </x:c>
      <x:c r="P212" s="6" t="n">
        <x:f>'浓度水平'!F34</x:f>
        <x:v>5400</x:v>
      </x:c>
      <x:c r="Q212" s="6" t="n">
        <x:f>'浓度水平'!H44</x:f>
        <x:v>193759</x:v>
      </x:c>
      <x:c r="R212" s="6" t="n">
        <x:f>'浓度水平'!G45</x:f>
        <x:v>464</x:v>
      </x:c>
      <x:c r="S212" s="6" t="n">
        <x:f>O212/'浓度水平'!E38</x:f>
        <x:v>248.69402985074626</x:v>
      </x:c>
      <x:c r="T212" s="6" t="n">
        <x:f>P212/'浓度水平'!E34</x:f>
        <x:v>2</x:v>
      </x:c>
      <x:c r="U212" s="6" t="n">
        <x:f>Q212/'浓度水平'!E44</x:f>
        <x:v>102.46377578001058</x:v>
      </x:c>
      <x:c r="V212" s="6" t="n">
        <x:f>R212/'浓度水平'!E45</x:f>
        <x:v>25.77777777777778</x:v>
      </x:c>
      <x:c r="W212" s="6" t="n">
        <x:f>O212*'固定基底'!$B$4/1000</x:f>
        <x:v>133.3</x:v>
      </x:c>
      <x:c r="X212" s="6" t="n">
        <x:f>P212*'固定基底'!$B$4/1000</x:f>
        <x:v>108</x:v>
      </x:c>
      <x:c r="Y212" s="6" t="n">
        <x:f>Q212*'固定基底'!$B$4/1000</x:f>
        <x:v>3875.18</x:v>
      </x:c>
      <x:c r="Z212" s="6" t="n">
        <x:f>R212*'固定基底'!$B$4/1000</x:f>
        <x:v>9.28</x:v>
      </x:c>
      <x:c r="AA212" s="2" t="n">
        <x:f>'固定基底'!$C$7</x:f>
        <x:v>92796.92267241378</x:v>
      </x:c>
      <x:c r="AB212" s="2" t="n">
        <x:f>'固定基底'!$C$8</x:f>
        <x:v>104175.5097553192</x:v>
      </x:c>
      <x:c r="AC212" s="2" t="n">
        <x:f>'固定基底'!$E$7</x:f>
        <x:v>1855.9384534482756</x:v>
      </x:c>
      <x:c r="AD212" s="2" t="n">
        <x:f>'固定基底'!$E$8</x:f>
        <x:v>2083.510195106384</x:v>
      </x:c>
    </x:row>
    <x:row r="213" ht="25" customHeight="1">
      <x:c r="A213" s="5" t="str">
        <x:v>G08-15</x:v>
      </x:c>
      <x:c r="B213" s="5" t="str">
        <x:v>G08</x:v>
      </x:c>
      <x:c r="C213" s="5" t="str">
        <x:v>BBD</x:v>
      </x:c>
      <x:c r="D213" s="5" t="str">
        <x:v>拟合</x:v>
      </x:c>
      <x:c r="E213" s="5" t="str">
        <x:v>边点</x:v>
      </x:c>
      <x:c r="F213" s="5" t="str"/>
      <x:c r="G213" s="5" t="str">
        <x:v>戊酸乙酯</x:v>
      </x:c>
      <x:c r="H213" s="5" t="str">
        <x:v>辛酸</x:v>
      </x:c>
      <x:c r="I213" s="5" t="str">
        <x:v>己酸己酯</x:v>
      </x:c>
      <x:c r="J213" s="5" t="str">
        <x:v>2-甲基丁酸乙酯</x:v>
      </x:c>
      <x:c r="K213" s="5" t="str">
        <x:v>M</x:v>
      </x:c>
      <x:c r="L213" s="5" t="str">
        <x:v>H</x:v>
      </x:c>
      <x:c r="M213" s="5" t="str">
        <x:v>L</x:v>
      </x:c>
      <x:c r="N213" s="5" t="str">
        <x:v>M</x:v>
      </x:c>
      <x:c r="O213" s="6" t="n">
        <x:f>'浓度水平'!G38</x:f>
        <x:v>6665</x:v>
      </x:c>
      <x:c r="P213" s="6" t="n">
        <x:f>'浓度水平'!H34</x:f>
        <x:v>40201.1</x:v>
      </x:c>
      <x:c r="Q213" s="6" t="n">
        <x:f>'浓度水平'!F44</x:f>
        <x:v>3782</x:v>
      </x:c>
      <x:c r="R213" s="6" t="n">
        <x:f>'浓度水平'!G45</x:f>
        <x:v>464</x:v>
      </x:c>
      <x:c r="S213" s="6" t="n">
        <x:f>O213/'浓度水平'!E38</x:f>
        <x:v>248.69402985074626</x:v>
      </x:c>
      <x:c r="T213" s="6" t="n">
        <x:f>P213/'浓度水平'!E34</x:f>
        <x:v>14.889296296296296</x:v>
      </x:c>
      <x:c r="U213" s="6" t="n">
        <x:f>Q213/'浓度水平'!E44</x:f>
        <x:v>2</x:v>
      </x:c>
      <x:c r="V213" s="6" t="n">
        <x:f>R213/'浓度水平'!E45</x:f>
        <x:v>25.77777777777778</x:v>
      </x:c>
      <x:c r="W213" s="6" t="n">
        <x:f>O213*'固定基底'!$B$4/1000</x:f>
        <x:v>133.3</x:v>
      </x:c>
      <x:c r="X213" s="6" t="n">
        <x:f>P213*'固定基底'!$B$4/1000</x:f>
        <x:v>804.022</x:v>
      </x:c>
      <x:c r="Y213" s="6" t="n">
        <x:f>Q213*'固定基底'!$B$4/1000</x:f>
        <x:v>75.64</x:v>
      </x:c>
      <x:c r="Z213" s="6" t="n">
        <x:f>R213*'固定基底'!$B$4/1000</x:f>
        <x:v>9.28</x:v>
      </x:c>
      <x:c r="AA213" s="2" t="n">
        <x:f>'固定基底'!$C$7</x:f>
        <x:v>92796.92267241378</x:v>
      </x:c>
      <x:c r="AB213" s="2" t="n">
        <x:f>'固定基底'!$C$8</x:f>
        <x:v>104175.5097553192</x:v>
      </x:c>
      <x:c r="AC213" s="2" t="n">
        <x:f>'固定基底'!$E$7</x:f>
        <x:v>1855.9384534482756</x:v>
      </x:c>
      <x:c r="AD213" s="2" t="n">
        <x:f>'固定基底'!$E$8</x:f>
        <x:v>2083.510195106384</x:v>
      </x:c>
    </x:row>
    <x:row r="214" ht="25" customHeight="1">
      <x:c r="A214" s="5" t="str">
        <x:v>G08-16</x:v>
      </x:c>
      <x:c r="B214" s="5" t="str">
        <x:v>G08</x:v>
      </x:c>
      <x:c r="C214" s="5" t="str">
        <x:v>BBD</x:v>
      </x:c>
      <x:c r="D214" s="5" t="str">
        <x:v>拟合</x:v>
      </x:c>
      <x:c r="E214" s="5" t="str">
        <x:v>边点</x:v>
      </x:c>
      <x:c r="F214" s="5" t="str"/>
      <x:c r="G214" s="5" t="str">
        <x:v>戊酸乙酯</x:v>
      </x:c>
      <x:c r="H214" s="5" t="str">
        <x:v>辛酸</x:v>
      </x:c>
      <x:c r="I214" s="5" t="str">
        <x:v>己酸己酯</x:v>
      </x:c>
      <x:c r="J214" s="5" t="str">
        <x:v>2-甲基丁酸乙酯</x:v>
      </x:c>
      <x:c r="K214" s="5" t="str">
        <x:v>M</x:v>
      </x:c>
      <x:c r="L214" s="5" t="str">
        <x:v>H</x:v>
      </x:c>
      <x:c r="M214" s="5" t="str">
        <x:v>H</x:v>
      </x:c>
      <x:c r="N214" s="5" t="str">
        <x:v>M</x:v>
      </x:c>
      <x:c r="O214" s="6" t="n">
        <x:f>'浓度水平'!G38</x:f>
        <x:v>6665</x:v>
      </x:c>
      <x:c r="P214" s="6" t="n">
        <x:f>'浓度水平'!H34</x:f>
        <x:v>40201.1</x:v>
      </x:c>
      <x:c r="Q214" s="6" t="n">
        <x:f>'浓度水平'!H44</x:f>
        <x:v>193759</x:v>
      </x:c>
      <x:c r="R214" s="6" t="n">
        <x:f>'浓度水平'!G45</x:f>
        <x:v>464</x:v>
      </x:c>
      <x:c r="S214" s="6" t="n">
        <x:f>O214/'浓度水平'!E38</x:f>
        <x:v>248.69402985074626</x:v>
      </x:c>
      <x:c r="T214" s="6" t="n">
        <x:f>P214/'浓度水平'!E34</x:f>
        <x:v>14.889296296296296</x:v>
      </x:c>
      <x:c r="U214" s="6" t="n">
        <x:f>Q214/'浓度水平'!E44</x:f>
        <x:v>102.46377578001058</x:v>
      </x:c>
      <x:c r="V214" s="6" t="n">
        <x:f>R214/'浓度水平'!E45</x:f>
        <x:v>25.77777777777778</x:v>
      </x:c>
      <x:c r="W214" s="6" t="n">
        <x:f>O214*'固定基底'!$B$4/1000</x:f>
        <x:v>133.3</x:v>
      </x:c>
      <x:c r="X214" s="6" t="n">
        <x:f>P214*'固定基底'!$B$4/1000</x:f>
        <x:v>804.022</x:v>
      </x:c>
      <x:c r="Y214" s="6" t="n">
        <x:f>Q214*'固定基底'!$B$4/1000</x:f>
        <x:v>3875.18</x:v>
      </x:c>
      <x:c r="Z214" s="6" t="n">
        <x:f>R214*'固定基底'!$B$4/1000</x:f>
        <x:v>9.28</x:v>
      </x:c>
      <x:c r="AA214" s="2" t="n">
        <x:f>'固定基底'!$C$7</x:f>
        <x:v>92796.92267241378</x:v>
      </x:c>
      <x:c r="AB214" s="2" t="n">
        <x:f>'固定基底'!$C$8</x:f>
        <x:v>104175.5097553192</x:v>
      </x:c>
      <x:c r="AC214" s="2" t="n">
        <x:f>'固定基底'!$E$7</x:f>
        <x:v>1855.9384534482756</x:v>
      </x:c>
      <x:c r="AD214" s="2" t="n">
        <x:f>'固定基底'!$E$8</x:f>
        <x:v>2083.510195106384</x:v>
      </x:c>
    </x:row>
    <x:row r="215" ht="25" customHeight="1">
      <x:c r="A215" s="5" t="str">
        <x:v>G08-17</x:v>
      </x:c>
      <x:c r="B215" s="5" t="str">
        <x:v>G08</x:v>
      </x:c>
      <x:c r="C215" s="5" t="str">
        <x:v>BBD</x:v>
      </x:c>
      <x:c r="D215" s="5" t="str">
        <x:v>拟合</x:v>
      </x:c>
      <x:c r="E215" s="5" t="str">
        <x:v>边点</x:v>
      </x:c>
      <x:c r="F215" s="5" t="str"/>
      <x:c r="G215" s="5" t="str">
        <x:v>戊酸乙酯</x:v>
      </x:c>
      <x:c r="H215" s="5" t="str">
        <x:v>辛酸</x:v>
      </x:c>
      <x:c r="I215" s="5" t="str">
        <x:v>己酸己酯</x:v>
      </x:c>
      <x:c r="J215" s="5" t="str">
        <x:v>2-甲基丁酸乙酯</x:v>
      </x:c>
      <x:c r="K215" s="5" t="str">
        <x:v>M</x:v>
      </x:c>
      <x:c r="L215" s="5" t="str">
        <x:v>L</x:v>
      </x:c>
      <x:c r="M215" s="5" t="str">
        <x:v>M</x:v>
      </x:c>
      <x:c r="N215" s="5" t="str">
        <x:v>L</x:v>
      </x:c>
      <x:c r="O215" s="6" t="n">
        <x:f>'浓度水平'!G38</x:f>
        <x:v>6665</x:v>
      </x:c>
      <x:c r="P215" s="6" t="n">
        <x:f>'浓度水平'!F34</x:f>
        <x:v>5400</x:v>
      </x:c>
      <x:c r="Q215" s="6" t="n">
        <x:f>'浓度水平'!G44</x:f>
        <x:v>6441.62</x:v>
      </x:c>
      <x:c r="R215" s="6" t="n">
        <x:f>'浓度水平'!F45</x:f>
        <x:v>36</x:v>
      </x:c>
      <x:c r="S215" s="6" t="n">
        <x:f>O215/'浓度水平'!E38</x:f>
        <x:v>248.69402985074626</x:v>
      </x:c>
      <x:c r="T215" s="6" t="n">
        <x:f>P215/'浓度水平'!E34</x:f>
        <x:v>2</x:v>
      </x:c>
      <x:c r="U215" s="6" t="n">
        <x:f>Q215/'浓度水平'!E44</x:f>
        <x:v>3.4064621893178213</x:v>
      </x:c>
      <x:c r="V215" s="6" t="n">
        <x:f>R215/'浓度水平'!E45</x:f>
        <x:v>2</x:v>
      </x:c>
      <x:c r="W215" s="6" t="n">
        <x:f>O215*'固定基底'!$B$4/1000</x:f>
        <x:v>133.3</x:v>
      </x:c>
      <x:c r="X215" s="6" t="n">
        <x:f>P215*'固定基底'!$B$4/1000</x:f>
        <x:v>108</x:v>
      </x:c>
      <x:c r="Y215" s="6" t="n">
        <x:f>Q215*'固定基底'!$B$4/1000</x:f>
        <x:v>128.8324</x:v>
      </x:c>
      <x:c r="Z215" s="6" t="n">
        <x:f>R215*'固定基底'!$B$4/1000</x:f>
        <x:v>0.72</x:v>
      </x:c>
      <x:c r="AA215" s="2" t="n">
        <x:f>'固定基底'!$C$7</x:f>
        <x:v>92796.92267241378</x:v>
      </x:c>
      <x:c r="AB215" s="2" t="n">
        <x:f>'固定基底'!$C$8</x:f>
        <x:v>104175.5097553192</x:v>
      </x:c>
      <x:c r="AC215" s="2" t="n">
        <x:f>'固定基底'!$E$7</x:f>
        <x:v>1855.9384534482756</x:v>
      </x:c>
      <x:c r="AD215" s="2" t="n">
        <x:f>'固定基底'!$E$8</x:f>
        <x:v>2083.510195106384</x:v>
      </x:c>
    </x:row>
    <x:row r="216" ht="25" customHeight="1">
      <x:c r="A216" s="5" t="str">
        <x:v>G08-18</x:v>
      </x:c>
      <x:c r="B216" s="5" t="str">
        <x:v>G08</x:v>
      </x:c>
      <x:c r="C216" s="5" t="str">
        <x:v>BBD</x:v>
      </x:c>
      <x:c r="D216" s="5" t="str">
        <x:v>拟合</x:v>
      </x:c>
      <x:c r="E216" s="5" t="str">
        <x:v>边点</x:v>
      </x:c>
      <x:c r="F216" s="5" t="str"/>
      <x:c r="G216" s="5" t="str">
        <x:v>戊酸乙酯</x:v>
      </x:c>
      <x:c r="H216" s="5" t="str">
        <x:v>辛酸</x:v>
      </x:c>
      <x:c r="I216" s="5" t="str">
        <x:v>己酸己酯</x:v>
      </x:c>
      <x:c r="J216" s="5" t="str">
        <x:v>2-甲基丁酸乙酯</x:v>
      </x:c>
      <x:c r="K216" s="5" t="str">
        <x:v>M</x:v>
      </x:c>
      <x:c r="L216" s="5" t="str">
        <x:v>L</x:v>
      </x:c>
      <x:c r="M216" s="5" t="str">
        <x:v>M</x:v>
      </x:c>
      <x:c r="N216" s="5" t="str">
        <x:v>H</x:v>
      </x:c>
      <x:c r="O216" s="6" t="n">
        <x:f>'浓度水平'!G38</x:f>
        <x:v>6665</x:v>
      </x:c>
      <x:c r="P216" s="6" t="n">
        <x:f>'浓度水平'!F34</x:f>
        <x:v>5400</x:v>
      </x:c>
      <x:c r="Q216" s="6" t="n">
        <x:f>'浓度水平'!G44</x:f>
        <x:v>6441.62</x:v>
      </x:c>
      <x:c r="R216" s="6" t="n">
        <x:f>'浓度水平'!H45</x:f>
        <x:v>1611</x:v>
      </x:c>
      <x:c r="S216" s="6" t="n">
        <x:f>O216/'浓度水平'!E38</x:f>
        <x:v>248.69402985074626</x:v>
      </x:c>
      <x:c r="T216" s="6" t="n">
        <x:f>P216/'浓度水平'!E34</x:f>
        <x:v>2</x:v>
      </x:c>
      <x:c r="U216" s="6" t="n">
        <x:f>Q216/'浓度水平'!E44</x:f>
        <x:v>3.4064621893178213</x:v>
      </x:c>
      <x:c r="V216" s="6" t="n">
        <x:f>R216/'浓度水平'!E45</x:f>
        <x:v>89.5</x:v>
      </x:c>
      <x:c r="W216" s="6" t="n">
        <x:f>O216*'固定基底'!$B$4/1000</x:f>
        <x:v>133.3</x:v>
      </x:c>
      <x:c r="X216" s="6" t="n">
        <x:f>P216*'固定基底'!$B$4/1000</x:f>
        <x:v>108</x:v>
      </x:c>
      <x:c r="Y216" s="6" t="n">
        <x:f>Q216*'固定基底'!$B$4/1000</x:f>
        <x:v>128.8324</x:v>
      </x:c>
      <x:c r="Z216" s="6" t="n">
        <x:f>R216*'固定基底'!$B$4/1000</x:f>
        <x:v>32.22</x:v>
      </x:c>
      <x:c r="AA216" s="2" t="n">
        <x:f>'固定基底'!$C$7</x:f>
        <x:v>92796.92267241378</x:v>
      </x:c>
      <x:c r="AB216" s="2" t="n">
        <x:f>'固定基底'!$C$8</x:f>
        <x:v>104175.5097553192</x:v>
      </x:c>
      <x:c r="AC216" s="2" t="n">
        <x:f>'固定基底'!$E$7</x:f>
        <x:v>1855.9384534482756</x:v>
      </x:c>
      <x:c r="AD216" s="2" t="n">
        <x:f>'固定基底'!$E$8</x:f>
        <x:v>2083.510195106384</x:v>
      </x:c>
    </x:row>
    <x:row r="217" ht="25" customHeight="1">
      <x:c r="A217" s="5" t="str">
        <x:v>G08-19</x:v>
      </x:c>
      <x:c r="B217" s="5" t="str">
        <x:v>G08</x:v>
      </x:c>
      <x:c r="C217" s="5" t="str">
        <x:v>BBD</x:v>
      </x:c>
      <x:c r="D217" s="5" t="str">
        <x:v>拟合</x:v>
      </x:c>
      <x:c r="E217" s="5" t="str">
        <x:v>边点</x:v>
      </x:c>
      <x:c r="F217" s="5" t="str"/>
      <x:c r="G217" s="5" t="str">
        <x:v>戊酸乙酯</x:v>
      </x:c>
      <x:c r="H217" s="5" t="str">
        <x:v>辛酸</x:v>
      </x:c>
      <x:c r="I217" s="5" t="str">
        <x:v>己酸己酯</x:v>
      </x:c>
      <x:c r="J217" s="5" t="str">
        <x:v>2-甲基丁酸乙酯</x:v>
      </x:c>
      <x:c r="K217" s="5" t="str">
        <x:v>M</x:v>
      </x:c>
      <x:c r="L217" s="5" t="str">
        <x:v>H</x:v>
      </x:c>
      <x:c r="M217" s="5" t="str">
        <x:v>M</x:v>
      </x:c>
      <x:c r="N217" s="5" t="str">
        <x:v>L</x:v>
      </x:c>
      <x:c r="O217" s="6" t="n">
        <x:f>'浓度水平'!G38</x:f>
        <x:v>6665</x:v>
      </x:c>
      <x:c r="P217" s="6" t="n">
        <x:f>'浓度水平'!H34</x:f>
        <x:v>40201.1</x:v>
      </x:c>
      <x:c r="Q217" s="6" t="n">
        <x:f>'浓度水平'!G44</x:f>
        <x:v>6441.62</x:v>
      </x:c>
      <x:c r="R217" s="6" t="n">
        <x:f>'浓度水平'!F45</x:f>
        <x:v>36</x:v>
      </x:c>
      <x:c r="S217" s="6" t="n">
        <x:f>O217/'浓度水平'!E38</x:f>
        <x:v>248.69402985074626</x:v>
      </x:c>
      <x:c r="T217" s="6" t="n">
        <x:f>P217/'浓度水平'!E34</x:f>
        <x:v>14.889296296296296</x:v>
      </x:c>
      <x:c r="U217" s="6" t="n">
        <x:f>Q217/'浓度水平'!E44</x:f>
        <x:v>3.4064621893178213</x:v>
      </x:c>
      <x:c r="V217" s="6" t="n">
        <x:f>R217/'浓度水平'!E45</x:f>
        <x:v>2</x:v>
      </x:c>
      <x:c r="W217" s="6" t="n">
        <x:f>O217*'固定基底'!$B$4/1000</x:f>
        <x:v>133.3</x:v>
      </x:c>
      <x:c r="X217" s="6" t="n">
        <x:f>P217*'固定基底'!$B$4/1000</x:f>
        <x:v>804.022</x:v>
      </x:c>
      <x:c r="Y217" s="6" t="n">
        <x:f>Q217*'固定基底'!$B$4/1000</x:f>
        <x:v>128.8324</x:v>
      </x:c>
      <x:c r="Z217" s="6" t="n">
        <x:f>R217*'固定基底'!$B$4/1000</x:f>
        <x:v>0.72</x:v>
      </x:c>
      <x:c r="AA217" s="2" t="n">
        <x:f>'固定基底'!$C$7</x:f>
        <x:v>92796.92267241378</x:v>
      </x:c>
      <x:c r="AB217" s="2" t="n">
        <x:f>'固定基底'!$C$8</x:f>
        <x:v>104175.5097553192</x:v>
      </x:c>
      <x:c r="AC217" s="2" t="n">
        <x:f>'固定基底'!$E$7</x:f>
        <x:v>1855.9384534482756</x:v>
      </x:c>
      <x:c r="AD217" s="2" t="n">
        <x:f>'固定基底'!$E$8</x:f>
        <x:v>2083.510195106384</x:v>
      </x:c>
    </x:row>
    <x:row r="218" ht="25" customHeight="1">
      <x:c r="A218" s="5" t="str">
        <x:v>G08-20</x:v>
      </x:c>
      <x:c r="B218" s="5" t="str">
        <x:v>G08</x:v>
      </x:c>
      <x:c r="C218" s="5" t="str">
        <x:v>BBD</x:v>
      </x:c>
      <x:c r="D218" s="5" t="str">
        <x:v>拟合</x:v>
      </x:c>
      <x:c r="E218" s="5" t="str">
        <x:v>边点</x:v>
      </x:c>
      <x:c r="F218" s="5" t="str"/>
      <x:c r="G218" s="5" t="str">
        <x:v>戊酸乙酯</x:v>
      </x:c>
      <x:c r="H218" s="5" t="str">
        <x:v>辛酸</x:v>
      </x:c>
      <x:c r="I218" s="5" t="str">
        <x:v>己酸己酯</x:v>
      </x:c>
      <x:c r="J218" s="5" t="str">
        <x:v>2-甲基丁酸乙酯</x:v>
      </x:c>
      <x:c r="K218" s="5" t="str">
        <x:v>M</x:v>
      </x:c>
      <x:c r="L218" s="5" t="str">
        <x:v>H</x:v>
      </x:c>
      <x:c r="M218" s="5" t="str">
        <x:v>M</x:v>
      </x:c>
      <x:c r="N218" s="5" t="str">
        <x:v>H</x:v>
      </x:c>
      <x:c r="O218" s="6" t="n">
        <x:f>'浓度水平'!G38</x:f>
        <x:v>6665</x:v>
      </x:c>
      <x:c r="P218" s="6" t="n">
        <x:f>'浓度水平'!H34</x:f>
        <x:v>40201.1</x:v>
      </x:c>
      <x:c r="Q218" s="6" t="n">
        <x:f>'浓度水平'!G44</x:f>
        <x:v>6441.62</x:v>
      </x:c>
      <x:c r="R218" s="6" t="n">
        <x:f>'浓度水平'!H45</x:f>
        <x:v>1611</x:v>
      </x:c>
      <x:c r="S218" s="6" t="n">
        <x:f>O218/'浓度水平'!E38</x:f>
        <x:v>248.69402985074626</x:v>
      </x:c>
      <x:c r="T218" s="6" t="n">
        <x:f>P218/'浓度水平'!E34</x:f>
        <x:v>14.889296296296296</x:v>
      </x:c>
      <x:c r="U218" s="6" t="n">
        <x:f>Q218/'浓度水平'!E44</x:f>
        <x:v>3.4064621893178213</x:v>
      </x:c>
      <x:c r="V218" s="6" t="n">
        <x:f>R218/'浓度水平'!E45</x:f>
        <x:v>89.5</x:v>
      </x:c>
      <x:c r="W218" s="6" t="n">
        <x:f>O218*'固定基底'!$B$4/1000</x:f>
        <x:v>133.3</x:v>
      </x:c>
      <x:c r="X218" s="6" t="n">
        <x:f>P218*'固定基底'!$B$4/1000</x:f>
        <x:v>804.022</x:v>
      </x:c>
      <x:c r="Y218" s="6" t="n">
        <x:f>Q218*'固定基底'!$B$4/1000</x:f>
        <x:v>128.8324</x:v>
      </x:c>
      <x:c r="Z218" s="6" t="n">
        <x:f>R218*'固定基底'!$B$4/1000</x:f>
        <x:v>32.22</x:v>
      </x:c>
      <x:c r="AA218" s="2" t="n">
        <x:f>'固定基底'!$C$7</x:f>
        <x:v>92796.92267241378</x:v>
      </x:c>
      <x:c r="AB218" s="2" t="n">
        <x:f>'固定基底'!$C$8</x:f>
        <x:v>104175.5097553192</x:v>
      </x:c>
      <x:c r="AC218" s="2" t="n">
        <x:f>'固定基底'!$E$7</x:f>
        <x:v>1855.9384534482756</x:v>
      </x:c>
      <x:c r="AD218" s="2" t="n">
        <x:f>'固定基底'!$E$8</x:f>
        <x:v>2083.510195106384</x:v>
      </x:c>
    </x:row>
    <x:row r="219" ht="25" customHeight="1">
      <x:c r="A219" s="5" t="str">
        <x:v>G08-21</x:v>
      </x:c>
      <x:c r="B219" s="5" t="str">
        <x:v>G08</x:v>
      </x:c>
      <x:c r="C219" s="5" t="str">
        <x:v>BBD</x:v>
      </x:c>
      <x:c r="D219" s="5" t="str">
        <x:v>拟合</x:v>
      </x:c>
      <x:c r="E219" s="5" t="str">
        <x:v>边点</x:v>
      </x:c>
      <x:c r="F219" s="5" t="str"/>
      <x:c r="G219" s="5" t="str">
        <x:v>戊酸乙酯</x:v>
      </x:c>
      <x:c r="H219" s="5" t="str">
        <x:v>辛酸</x:v>
      </x:c>
      <x:c r="I219" s="5" t="str">
        <x:v>己酸己酯</x:v>
      </x:c>
      <x:c r="J219" s="5" t="str">
        <x:v>2-甲基丁酸乙酯</x:v>
      </x:c>
      <x:c r="K219" s="5" t="str">
        <x:v>M</x:v>
      </x:c>
      <x:c r="L219" s="5" t="str">
        <x:v>M</x:v>
      </x:c>
      <x:c r="M219" s="5" t="str">
        <x:v>L</x:v>
      </x:c>
      <x:c r="N219" s="5" t="str">
        <x:v>L</x:v>
      </x:c>
      <x:c r="O219" s="6" t="n">
        <x:f>'浓度水平'!G38</x:f>
        <x:v>6665</x:v>
      </x:c>
      <x:c r="P219" s="6" t="n">
        <x:f>'浓度水平'!G34</x:f>
        <x:v>7200</x:v>
      </x:c>
      <x:c r="Q219" s="6" t="n">
        <x:f>'浓度水平'!F44</x:f>
        <x:v>3782</x:v>
      </x:c>
      <x:c r="R219" s="6" t="n">
        <x:f>'浓度水平'!F45</x:f>
        <x:v>36</x:v>
      </x:c>
      <x:c r="S219" s="6" t="n">
        <x:f>O219/'浓度水平'!E38</x:f>
        <x:v>248.69402985074626</x:v>
      </x:c>
      <x:c r="T219" s="6" t="n">
        <x:f>P219/'浓度水平'!E34</x:f>
        <x:v>2.6666666666666665</x:v>
      </x:c>
      <x:c r="U219" s="6" t="n">
        <x:f>Q219/'浓度水平'!E44</x:f>
        <x:v>2</x:v>
      </x:c>
      <x:c r="V219" s="6" t="n">
        <x:f>R219/'浓度水平'!E45</x:f>
        <x:v>2</x:v>
      </x:c>
      <x:c r="W219" s="6" t="n">
        <x:f>O219*'固定基底'!$B$4/1000</x:f>
        <x:v>133.3</x:v>
      </x:c>
      <x:c r="X219" s="6" t="n">
        <x:f>P219*'固定基底'!$B$4/1000</x:f>
        <x:v>144</x:v>
      </x:c>
      <x:c r="Y219" s="6" t="n">
        <x:f>Q219*'固定基底'!$B$4/1000</x:f>
        <x:v>75.64</x:v>
      </x:c>
      <x:c r="Z219" s="6" t="n">
        <x:f>R219*'固定基底'!$B$4/1000</x:f>
        <x:v>0.72</x:v>
      </x:c>
      <x:c r="AA219" s="2" t="n">
        <x:f>'固定基底'!$C$7</x:f>
        <x:v>92796.92267241378</x:v>
      </x:c>
      <x:c r="AB219" s="2" t="n">
        <x:f>'固定基底'!$C$8</x:f>
        <x:v>104175.5097553192</x:v>
      </x:c>
      <x:c r="AC219" s="2" t="n">
        <x:f>'固定基底'!$E$7</x:f>
        <x:v>1855.9384534482756</x:v>
      </x:c>
      <x:c r="AD219" s="2" t="n">
        <x:f>'固定基底'!$E$8</x:f>
        <x:v>2083.510195106384</x:v>
      </x:c>
    </x:row>
    <x:row r="220" ht="25" customHeight="1">
      <x:c r="A220" s="5" t="str">
        <x:v>G08-22</x:v>
      </x:c>
      <x:c r="B220" s="5" t="str">
        <x:v>G08</x:v>
      </x:c>
      <x:c r="C220" s="5" t="str">
        <x:v>BBD</x:v>
      </x:c>
      <x:c r="D220" s="5" t="str">
        <x:v>拟合</x:v>
      </x:c>
      <x:c r="E220" s="5" t="str">
        <x:v>边点</x:v>
      </x:c>
      <x:c r="F220" s="5" t="str"/>
      <x:c r="G220" s="5" t="str">
        <x:v>戊酸乙酯</x:v>
      </x:c>
      <x:c r="H220" s="5" t="str">
        <x:v>辛酸</x:v>
      </x:c>
      <x:c r="I220" s="5" t="str">
        <x:v>己酸己酯</x:v>
      </x:c>
      <x:c r="J220" s="5" t="str">
        <x:v>2-甲基丁酸乙酯</x:v>
      </x:c>
      <x:c r="K220" s="5" t="str">
        <x:v>M</x:v>
      </x:c>
      <x:c r="L220" s="5" t="str">
        <x:v>M</x:v>
      </x:c>
      <x:c r="M220" s="5" t="str">
        <x:v>L</x:v>
      </x:c>
      <x:c r="N220" s="5" t="str">
        <x:v>H</x:v>
      </x:c>
      <x:c r="O220" s="6" t="n">
        <x:f>'浓度水平'!G38</x:f>
        <x:v>6665</x:v>
      </x:c>
      <x:c r="P220" s="6" t="n">
        <x:f>'浓度水平'!G34</x:f>
        <x:v>7200</x:v>
      </x:c>
      <x:c r="Q220" s="6" t="n">
        <x:f>'浓度水平'!F44</x:f>
        <x:v>3782</x:v>
      </x:c>
      <x:c r="R220" s="6" t="n">
        <x:f>'浓度水平'!H45</x:f>
        <x:v>1611</x:v>
      </x:c>
      <x:c r="S220" s="6" t="n">
        <x:f>O220/'浓度水平'!E38</x:f>
        <x:v>248.69402985074626</x:v>
      </x:c>
      <x:c r="T220" s="6" t="n">
        <x:f>P220/'浓度水平'!E34</x:f>
        <x:v>2.6666666666666665</x:v>
      </x:c>
      <x:c r="U220" s="6" t="n">
        <x:f>Q220/'浓度水平'!E44</x:f>
        <x:v>2</x:v>
      </x:c>
      <x:c r="V220" s="6" t="n">
        <x:f>R220/'浓度水平'!E45</x:f>
        <x:v>89.5</x:v>
      </x:c>
      <x:c r="W220" s="6" t="n">
        <x:f>O220*'固定基底'!$B$4/1000</x:f>
        <x:v>133.3</x:v>
      </x:c>
      <x:c r="X220" s="6" t="n">
        <x:f>P220*'固定基底'!$B$4/1000</x:f>
        <x:v>144</x:v>
      </x:c>
      <x:c r="Y220" s="6" t="n">
        <x:f>Q220*'固定基底'!$B$4/1000</x:f>
        <x:v>75.64</x:v>
      </x:c>
      <x:c r="Z220" s="6" t="n">
        <x:f>R220*'固定基底'!$B$4/1000</x:f>
        <x:v>32.22</x:v>
      </x:c>
      <x:c r="AA220" s="2" t="n">
        <x:f>'固定基底'!$C$7</x:f>
        <x:v>92796.92267241378</x:v>
      </x:c>
      <x:c r="AB220" s="2" t="n">
        <x:f>'固定基底'!$C$8</x:f>
        <x:v>104175.5097553192</x:v>
      </x:c>
      <x:c r="AC220" s="2" t="n">
        <x:f>'固定基底'!$E$7</x:f>
        <x:v>1855.9384534482756</x:v>
      </x:c>
      <x:c r="AD220" s="2" t="n">
        <x:f>'固定基底'!$E$8</x:f>
        <x:v>2083.510195106384</x:v>
      </x:c>
    </x:row>
    <x:row r="221" ht="25" customHeight="1">
      <x:c r="A221" s="5" t="str">
        <x:v>G08-23</x:v>
      </x:c>
      <x:c r="B221" s="5" t="str">
        <x:v>G08</x:v>
      </x:c>
      <x:c r="C221" s="5" t="str">
        <x:v>BBD</x:v>
      </x:c>
      <x:c r="D221" s="5" t="str">
        <x:v>拟合</x:v>
      </x:c>
      <x:c r="E221" s="5" t="str">
        <x:v>边点</x:v>
      </x:c>
      <x:c r="F221" s="5" t="str"/>
      <x:c r="G221" s="5" t="str">
        <x:v>戊酸乙酯</x:v>
      </x:c>
      <x:c r="H221" s="5" t="str">
        <x:v>辛酸</x:v>
      </x:c>
      <x:c r="I221" s="5" t="str">
        <x:v>己酸己酯</x:v>
      </x:c>
      <x:c r="J221" s="5" t="str">
        <x:v>2-甲基丁酸乙酯</x:v>
      </x:c>
      <x:c r="K221" s="5" t="str">
        <x:v>M</x:v>
      </x:c>
      <x:c r="L221" s="5" t="str">
        <x:v>M</x:v>
      </x:c>
      <x:c r="M221" s="5" t="str">
        <x:v>H</x:v>
      </x:c>
      <x:c r="N221" s="5" t="str">
        <x:v>L</x:v>
      </x:c>
      <x:c r="O221" s="6" t="n">
        <x:f>'浓度水平'!G38</x:f>
        <x:v>6665</x:v>
      </x:c>
      <x:c r="P221" s="6" t="n">
        <x:f>'浓度水平'!G34</x:f>
        <x:v>7200</x:v>
      </x:c>
      <x:c r="Q221" s="6" t="n">
        <x:f>'浓度水平'!H44</x:f>
        <x:v>193759</x:v>
      </x:c>
      <x:c r="R221" s="6" t="n">
        <x:f>'浓度水平'!F45</x:f>
        <x:v>36</x:v>
      </x:c>
      <x:c r="S221" s="6" t="n">
        <x:f>O221/'浓度水平'!E38</x:f>
        <x:v>248.69402985074626</x:v>
      </x:c>
      <x:c r="T221" s="6" t="n">
        <x:f>P221/'浓度水平'!E34</x:f>
        <x:v>2.6666666666666665</x:v>
      </x:c>
      <x:c r="U221" s="6" t="n">
        <x:f>Q221/'浓度水平'!E44</x:f>
        <x:v>102.46377578001058</x:v>
      </x:c>
      <x:c r="V221" s="6" t="n">
        <x:f>R221/'浓度水平'!E45</x:f>
        <x:v>2</x:v>
      </x:c>
      <x:c r="W221" s="6" t="n">
        <x:f>O221*'固定基底'!$B$4/1000</x:f>
        <x:v>133.3</x:v>
      </x:c>
      <x:c r="X221" s="6" t="n">
        <x:f>P221*'固定基底'!$B$4/1000</x:f>
        <x:v>144</x:v>
      </x:c>
      <x:c r="Y221" s="6" t="n">
        <x:f>Q221*'固定基底'!$B$4/1000</x:f>
        <x:v>3875.18</x:v>
      </x:c>
      <x:c r="Z221" s="6" t="n">
        <x:f>R221*'固定基底'!$B$4/1000</x:f>
        <x:v>0.72</x:v>
      </x:c>
      <x:c r="AA221" s="2" t="n">
        <x:f>'固定基底'!$C$7</x:f>
        <x:v>92796.92267241378</x:v>
      </x:c>
      <x:c r="AB221" s="2" t="n">
        <x:f>'固定基底'!$C$8</x:f>
        <x:v>104175.5097553192</x:v>
      </x:c>
      <x:c r="AC221" s="2" t="n">
        <x:f>'固定基底'!$E$7</x:f>
        <x:v>1855.9384534482756</x:v>
      </x:c>
      <x:c r="AD221" s="2" t="n">
        <x:f>'固定基底'!$E$8</x:f>
        <x:v>2083.510195106384</x:v>
      </x:c>
    </x:row>
    <x:row r="222" ht="25" customHeight="1">
      <x:c r="A222" s="5" t="str">
        <x:v>G08-24</x:v>
      </x:c>
      <x:c r="B222" s="5" t="str">
        <x:v>G08</x:v>
      </x:c>
      <x:c r="C222" s="5" t="str">
        <x:v>BBD</x:v>
      </x:c>
      <x:c r="D222" s="5" t="str">
        <x:v>拟合</x:v>
      </x:c>
      <x:c r="E222" s="5" t="str">
        <x:v>边点</x:v>
      </x:c>
      <x:c r="F222" s="5" t="str"/>
      <x:c r="G222" s="5" t="str">
        <x:v>戊酸乙酯</x:v>
      </x:c>
      <x:c r="H222" s="5" t="str">
        <x:v>辛酸</x:v>
      </x:c>
      <x:c r="I222" s="5" t="str">
        <x:v>己酸己酯</x:v>
      </x:c>
      <x:c r="J222" s="5" t="str">
        <x:v>2-甲基丁酸乙酯</x:v>
      </x:c>
      <x:c r="K222" s="5" t="str">
        <x:v>M</x:v>
      </x:c>
      <x:c r="L222" s="5" t="str">
        <x:v>M</x:v>
      </x:c>
      <x:c r="M222" s="5" t="str">
        <x:v>H</x:v>
      </x:c>
      <x:c r="N222" s="5" t="str">
        <x:v>H</x:v>
      </x:c>
      <x:c r="O222" s="6" t="n">
        <x:f>'浓度水平'!G38</x:f>
        <x:v>6665</x:v>
      </x:c>
      <x:c r="P222" s="6" t="n">
        <x:f>'浓度水平'!G34</x:f>
        <x:v>7200</x:v>
      </x:c>
      <x:c r="Q222" s="6" t="n">
        <x:f>'浓度水平'!H44</x:f>
        <x:v>193759</x:v>
      </x:c>
      <x:c r="R222" s="6" t="n">
        <x:f>'浓度水平'!H45</x:f>
        <x:v>1611</x:v>
      </x:c>
      <x:c r="S222" s="6" t="n">
        <x:f>O222/'浓度水平'!E38</x:f>
        <x:v>248.69402985074626</x:v>
      </x:c>
      <x:c r="T222" s="6" t="n">
        <x:f>P222/'浓度水平'!E34</x:f>
        <x:v>2.6666666666666665</x:v>
      </x:c>
      <x:c r="U222" s="6" t="n">
        <x:f>Q222/'浓度水平'!E44</x:f>
        <x:v>102.46377578001058</x:v>
      </x:c>
      <x:c r="V222" s="6" t="n">
        <x:f>R222/'浓度水平'!E45</x:f>
        <x:v>89.5</x:v>
      </x:c>
      <x:c r="W222" s="6" t="n">
        <x:f>O222*'固定基底'!$B$4/1000</x:f>
        <x:v>133.3</x:v>
      </x:c>
      <x:c r="X222" s="6" t="n">
        <x:f>P222*'固定基底'!$B$4/1000</x:f>
        <x:v>144</x:v>
      </x:c>
      <x:c r="Y222" s="6" t="n">
        <x:f>Q222*'固定基底'!$B$4/1000</x:f>
        <x:v>3875.18</x:v>
      </x:c>
      <x:c r="Z222" s="6" t="n">
        <x:f>R222*'固定基底'!$B$4/1000</x:f>
        <x:v>32.22</x:v>
      </x:c>
      <x:c r="AA222" s="2" t="n">
        <x:f>'固定基底'!$C$7</x:f>
        <x:v>92796.92267241378</x:v>
      </x:c>
      <x:c r="AB222" s="2" t="n">
        <x:f>'固定基底'!$C$8</x:f>
        <x:v>104175.5097553192</x:v>
      </x:c>
      <x:c r="AC222" s="2" t="n">
        <x:f>'固定基底'!$E$7</x:f>
        <x:v>1855.9384534482756</x:v>
      </x:c>
      <x:c r="AD222" s="2" t="n">
        <x:f>'固定基底'!$E$8</x:f>
        <x:v>2083.510195106384</x:v>
      </x:c>
    </x:row>
    <x:row r="223" ht="25" customHeight="1">
      <x:c r="A223" s="5" t="str">
        <x:v>G08-25</x:v>
      </x:c>
      <x:c r="B223" s="5" t="str">
        <x:v>G08</x:v>
      </x:c>
      <x:c r="C223" s="5" t="str">
        <x:v>BBD</x:v>
      </x:c>
      <x:c r="D223" s="5" t="str">
        <x:v>拟合</x:v>
      </x:c>
      <x:c r="E223" s="5" t="str">
        <x:v>中心点独立配制</x:v>
      </x:c>
      <x:c r="F223" s="5" t="str"/>
      <x:c r="G223" s="5" t="str">
        <x:v>戊酸乙酯</x:v>
      </x:c>
      <x:c r="H223" s="5" t="str">
        <x:v>辛酸</x:v>
      </x:c>
      <x:c r="I223" s="5" t="str">
        <x:v>己酸己酯</x:v>
      </x:c>
      <x:c r="J223" s="5" t="str">
        <x:v>2-甲基丁酸乙酯</x:v>
      </x:c>
      <x:c r="K223" s="5" t="str">
        <x:v>M</x:v>
      </x:c>
      <x:c r="L223" s="5" t="str">
        <x:v>M</x:v>
      </x:c>
      <x:c r="M223" s="5" t="str">
        <x:v>M</x:v>
      </x:c>
      <x:c r="N223" s="5" t="str">
        <x:v>M</x:v>
      </x:c>
      <x:c r="O223" s="6" t="n">
        <x:f>'浓度水平'!G38</x:f>
        <x:v>6665</x:v>
      </x:c>
      <x:c r="P223" s="6" t="n">
        <x:f>'浓度水平'!G34</x:f>
        <x:v>7200</x:v>
      </x:c>
      <x:c r="Q223" s="6" t="n">
        <x:f>'浓度水平'!G44</x:f>
        <x:v>6441.62</x:v>
      </x:c>
      <x:c r="R223" s="6" t="n">
        <x:f>'浓度水平'!G45</x:f>
        <x:v>464</x:v>
      </x:c>
      <x:c r="S223" s="6" t="n">
        <x:f>O223/'浓度水平'!E38</x:f>
        <x:v>248.69402985074626</x:v>
      </x:c>
      <x:c r="T223" s="6" t="n">
        <x:f>P223/'浓度水平'!E34</x:f>
        <x:v>2.6666666666666665</x:v>
      </x:c>
      <x:c r="U223" s="6" t="n">
        <x:f>Q223/'浓度水平'!E44</x:f>
        <x:v>3.4064621893178213</x:v>
      </x:c>
      <x:c r="V223" s="6" t="n">
        <x:f>R223/'浓度水平'!E45</x:f>
        <x:v>25.77777777777778</x:v>
      </x:c>
      <x:c r="W223" s="6" t="n">
        <x:f>O223*'固定基底'!$B$4/1000</x:f>
        <x:v>133.3</x:v>
      </x:c>
      <x:c r="X223" s="6" t="n">
        <x:f>P223*'固定基底'!$B$4/1000</x:f>
        <x:v>144</x:v>
      </x:c>
      <x:c r="Y223" s="6" t="n">
        <x:f>Q223*'固定基底'!$B$4/1000</x:f>
        <x:v>128.8324</x:v>
      </x:c>
      <x:c r="Z223" s="6" t="n">
        <x:f>R223*'固定基底'!$B$4/1000</x:f>
        <x:v>9.28</x:v>
      </x:c>
      <x:c r="AA223" s="2" t="n">
        <x:f>'固定基底'!$C$7</x:f>
        <x:v>92796.92267241378</x:v>
      </x:c>
      <x:c r="AB223" s="2" t="n">
        <x:f>'固定基底'!$C$8</x:f>
        <x:v>104175.5097553192</x:v>
      </x:c>
      <x:c r="AC223" s="2" t="n">
        <x:f>'固定基底'!$E$7</x:f>
        <x:v>1855.9384534482756</x:v>
      </x:c>
      <x:c r="AD223" s="2" t="n">
        <x:f>'固定基底'!$E$8</x:f>
        <x:v>2083.510195106384</x:v>
      </x:c>
    </x:row>
    <x:row r="224" ht="25" customHeight="1">
      <x:c r="A224" s="5" t="str">
        <x:v>G08-26</x:v>
      </x:c>
      <x:c r="B224" s="5" t="str">
        <x:v>G08</x:v>
      </x:c>
      <x:c r="C224" s="5" t="str">
        <x:v>BBD</x:v>
      </x:c>
      <x:c r="D224" s="5" t="str">
        <x:v>拟合</x:v>
      </x:c>
      <x:c r="E224" s="5" t="str">
        <x:v>中心点独立配制</x:v>
      </x:c>
      <x:c r="F224" s="5" t="str">
        <x:v>G08-25</x:v>
      </x:c>
      <x:c r="G224" s="5" t="str">
        <x:v>戊酸乙酯</x:v>
      </x:c>
      <x:c r="H224" s="5" t="str">
        <x:v>辛酸</x:v>
      </x:c>
      <x:c r="I224" s="5" t="str">
        <x:v>己酸己酯</x:v>
      </x:c>
      <x:c r="J224" s="5" t="str">
        <x:v>2-甲基丁酸乙酯</x:v>
      </x:c>
      <x:c r="K224" s="5" t="str">
        <x:v>M</x:v>
      </x:c>
      <x:c r="L224" s="5" t="str">
        <x:v>M</x:v>
      </x:c>
      <x:c r="M224" s="5" t="str">
        <x:v>M</x:v>
      </x:c>
      <x:c r="N224" s="5" t="str">
        <x:v>M</x:v>
      </x:c>
      <x:c r="O224" s="6" t="n">
        <x:f>'浓度水平'!G38</x:f>
        <x:v>6665</x:v>
      </x:c>
      <x:c r="P224" s="6" t="n">
        <x:f>'浓度水平'!G34</x:f>
        <x:v>7200</x:v>
      </x:c>
      <x:c r="Q224" s="6" t="n">
        <x:f>'浓度水平'!G44</x:f>
        <x:v>6441.62</x:v>
      </x:c>
      <x:c r="R224" s="6" t="n">
        <x:f>'浓度水平'!G45</x:f>
        <x:v>464</x:v>
      </x:c>
      <x:c r="S224" s="6" t="n">
        <x:f>O224/'浓度水平'!E38</x:f>
        <x:v>248.69402985074626</x:v>
      </x:c>
      <x:c r="T224" s="6" t="n">
        <x:f>P224/'浓度水平'!E34</x:f>
        <x:v>2.6666666666666665</x:v>
      </x:c>
      <x:c r="U224" s="6" t="n">
        <x:f>Q224/'浓度水平'!E44</x:f>
        <x:v>3.4064621893178213</x:v>
      </x:c>
      <x:c r="V224" s="6" t="n">
        <x:f>R224/'浓度水平'!E45</x:f>
        <x:v>25.77777777777778</x:v>
      </x:c>
      <x:c r="W224" s="6" t="n">
        <x:f>O224*'固定基底'!$B$4/1000</x:f>
        <x:v>133.3</x:v>
      </x:c>
      <x:c r="X224" s="6" t="n">
        <x:f>P224*'固定基底'!$B$4/1000</x:f>
        <x:v>144</x:v>
      </x:c>
      <x:c r="Y224" s="6" t="n">
        <x:f>Q224*'固定基底'!$B$4/1000</x:f>
        <x:v>128.8324</x:v>
      </x:c>
      <x:c r="Z224" s="6" t="n">
        <x:f>R224*'固定基底'!$B$4/1000</x:f>
        <x:v>9.28</x:v>
      </x:c>
      <x:c r="AA224" s="2" t="n">
        <x:f>'固定基底'!$C$7</x:f>
        <x:v>92796.92267241378</x:v>
      </x:c>
      <x:c r="AB224" s="2" t="n">
        <x:f>'固定基底'!$C$8</x:f>
        <x:v>104175.5097553192</x:v>
      </x:c>
      <x:c r="AC224" s="2" t="n">
        <x:f>'固定基底'!$E$7</x:f>
        <x:v>1855.9384534482756</x:v>
      </x:c>
      <x:c r="AD224" s="2" t="n">
        <x:f>'固定基底'!$E$8</x:f>
        <x:v>2083.510195106384</x:v>
      </x:c>
    </x:row>
    <x:row r="225" ht="25" customHeight="1">
      <x:c r="A225" s="5" t="str">
        <x:v>G08-27</x:v>
      </x:c>
      <x:c r="B225" s="5" t="str">
        <x:v>G08</x:v>
      </x:c>
      <x:c r="C225" s="5" t="str">
        <x:v>BBD</x:v>
      </x:c>
      <x:c r="D225" s="5" t="str">
        <x:v>拟合</x:v>
      </x:c>
      <x:c r="E225" s="5" t="str">
        <x:v>中心点独立配制</x:v>
      </x:c>
      <x:c r="F225" s="5" t="str">
        <x:v>G08-25</x:v>
      </x:c>
      <x:c r="G225" s="5" t="str">
        <x:v>戊酸乙酯</x:v>
      </x:c>
      <x:c r="H225" s="5" t="str">
        <x:v>辛酸</x:v>
      </x:c>
      <x:c r="I225" s="5" t="str">
        <x:v>己酸己酯</x:v>
      </x:c>
      <x:c r="J225" s="5" t="str">
        <x:v>2-甲基丁酸乙酯</x:v>
      </x:c>
      <x:c r="K225" s="5" t="str">
        <x:v>M</x:v>
      </x:c>
      <x:c r="L225" s="5" t="str">
        <x:v>M</x:v>
      </x:c>
      <x:c r="M225" s="5" t="str">
        <x:v>M</x:v>
      </x:c>
      <x:c r="N225" s="5" t="str">
        <x:v>M</x:v>
      </x:c>
      <x:c r="O225" s="6" t="n">
        <x:f>'浓度水平'!G38</x:f>
        <x:v>6665</x:v>
      </x:c>
      <x:c r="P225" s="6" t="n">
        <x:f>'浓度水平'!G34</x:f>
        <x:v>7200</x:v>
      </x:c>
      <x:c r="Q225" s="6" t="n">
        <x:f>'浓度水平'!G44</x:f>
        <x:v>6441.62</x:v>
      </x:c>
      <x:c r="R225" s="6" t="n">
        <x:f>'浓度水平'!G45</x:f>
        <x:v>464</x:v>
      </x:c>
      <x:c r="S225" s="6" t="n">
        <x:f>O225/'浓度水平'!E38</x:f>
        <x:v>248.69402985074626</x:v>
      </x:c>
      <x:c r="T225" s="6" t="n">
        <x:f>P225/'浓度水平'!E34</x:f>
        <x:v>2.6666666666666665</x:v>
      </x:c>
      <x:c r="U225" s="6" t="n">
        <x:f>Q225/'浓度水平'!E44</x:f>
        <x:v>3.4064621893178213</x:v>
      </x:c>
      <x:c r="V225" s="6" t="n">
        <x:f>R225/'浓度水平'!E45</x:f>
        <x:v>25.77777777777778</x:v>
      </x:c>
      <x:c r="W225" s="6" t="n">
        <x:f>O225*'固定基底'!$B$4/1000</x:f>
        <x:v>133.3</x:v>
      </x:c>
      <x:c r="X225" s="6" t="n">
        <x:f>P225*'固定基底'!$B$4/1000</x:f>
        <x:v>144</x:v>
      </x:c>
      <x:c r="Y225" s="6" t="n">
        <x:f>Q225*'固定基底'!$B$4/1000</x:f>
        <x:v>128.8324</x:v>
      </x:c>
      <x:c r="Z225" s="6" t="n">
        <x:f>R225*'固定基底'!$B$4/1000</x:f>
        <x:v>9.28</x:v>
      </x:c>
      <x:c r="AA225" s="2" t="n">
        <x:f>'固定基底'!$C$7</x:f>
        <x:v>92796.92267241378</x:v>
      </x:c>
      <x:c r="AB225" s="2" t="n">
        <x:f>'固定基底'!$C$8</x:f>
        <x:v>104175.5097553192</x:v>
      </x:c>
      <x:c r="AC225" s="2" t="n">
        <x:f>'固定基底'!$E$7</x:f>
        <x:v>1855.9384534482756</x:v>
      </x:c>
      <x:c r="AD225" s="2" t="n">
        <x:f>'固定基底'!$E$8</x:f>
        <x:v>2083.510195106384</x:v>
      </x:c>
    </x:row>
    <x:row r="226" ht="25" customHeight="1">
      <x:c r="A226" s="5" t="str">
        <x:v>G09-01</x:v>
      </x:c>
      <x:c r="B226" s="5" t="str">
        <x:v>G09</x:v>
      </x:c>
      <x:c r="C226" s="5" t="str">
        <x:v>BBD</x:v>
      </x:c>
      <x:c r="D226" s="5" t="str">
        <x:v>拟合</x:v>
      </x:c>
      <x:c r="E226" s="5" t="str">
        <x:v>边点</x:v>
      </x:c>
      <x:c r="F226" s="5" t="str"/>
      <x:c r="G226" s="5" t="str">
        <x:v>异丁酸乙酯</x:v>
      </x:c>
      <x:c r="H226" s="5" t="str">
        <x:v>乙醛二乙缩醛</x:v>
      </x:c>
      <x:c r="I226" s="5" t="str">
        <x:v>异戊酸乙酯（3-甲基丁酸乙酯）</x:v>
      </x:c>
      <x:c r="J226" s="5" t="str">
        <x:v>己醛</x:v>
      </x:c>
      <x:c r="K226" s="5" t="str">
        <x:v>L</x:v>
      </x:c>
      <x:c r="L226" s="5" t="str">
        <x:v>L</x:v>
      </x:c>
      <x:c r="M226" s="5" t="str">
        <x:v>M</x:v>
      </x:c>
      <x:c r="N226" s="5" t="str">
        <x:v>M</x:v>
      </x:c>
      <x:c r="O226" s="6" t="n">
        <x:f>'浓度水平'!F13</x:f>
        <x:v>115</x:v>
      </x:c>
      <x:c r="P226" s="6" t="n">
        <x:f>'浓度水平'!F17</x:f>
        <x:v>4180</x:v>
      </x:c>
      <x:c r="Q226" s="6" t="n">
        <x:f>'浓度水平'!G23</x:f>
        <x:v>553</x:v>
      </x:c>
      <x:c r="R226" s="6" t="n">
        <x:f>'浓度水平'!G7</x:f>
        <x:v>788.69</x:v>
      </x:c>
      <x:c r="S226" s="6" t="n">
        <x:f>O226/'浓度水平'!E13</x:f>
        <x:v>2</x:v>
      </x:c>
      <x:c r="T226" s="6" t="n">
        <x:f>P226/'浓度水平'!E17</x:f>
        <x:v>2</x:v>
      </x:c>
      <x:c r="U226" s="6" t="n">
        <x:f>Q226/'浓度水平'!E23</x:f>
        <x:v>80.2612481857765</x:v>
      </x:c>
      <x:c r="V226" s="6" t="n">
        <x:f>R226/'浓度水平'!E7</x:f>
        <x:v>30.929019607843138</x:v>
      </x:c>
      <x:c r="W226" s="6" t="n">
        <x:f>O226*'固定基底'!$B$4/1000</x:f>
        <x:v>2.3</x:v>
      </x:c>
      <x:c r="X226" s="6" t="n">
        <x:f>P226*'固定基底'!$B$4/1000</x:f>
        <x:v>83.6</x:v>
      </x:c>
      <x:c r="Y226" s="6" t="n">
        <x:f>Q226*'固定基底'!$B$4/1000</x:f>
        <x:v>11.06</x:v>
      </x:c>
      <x:c r="Z226" s="6" t="n">
        <x:f>R226*'固定基底'!$B$4/1000</x:f>
        <x:v>15.773800000000001</x:v>
      </x:c>
      <x:c r="AA226" s="2" t="n">
        <x:f>'固定基底'!$C$7</x:f>
        <x:v>92796.92267241378</x:v>
      </x:c>
      <x:c r="AB226" s="2" t="n">
        <x:f>'固定基底'!$C$8</x:f>
        <x:v>104175.5097553192</x:v>
      </x:c>
      <x:c r="AC226" s="2" t="n">
        <x:f>'固定基底'!$E$7</x:f>
        <x:v>1855.9384534482756</x:v>
      </x:c>
      <x:c r="AD226" s="2" t="n">
        <x:f>'固定基底'!$E$8</x:f>
        <x:v>2083.510195106384</x:v>
      </x:c>
    </x:row>
    <x:row r="227" ht="25" customHeight="1">
      <x:c r="A227" s="5" t="str">
        <x:v>G09-02</x:v>
      </x:c>
      <x:c r="B227" s="5" t="str">
        <x:v>G09</x:v>
      </x:c>
      <x:c r="C227" s="5" t="str">
        <x:v>BBD</x:v>
      </x:c>
      <x:c r="D227" s="5" t="str">
        <x:v>拟合</x:v>
      </x:c>
      <x:c r="E227" s="5" t="str">
        <x:v>边点</x:v>
      </x:c>
      <x:c r="F227" s="5" t="str"/>
      <x:c r="G227" s="5" t="str">
        <x:v>异丁酸乙酯</x:v>
      </x:c>
      <x:c r="H227" s="5" t="str">
        <x:v>乙醛二乙缩醛</x:v>
      </x:c>
      <x:c r="I227" s="5" t="str">
        <x:v>异戊酸乙酯（3-甲基丁酸乙酯）</x:v>
      </x:c>
      <x:c r="J227" s="5" t="str">
        <x:v>己醛</x:v>
      </x:c>
      <x:c r="K227" s="5" t="str">
        <x:v>L</x:v>
      </x:c>
      <x:c r="L227" s="5" t="str">
        <x:v>H</x:v>
      </x:c>
      <x:c r="M227" s="5" t="str">
        <x:v>M</x:v>
      </x:c>
      <x:c r="N227" s="5" t="str">
        <x:v>M</x:v>
      </x:c>
      <x:c r="O227" s="6" t="n">
        <x:f>'浓度水平'!F13</x:f>
        <x:v>115</x:v>
      </x:c>
      <x:c r="P227" s="6" t="n">
        <x:f>'浓度水平'!H17</x:f>
        <x:v>784300</x:v>
      </x:c>
      <x:c r="Q227" s="6" t="n">
        <x:f>'浓度水平'!G23</x:f>
        <x:v>553</x:v>
      </x:c>
      <x:c r="R227" s="6" t="n">
        <x:f>'浓度水平'!G7</x:f>
        <x:v>788.69</x:v>
      </x:c>
      <x:c r="S227" s="6" t="n">
        <x:f>O227/'浓度水平'!E13</x:f>
        <x:v>2</x:v>
      </x:c>
      <x:c r="T227" s="6" t="n">
        <x:f>P227/'浓度水平'!E17</x:f>
        <x:v>375.2631578947368</x:v>
      </x:c>
      <x:c r="U227" s="6" t="n">
        <x:f>Q227/'浓度水平'!E23</x:f>
        <x:v>80.2612481857765</x:v>
      </x:c>
      <x:c r="V227" s="6" t="n">
        <x:f>R227/'浓度水平'!E7</x:f>
        <x:v>30.929019607843138</x:v>
      </x:c>
      <x:c r="W227" s="6" t="n">
        <x:f>O227*'固定基底'!$B$4/1000</x:f>
        <x:v>2.3</x:v>
      </x:c>
      <x:c r="X227" s="6" t="n">
        <x:f>P227*'固定基底'!$B$4/1000</x:f>
        <x:v>15686</x:v>
      </x:c>
      <x:c r="Y227" s="6" t="n">
        <x:f>Q227*'固定基底'!$B$4/1000</x:f>
        <x:v>11.06</x:v>
      </x:c>
      <x:c r="Z227" s="6" t="n">
        <x:f>R227*'固定基底'!$B$4/1000</x:f>
        <x:v>15.773800000000001</x:v>
      </x:c>
      <x:c r="AA227" s="2" t="n">
        <x:f>'固定基底'!$C$7</x:f>
        <x:v>92796.92267241378</x:v>
      </x:c>
      <x:c r="AB227" s="2" t="n">
        <x:f>'固定基底'!$C$8</x:f>
        <x:v>104175.5097553192</x:v>
      </x:c>
      <x:c r="AC227" s="2" t="n">
        <x:f>'固定基底'!$E$7</x:f>
        <x:v>1855.9384534482756</x:v>
      </x:c>
      <x:c r="AD227" s="2" t="n">
        <x:f>'固定基底'!$E$8</x:f>
        <x:v>2083.510195106384</x:v>
      </x:c>
    </x:row>
    <x:row r="228" ht="25" customHeight="1">
      <x:c r="A228" s="5" t="str">
        <x:v>G09-03</x:v>
      </x:c>
      <x:c r="B228" s="5" t="str">
        <x:v>G09</x:v>
      </x:c>
      <x:c r="C228" s="5" t="str">
        <x:v>BBD</x:v>
      </x:c>
      <x:c r="D228" s="5" t="str">
        <x:v>拟合</x:v>
      </x:c>
      <x:c r="E228" s="5" t="str">
        <x:v>边点</x:v>
      </x:c>
      <x:c r="F228" s="5" t="str"/>
      <x:c r="G228" s="5" t="str">
        <x:v>异丁酸乙酯</x:v>
      </x:c>
      <x:c r="H228" s="5" t="str">
        <x:v>乙醛二乙缩醛</x:v>
      </x:c>
      <x:c r="I228" s="5" t="str">
        <x:v>异戊酸乙酯（3-甲基丁酸乙酯）</x:v>
      </x:c>
      <x:c r="J228" s="5" t="str">
        <x:v>己醛</x:v>
      </x:c>
      <x:c r="K228" s="5" t="str">
        <x:v>H</x:v>
      </x:c>
      <x:c r="L228" s="5" t="str">
        <x:v>L</x:v>
      </x:c>
      <x:c r="M228" s="5" t="str">
        <x:v>M</x:v>
      </x:c>
      <x:c r="N228" s="5" t="str">
        <x:v>M</x:v>
      </x:c>
      <x:c r="O228" s="6" t="n">
        <x:f>'浓度水平'!H13</x:f>
        <x:v>37489</x:v>
      </x:c>
      <x:c r="P228" s="6" t="n">
        <x:f>'浓度水平'!F17</x:f>
        <x:v>4180</x:v>
      </x:c>
      <x:c r="Q228" s="6" t="n">
        <x:f>'浓度水平'!G23</x:f>
        <x:v>553</x:v>
      </x:c>
      <x:c r="R228" s="6" t="n">
        <x:f>'浓度水平'!G7</x:f>
        <x:v>788.69</x:v>
      </x:c>
      <x:c r="S228" s="6" t="n">
        <x:f>O228/'浓度水平'!E13</x:f>
        <x:v>651.9826086956522</x:v>
      </x:c>
      <x:c r="T228" s="6" t="n">
        <x:f>P228/'浓度水平'!E17</x:f>
        <x:v>2</x:v>
      </x:c>
      <x:c r="U228" s="6" t="n">
        <x:f>Q228/'浓度水平'!E23</x:f>
        <x:v>80.2612481857765</x:v>
      </x:c>
      <x:c r="V228" s="6" t="n">
        <x:f>R228/'浓度水平'!E7</x:f>
        <x:v>30.929019607843138</x:v>
      </x:c>
      <x:c r="W228" s="6" t="n">
        <x:f>O228*'固定基底'!$B$4/1000</x:f>
        <x:v>749.78</x:v>
      </x:c>
      <x:c r="X228" s="6" t="n">
        <x:f>P228*'固定基底'!$B$4/1000</x:f>
        <x:v>83.6</x:v>
      </x:c>
      <x:c r="Y228" s="6" t="n">
        <x:f>Q228*'固定基底'!$B$4/1000</x:f>
        <x:v>11.06</x:v>
      </x:c>
      <x:c r="Z228" s="6" t="n">
        <x:f>R228*'固定基底'!$B$4/1000</x:f>
        <x:v>15.773800000000001</x:v>
      </x:c>
      <x:c r="AA228" s="2" t="n">
        <x:f>'固定基底'!$C$7</x:f>
        <x:v>92796.92267241378</x:v>
      </x:c>
      <x:c r="AB228" s="2" t="n">
        <x:f>'固定基底'!$C$8</x:f>
        <x:v>104175.5097553192</x:v>
      </x:c>
      <x:c r="AC228" s="2" t="n">
        <x:f>'固定基底'!$E$7</x:f>
        <x:v>1855.9384534482756</x:v>
      </x:c>
      <x:c r="AD228" s="2" t="n">
        <x:f>'固定基底'!$E$8</x:f>
        <x:v>2083.510195106384</x:v>
      </x:c>
    </x:row>
    <x:row r="229" ht="25" customHeight="1">
      <x:c r="A229" s="5" t="str">
        <x:v>G09-04</x:v>
      </x:c>
      <x:c r="B229" s="5" t="str">
        <x:v>G09</x:v>
      </x:c>
      <x:c r="C229" s="5" t="str">
        <x:v>BBD</x:v>
      </x:c>
      <x:c r="D229" s="5" t="str">
        <x:v>拟合</x:v>
      </x:c>
      <x:c r="E229" s="5" t="str">
        <x:v>边点</x:v>
      </x:c>
      <x:c r="F229" s="5" t="str"/>
      <x:c r="G229" s="5" t="str">
        <x:v>异丁酸乙酯</x:v>
      </x:c>
      <x:c r="H229" s="5" t="str">
        <x:v>乙醛二乙缩醛</x:v>
      </x:c>
      <x:c r="I229" s="5" t="str">
        <x:v>异戊酸乙酯（3-甲基丁酸乙酯）</x:v>
      </x:c>
      <x:c r="J229" s="5" t="str">
        <x:v>己醛</x:v>
      </x:c>
      <x:c r="K229" s="5" t="str">
        <x:v>H</x:v>
      </x:c>
      <x:c r="L229" s="5" t="str">
        <x:v>H</x:v>
      </x:c>
      <x:c r="M229" s="5" t="str">
        <x:v>M</x:v>
      </x:c>
      <x:c r="N229" s="5" t="str">
        <x:v>M</x:v>
      </x:c>
      <x:c r="O229" s="6" t="n">
        <x:f>'浓度水平'!H13</x:f>
        <x:v>37489</x:v>
      </x:c>
      <x:c r="P229" s="6" t="n">
        <x:f>'浓度水平'!H17</x:f>
        <x:v>784300</x:v>
      </x:c>
      <x:c r="Q229" s="6" t="n">
        <x:f>'浓度水平'!G23</x:f>
        <x:v>553</x:v>
      </x:c>
      <x:c r="R229" s="6" t="n">
        <x:f>'浓度水平'!G7</x:f>
        <x:v>788.69</x:v>
      </x:c>
      <x:c r="S229" s="6" t="n">
        <x:f>O229/'浓度水平'!E13</x:f>
        <x:v>651.9826086956522</x:v>
      </x:c>
      <x:c r="T229" s="6" t="n">
        <x:f>P229/'浓度水平'!E17</x:f>
        <x:v>375.2631578947368</x:v>
      </x:c>
      <x:c r="U229" s="6" t="n">
        <x:f>Q229/'浓度水平'!E23</x:f>
        <x:v>80.2612481857765</x:v>
      </x:c>
      <x:c r="V229" s="6" t="n">
        <x:f>R229/'浓度水平'!E7</x:f>
        <x:v>30.929019607843138</x:v>
      </x:c>
      <x:c r="W229" s="6" t="n">
        <x:f>O229*'固定基底'!$B$4/1000</x:f>
        <x:v>749.78</x:v>
      </x:c>
      <x:c r="X229" s="6" t="n">
        <x:f>P229*'固定基底'!$B$4/1000</x:f>
        <x:v>15686</x:v>
      </x:c>
      <x:c r="Y229" s="6" t="n">
        <x:f>Q229*'固定基底'!$B$4/1000</x:f>
        <x:v>11.06</x:v>
      </x:c>
      <x:c r="Z229" s="6" t="n">
        <x:f>R229*'固定基底'!$B$4/1000</x:f>
        <x:v>15.773800000000001</x:v>
      </x:c>
      <x:c r="AA229" s="2" t="n">
        <x:f>'固定基底'!$C$7</x:f>
        <x:v>92796.92267241378</x:v>
      </x:c>
      <x:c r="AB229" s="2" t="n">
        <x:f>'固定基底'!$C$8</x:f>
        <x:v>104175.5097553192</x:v>
      </x:c>
      <x:c r="AC229" s="2" t="n">
        <x:f>'固定基底'!$E$7</x:f>
        <x:v>1855.9384534482756</x:v>
      </x:c>
      <x:c r="AD229" s="2" t="n">
        <x:f>'固定基底'!$E$8</x:f>
        <x:v>2083.510195106384</x:v>
      </x:c>
    </x:row>
    <x:row r="230" ht="25" customHeight="1">
      <x:c r="A230" s="5" t="str">
        <x:v>G09-05</x:v>
      </x:c>
      <x:c r="B230" s="5" t="str">
        <x:v>G09</x:v>
      </x:c>
      <x:c r="C230" s="5" t="str">
        <x:v>BBD</x:v>
      </x:c>
      <x:c r="D230" s="5" t="str">
        <x:v>拟合</x:v>
      </x:c>
      <x:c r="E230" s="5" t="str">
        <x:v>边点</x:v>
      </x:c>
      <x:c r="F230" s="5" t="str"/>
      <x:c r="G230" s="5" t="str">
        <x:v>异丁酸乙酯</x:v>
      </x:c>
      <x:c r="H230" s="5" t="str">
        <x:v>乙醛二乙缩醛</x:v>
      </x:c>
      <x:c r="I230" s="5" t="str">
        <x:v>异戊酸乙酯（3-甲基丁酸乙酯）</x:v>
      </x:c>
      <x:c r="J230" s="5" t="str">
        <x:v>己醛</x:v>
      </x:c>
      <x:c r="K230" s="5" t="str">
        <x:v>L</x:v>
      </x:c>
      <x:c r="L230" s="5" t="str">
        <x:v>M</x:v>
      </x:c>
      <x:c r="M230" s="5" t="str">
        <x:v>L</x:v>
      </x:c>
      <x:c r="N230" s="5" t="str">
        <x:v>M</x:v>
      </x:c>
      <x:c r="O230" s="6" t="n">
        <x:f>'浓度水平'!F13</x:f>
        <x:v>115</x:v>
      </x:c>
      <x:c r="P230" s="6" t="n">
        <x:f>'浓度水平'!G17</x:f>
        <x:v>77200</x:v>
      </x:c>
      <x:c r="Q230" s="6" t="n">
        <x:f>'浓度水平'!F23</x:f>
        <x:v>13.78</x:v>
      </x:c>
      <x:c r="R230" s="6" t="n">
        <x:f>'浓度水平'!G7</x:f>
        <x:v>788.69</x:v>
      </x:c>
      <x:c r="S230" s="6" t="n">
        <x:f>O230/'浓度水平'!E13</x:f>
        <x:v>2</x:v>
      </x:c>
      <x:c r="T230" s="6" t="n">
        <x:f>P230/'浓度水平'!E17</x:f>
        <x:v>36.9377990430622</x:v>
      </x:c>
      <x:c r="U230" s="6" t="n">
        <x:f>Q230/'浓度水平'!E23</x:f>
        <x:v>2</x:v>
      </x:c>
      <x:c r="V230" s="6" t="n">
        <x:f>R230/'浓度水平'!E7</x:f>
        <x:v>30.929019607843138</x:v>
      </x:c>
      <x:c r="W230" s="6" t="n">
        <x:f>O230*'固定基底'!$B$4/1000</x:f>
        <x:v>2.3</x:v>
      </x:c>
      <x:c r="X230" s="6" t="n">
        <x:f>P230*'固定基底'!$B$4/1000</x:f>
        <x:v>1544</x:v>
      </x:c>
      <x:c r="Y230" s="6" t="n">
        <x:f>Q230*'固定基底'!$B$4/1000</x:f>
        <x:v>0.27559999999999996</x:v>
      </x:c>
      <x:c r="Z230" s="6" t="n">
        <x:f>R230*'固定基底'!$B$4/1000</x:f>
        <x:v>15.773800000000001</x:v>
      </x:c>
      <x:c r="AA230" s="2" t="n">
        <x:f>'固定基底'!$C$7</x:f>
        <x:v>92796.92267241378</x:v>
      </x:c>
      <x:c r="AB230" s="2" t="n">
        <x:f>'固定基底'!$C$8</x:f>
        <x:v>104175.5097553192</x:v>
      </x:c>
      <x:c r="AC230" s="2" t="n">
        <x:f>'固定基底'!$E$7</x:f>
        <x:v>1855.9384534482756</x:v>
      </x:c>
      <x:c r="AD230" s="2" t="n">
        <x:f>'固定基底'!$E$8</x:f>
        <x:v>2083.510195106384</x:v>
      </x:c>
    </x:row>
    <x:row r="231" ht="25" customHeight="1">
      <x:c r="A231" s="5" t="str">
        <x:v>G09-06</x:v>
      </x:c>
      <x:c r="B231" s="5" t="str">
        <x:v>G09</x:v>
      </x:c>
      <x:c r="C231" s="5" t="str">
        <x:v>BBD</x:v>
      </x:c>
      <x:c r="D231" s="5" t="str">
        <x:v>拟合</x:v>
      </x:c>
      <x:c r="E231" s="5" t="str">
        <x:v>边点</x:v>
      </x:c>
      <x:c r="F231" s="5" t="str"/>
      <x:c r="G231" s="5" t="str">
        <x:v>异丁酸乙酯</x:v>
      </x:c>
      <x:c r="H231" s="5" t="str">
        <x:v>乙醛二乙缩醛</x:v>
      </x:c>
      <x:c r="I231" s="5" t="str">
        <x:v>异戊酸乙酯（3-甲基丁酸乙酯）</x:v>
      </x:c>
      <x:c r="J231" s="5" t="str">
        <x:v>己醛</x:v>
      </x:c>
      <x:c r="K231" s="5" t="str">
        <x:v>L</x:v>
      </x:c>
      <x:c r="L231" s="5" t="str">
        <x:v>M</x:v>
      </x:c>
      <x:c r="M231" s="5" t="str">
        <x:v>H</x:v>
      </x:c>
      <x:c r="N231" s="5" t="str">
        <x:v>M</x:v>
      </x:c>
      <x:c r="O231" s="6" t="n">
        <x:f>'浓度水平'!F13</x:f>
        <x:v>115</x:v>
      </x:c>
      <x:c r="P231" s="6" t="n">
        <x:f>'浓度水平'!G17</x:f>
        <x:v>77200</x:v>
      </x:c>
      <x:c r="Q231" s="6" t="n">
        <x:f>'浓度水平'!H23</x:f>
        <x:v>12022.2</x:v>
      </x:c>
      <x:c r="R231" s="6" t="n">
        <x:f>'浓度水平'!G7</x:f>
        <x:v>788.69</x:v>
      </x:c>
      <x:c r="S231" s="6" t="n">
        <x:f>O231/'浓度水平'!E13</x:f>
        <x:v>2</x:v>
      </x:c>
      <x:c r="T231" s="6" t="n">
        <x:f>P231/'浓度水平'!E17</x:f>
        <x:v>36.9377990430622</x:v>
      </x:c>
      <x:c r="U231" s="6" t="n">
        <x:f>Q231/'浓度水平'!E23</x:f>
        <x:v>1744.8766328011613</x:v>
      </x:c>
      <x:c r="V231" s="6" t="n">
        <x:f>R231/'浓度水平'!E7</x:f>
        <x:v>30.929019607843138</x:v>
      </x:c>
      <x:c r="W231" s="6" t="n">
        <x:f>O231*'固定基底'!$B$4/1000</x:f>
        <x:v>2.3</x:v>
      </x:c>
      <x:c r="X231" s="6" t="n">
        <x:f>P231*'固定基底'!$B$4/1000</x:f>
        <x:v>1544</x:v>
      </x:c>
      <x:c r="Y231" s="6" t="n">
        <x:f>Q231*'固定基底'!$B$4/1000</x:f>
        <x:v>240.444</x:v>
      </x:c>
      <x:c r="Z231" s="6" t="n">
        <x:f>R231*'固定基底'!$B$4/1000</x:f>
        <x:v>15.773800000000001</x:v>
      </x:c>
      <x:c r="AA231" s="2" t="n">
        <x:f>'固定基底'!$C$7</x:f>
        <x:v>92796.92267241378</x:v>
      </x:c>
      <x:c r="AB231" s="2" t="n">
        <x:f>'固定基底'!$C$8</x:f>
        <x:v>104175.5097553192</x:v>
      </x:c>
      <x:c r="AC231" s="2" t="n">
        <x:f>'固定基底'!$E$7</x:f>
        <x:v>1855.9384534482756</x:v>
      </x:c>
      <x:c r="AD231" s="2" t="n">
        <x:f>'固定基底'!$E$8</x:f>
        <x:v>2083.510195106384</x:v>
      </x:c>
    </x:row>
    <x:row r="232" ht="25" customHeight="1">
      <x:c r="A232" s="5" t="str">
        <x:v>G09-07</x:v>
      </x:c>
      <x:c r="B232" s="5" t="str">
        <x:v>G09</x:v>
      </x:c>
      <x:c r="C232" s="5" t="str">
        <x:v>BBD</x:v>
      </x:c>
      <x:c r="D232" s="5" t="str">
        <x:v>拟合</x:v>
      </x:c>
      <x:c r="E232" s="5" t="str">
        <x:v>边点</x:v>
      </x:c>
      <x:c r="F232" s="5" t="str"/>
      <x:c r="G232" s="5" t="str">
        <x:v>异丁酸乙酯</x:v>
      </x:c>
      <x:c r="H232" s="5" t="str">
        <x:v>乙醛二乙缩醛</x:v>
      </x:c>
      <x:c r="I232" s="5" t="str">
        <x:v>异戊酸乙酯（3-甲基丁酸乙酯）</x:v>
      </x:c>
      <x:c r="J232" s="5" t="str">
        <x:v>己醛</x:v>
      </x:c>
      <x:c r="K232" s="5" t="str">
        <x:v>H</x:v>
      </x:c>
      <x:c r="L232" s="5" t="str">
        <x:v>M</x:v>
      </x:c>
      <x:c r="M232" s="5" t="str">
        <x:v>L</x:v>
      </x:c>
      <x:c r="N232" s="5" t="str">
        <x:v>M</x:v>
      </x:c>
      <x:c r="O232" s="6" t="n">
        <x:f>'浓度水平'!H13</x:f>
        <x:v>37489</x:v>
      </x:c>
      <x:c r="P232" s="6" t="n">
        <x:f>'浓度水平'!G17</x:f>
        <x:v>77200</x:v>
      </x:c>
      <x:c r="Q232" s="6" t="n">
        <x:f>'浓度水平'!F23</x:f>
        <x:v>13.78</x:v>
      </x:c>
      <x:c r="R232" s="6" t="n">
        <x:f>'浓度水平'!G7</x:f>
        <x:v>788.69</x:v>
      </x:c>
      <x:c r="S232" s="6" t="n">
        <x:f>O232/'浓度水平'!E13</x:f>
        <x:v>651.9826086956522</x:v>
      </x:c>
      <x:c r="T232" s="6" t="n">
        <x:f>P232/'浓度水平'!E17</x:f>
        <x:v>36.9377990430622</x:v>
      </x:c>
      <x:c r="U232" s="6" t="n">
        <x:f>Q232/'浓度水平'!E23</x:f>
        <x:v>2</x:v>
      </x:c>
      <x:c r="V232" s="6" t="n">
        <x:f>R232/'浓度水平'!E7</x:f>
        <x:v>30.929019607843138</x:v>
      </x:c>
      <x:c r="W232" s="6" t="n">
        <x:f>O232*'固定基底'!$B$4/1000</x:f>
        <x:v>749.78</x:v>
      </x:c>
      <x:c r="X232" s="6" t="n">
        <x:f>P232*'固定基底'!$B$4/1000</x:f>
        <x:v>1544</x:v>
      </x:c>
      <x:c r="Y232" s="6" t="n">
        <x:f>Q232*'固定基底'!$B$4/1000</x:f>
        <x:v>0.27559999999999996</x:v>
      </x:c>
      <x:c r="Z232" s="6" t="n">
        <x:f>R232*'固定基底'!$B$4/1000</x:f>
        <x:v>15.773800000000001</x:v>
      </x:c>
      <x:c r="AA232" s="2" t="n">
        <x:f>'固定基底'!$C$7</x:f>
        <x:v>92796.92267241378</x:v>
      </x:c>
      <x:c r="AB232" s="2" t="n">
        <x:f>'固定基底'!$C$8</x:f>
        <x:v>104175.5097553192</x:v>
      </x:c>
      <x:c r="AC232" s="2" t="n">
        <x:f>'固定基底'!$E$7</x:f>
        <x:v>1855.9384534482756</x:v>
      </x:c>
      <x:c r="AD232" s="2" t="n">
        <x:f>'固定基底'!$E$8</x:f>
        <x:v>2083.510195106384</x:v>
      </x:c>
    </x:row>
    <x:row r="233" ht="25" customHeight="1">
      <x:c r="A233" s="5" t="str">
        <x:v>G09-08</x:v>
      </x:c>
      <x:c r="B233" s="5" t="str">
        <x:v>G09</x:v>
      </x:c>
      <x:c r="C233" s="5" t="str">
        <x:v>BBD</x:v>
      </x:c>
      <x:c r="D233" s="5" t="str">
        <x:v>拟合</x:v>
      </x:c>
      <x:c r="E233" s="5" t="str">
        <x:v>边点</x:v>
      </x:c>
      <x:c r="F233" s="5" t="str"/>
      <x:c r="G233" s="5" t="str">
        <x:v>异丁酸乙酯</x:v>
      </x:c>
      <x:c r="H233" s="5" t="str">
        <x:v>乙醛二乙缩醛</x:v>
      </x:c>
      <x:c r="I233" s="5" t="str">
        <x:v>异戊酸乙酯（3-甲基丁酸乙酯）</x:v>
      </x:c>
      <x:c r="J233" s="5" t="str">
        <x:v>己醛</x:v>
      </x:c>
      <x:c r="K233" s="5" t="str">
        <x:v>H</x:v>
      </x:c>
      <x:c r="L233" s="5" t="str">
        <x:v>M</x:v>
      </x:c>
      <x:c r="M233" s="5" t="str">
        <x:v>H</x:v>
      </x:c>
      <x:c r="N233" s="5" t="str">
        <x:v>M</x:v>
      </x:c>
      <x:c r="O233" s="6" t="n">
        <x:f>'浓度水平'!H13</x:f>
        <x:v>37489</x:v>
      </x:c>
      <x:c r="P233" s="6" t="n">
        <x:f>'浓度水平'!G17</x:f>
        <x:v>77200</x:v>
      </x:c>
      <x:c r="Q233" s="6" t="n">
        <x:f>'浓度水平'!H23</x:f>
        <x:v>12022.2</x:v>
      </x:c>
      <x:c r="R233" s="6" t="n">
        <x:f>'浓度水平'!G7</x:f>
        <x:v>788.69</x:v>
      </x:c>
      <x:c r="S233" s="6" t="n">
        <x:f>O233/'浓度水平'!E13</x:f>
        <x:v>651.9826086956522</x:v>
      </x:c>
      <x:c r="T233" s="6" t="n">
        <x:f>P233/'浓度水平'!E17</x:f>
        <x:v>36.9377990430622</x:v>
      </x:c>
      <x:c r="U233" s="6" t="n">
        <x:f>Q233/'浓度水平'!E23</x:f>
        <x:v>1744.8766328011613</x:v>
      </x:c>
      <x:c r="V233" s="6" t="n">
        <x:f>R233/'浓度水平'!E7</x:f>
        <x:v>30.929019607843138</x:v>
      </x:c>
      <x:c r="W233" s="6" t="n">
        <x:f>O233*'固定基底'!$B$4/1000</x:f>
        <x:v>749.78</x:v>
      </x:c>
      <x:c r="X233" s="6" t="n">
        <x:f>P233*'固定基底'!$B$4/1000</x:f>
        <x:v>1544</x:v>
      </x:c>
      <x:c r="Y233" s="6" t="n">
        <x:f>Q233*'固定基底'!$B$4/1000</x:f>
        <x:v>240.444</x:v>
      </x:c>
      <x:c r="Z233" s="6" t="n">
        <x:f>R233*'固定基底'!$B$4/1000</x:f>
        <x:v>15.773800000000001</x:v>
      </x:c>
      <x:c r="AA233" s="2" t="n">
        <x:f>'固定基底'!$C$7</x:f>
        <x:v>92796.92267241378</x:v>
      </x:c>
      <x:c r="AB233" s="2" t="n">
        <x:f>'固定基底'!$C$8</x:f>
        <x:v>104175.5097553192</x:v>
      </x:c>
      <x:c r="AC233" s="2" t="n">
        <x:f>'固定基底'!$E$7</x:f>
        <x:v>1855.9384534482756</x:v>
      </x:c>
      <x:c r="AD233" s="2" t="n">
        <x:f>'固定基底'!$E$8</x:f>
        <x:v>2083.510195106384</x:v>
      </x:c>
    </x:row>
    <x:row r="234" ht="25" customHeight="1">
      <x:c r="A234" s="5" t="str">
        <x:v>G09-09</x:v>
      </x:c>
      <x:c r="B234" s="5" t="str">
        <x:v>G09</x:v>
      </x:c>
      <x:c r="C234" s="5" t="str">
        <x:v>BBD</x:v>
      </x:c>
      <x:c r="D234" s="5" t="str">
        <x:v>拟合</x:v>
      </x:c>
      <x:c r="E234" s="5" t="str">
        <x:v>边点</x:v>
      </x:c>
      <x:c r="F234" s="5" t="str"/>
      <x:c r="G234" s="5" t="str">
        <x:v>异丁酸乙酯</x:v>
      </x:c>
      <x:c r="H234" s="5" t="str">
        <x:v>乙醛二乙缩醛</x:v>
      </x:c>
      <x:c r="I234" s="5" t="str">
        <x:v>异戊酸乙酯（3-甲基丁酸乙酯）</x:v>
      </x:c>
      <x:c r="J234" s="5" t="str">
        <x:v>己醛</x:v>
      </x:c>
      <x:c r="K234" s="5" t="str">
        <x:v>L</x:v>
      </x:c>
      <x:c r="L234" s="5" t="str">
        <x:v>M</x:v>
      </x:c>
      <x:c r="M234" s="5" t="str">
        <x:v>M</x:v>
      </x:c>
      <x:c r="N234" s="5" t="str">
        <x:v>L</x:v>
      </x:c>
      <x:c r="O234" s="6" t="n">
        <x:f>'浓度水平'!F13</x:f>
        <x:v>115</x:v>
      </x:c>
      <x:c r="P234" s="6" t="n">
        <x:f>'浓度水平'!G17</x:f>
        <x:v>77200</x:v>
      </x:c>
      <x:c r="Q234" s="6" t="n">
        <x:f>'浓度水平'!G23</x:f>
        <x:v>553</x:v>
      </x:c>
      <x:c r="R234" s="6" t="n">
        <x:f>'浓度水平'!F7</x:f>
        <x:v>51</x:v>
      </x:c>
      <x:c r="S234" s="6" t="n">
        <x:f>O234/'浓度水平'!E13</x:f>
        <x:v>2</x:v>
      </x:c>
      <x:c r="T234" s="6" t="n">
        <x:f>P234/'浓度水平'!E17</x:f>
        <x:v>36.9377990430622</x:v>
      </x:c>
      <x:c r="U234" s="6" t="n">
        <x:f>Q234/'浓度水平'!E23</x:f>
        <x:v>80.2612481857765</x:v>
      </x:c>
      <x:c r="V234" s="6" t="n">
        <x:f>R234/'浓度水平'!E7</x:f>
        <x:v>2</x:v>
      </x:c>
      <x:c r="W234" s="6" t="n">
        <x:f>O234*'固定基底'!$B$4/1000</x:f>
        <x:v>2.3</x:v>
      </x:c>
      <x:c r="X234" s="6" t="n">
        <x:f>P234*'固定基底'!$B$4/1000</x:f>
        <x:v>1544</x:v>
      </x:c>
      <x:c r="Y234" s="6" t="n">
        <x:f>Q234*'固定基底'!$B$4/1000</x:f>
        <x:v>11.06</x:v>
      </x:c>
      <x:c r="Z234" s="6" t="n">
        <x:f>R234*'固定基底'!$B$4/1000</x:f>
        <x:v>1.02</x:v>
      </x:c>
      <x:c r="AA234" s="2" t="n">
        <x:f>'固定基底'!$C$7</x:f>
        <x:v>92796.92267241378</x:v>
      </x:c>
      <x:c r="AB234" s="2" t="n">
        <x:f>'固定基底'!$C$8</x:f>
        <x:v>104175.5097553192</x:v>
      </x:c>
      <x:c r="AC234" s="2" t="n">
        <x:f>'固定基底'!$E$7</x:f>
        <x:v>1855.9384534482756</x:v>
      </x:c>
      <x:c r="AD234" s="2" t="n">
        <x:f>'固定基底'!$E$8</x:f>
        <x:v>2083.510195106384</x:v>
      </x:c>
    </x:row>
    <x:row r="235" ht="25" customHeight="1">
      <x:c r="A235" s="5" t="str">
        <x:v>G09-10</x:v>
      </x:c>
      <x:c r="B235" s="5" t="str">
        <x:v>G09</x:v>
      </x:c>
      <x:c r="C235" s="5" t="str">
        <x:v>BBD</x:v>
      </x:c>
      <x:c r="D235" s="5" t="str">
        <x:v>拟合</x:v>
      </x:c>
      <x:c r="E235" s="5" t="str">
        <x:v>边点</x:v>
      </x:c>
      <x:c r="F235" s="5" t="str"/>
      <x:c r="G235" s="5" t="str">
        <x:v>异丁酸乙酯</x:v>
      </x:c>
      <x:c r="H235" s="5" t="str">
        <x:v>乙醛二乙缩醛</x:v>
      </x:c>
      <x:c r="I235" s="5" t="str">
        <x:v>异戊酸乙酯（3-甲基丁酸乙酯）</x:v>
      </x:c>
      <x:c r="J235" s="5" t="str">
        <x:v>己醛</x:v>
      </x:c>
      <x:c r="K235" s="5" t="str">
        <x:v>L</x:v>
      </x:c>
      <x:c r="L235" s="5" t="str">
        <x:v>M</x:v>
      </x:c>
      <x:c r="M235" s="5" t="str">
        <x:v>M</x:v>
      </x:c>
      <x:c r="N235" s="5" t="str">
        <x:v>H</x:v>
      </x:c>
      <x:c r="O235" s="6" t="n">
        <x:f>'浓度水平'!F13</x:f>
        <x:v>115</x:v>
      </x:c>
      <x:c r="P235" s="6" t="n">
        <x:f>'浓度水平'!G17</x:f>
        <x:v>77200</x:v>
      </x:c>
      <x:c r="Q235" s="6" t="n">
        <x:f>'浓度水平'!G23</x:f>
        <x:v>553</x:v>
      </x:c>
      <x:c r="R235" s="6" t="n">
        <x:f>'浓度水平'!H7</x:f>
        <x:v>3075.94</x:v>
      </x:c>
      <x:c r="S235" s="6" t="n">
        <x:f>O235/'浓度水平'!E13</x:f>
        <x:v>2</x:v>
      </x:c>
      <x:c r="T235" s="6" t="n">
        <x:f>P235/'浓度水平'!E17</x:f>
        <x:v>36.9377990430622</x:v>
      </x:c>
      <x:c r="U235" s="6" t="n">
        <x:f>Q235/'浓度水平'!E23</x:f>
        <x:v>80.2612481857765</x:v>
      </x:c>
      <x:c r="V235" s="6" t="n">
        <x:f>R235/'浓度水平'!E7</x:f>
        <x:v>120.62509803921569</x:v>
      </x:c>
      <x:c r="W235" s="6" t="n">
        <x:f>O235*'固定基底'!$B$4/1000</x:f>
        <x:v>2.3</x:v>
      </x:c>
      <x:c r="X235" s="6" t="n">
        <x:f>P235*'固定基底'!$B$4/1000</x:f>
        <x:v>1544</x:v>
      </x:c>
      <x:c r="Y235" s="6" t="n">
        <x:f>Q235*'固定基底'!$B$4/1000</x:f>
        <x:v>11.06</x:v>
      </x:c>
      <x:c r="Z235" s="6" t="n">
        <x:f>R235*'固定基底'!$B$4/1000</x:f>
        <x:v>61.518800000000006</x:v>
      </x:c>
      <x:c r="AA235" s="2" t="n">
        <x:f>'固定基底'!$C$7</x:f>
        <x:v>92796.92267241378</x:v>
      </x:c>
      <x:c r="AB235" s="2" t="n">
        <x:f>'固定基底'!$C$8</x:f>
        <x:v>104175.5097553192</x:v>
      </x:c>
      <x:c r="AC235" s="2" t="n">
        <x:f>'固定基底'!$E$7</x:f>
        <x:v>1855.9384534482756</x:v>
      </x:c>
      <x:c r="AD235" s="2" t="n">
        <x:f>'固定基底'!$E$8</x:f>
        <x:v>2083.510195106384</x:v>
      </x:c>
    </x:row>
    <x:row r="236" ht="25" customHeight="1">
      <x:c r="A236" s="5" t="str">
        <x:v>G09-11</x:v>
      </x:c>
      <x:c r="B236" s="5" t="str">
        <x:v>G09</x:v>
      </x:c>
      <x:c r="C236" s="5" t="str">
        <x:v>BBD</x:v>
      </x:c>
      <x:c r="D236" s="5" t="str">
        <x:v>拟合</x:v>
      </x:c>
      <x:c r="E236" s="5" t="str">
        <x:v>边点</x:v>
      </x:c>
      <x:c r="F236" s="5" t="str"/>
      <x:c r="G236" s="5" t="str">
        <x:v>异丁酸乙酯</x:v>
      </x:c>
      <x:c r="H236" s="5" t="str">
        <x:v>乙醛二乙缩醛</x:v>
      </x:c>
      <x:c r="I236" s="5" t="str">
        <x:v>异戊酸乙酯（3-甲基丁酸乙酯）</x:v>
      </x:c>
      <x:c r="J236" s="5" t="str">
        <x:v>己醛</x:v>
      </x:c>
      <x:c r="K236" s="5" t="str">
        <x:v>H</x:v>
      </x:c>
      <x:c r="L236" s="5" t="str">
        <x:v>M</x:v>
      </x:c>
      <x:c r="M236" s="5" t="str">
        <x:v>M</x:v>
      </x:c>
      <x:c r="N236" s="5" t="str">
        <x:v>L</x:v>
      </x:c>
      <x:c r="O236" s="6" t="n">
        <x:f>'浓度水平'!H13</x:f>
        <x:v>37489</x:v>
      </x:c>
      <x:c r="P236" s="6" t="n">
        <x:f>'浓度水平'!G17</x:f>
        <x:v>77200</x:v>
      </x:c>
      <x:c r="Q236" s="6" t="n">
        <x:f>'浓度水平'!G23</x:f>
        <x:v>553</x:v>
      </x:c>
      <x:c r="R236" s="6" t="n">
        <x:f>'浓度水平'!F7</x:f>
        <x:v>51</x:v>
      </x:c>
      <x:c r="S236" s="6" t="n">
        <x:f>O236/'浓度水平'!E13</x:f>
        <x:v>651.9826086956522</x:v>
      </x:c>
      <x:c r="T236" s="6" t="n">
        <x:f>P236/'浓度水平'!E17</x:f>
        <x:v>36.9377990430622</x:v>
      </x:c>
      <x:c r="U236" s="6" t="n">
        <x:f>Q236/'浓度水平'!E23</x:f>
        <x:v>80.2612481857765</x:v>
      </x:c>
      <x:c r="V236" s="6" t="n">
        <x:f>R236/'浓度水平'!E7</x:f>
        <x:v>2</x:v>
      </x:c>
      <x:c r="W236" s="6" t="n">
        <x:f>O236*'固定基底'!$B$4/1000</x:f>
        <x:v>749.78</x:v>
      </x:c>
      <x:c r="X236" s="6" t="n">
        <x:f>P236*'固定基底'!$B$4/1000</x:f>
        <x:v>1544</x:v>
      </x:c>
      <x:c r="Y236" s="6" t="n">
        <x:f>Q236*'固定基底'!$B$4/1000</x:f>
        <x:v>11.06</x:v>
      </x:c>
      <x:c r="Z236" s="6" t="n">
        <x:f>R236*'固定基底'!$B$4/1000</x:f>
        <x:v>1.02</x:v>
      </x:c>
      <x:c r="AA236" s="2" t="n">
        <x:f>'固定基底'!$C$7</x:f>
        <x:v>92796.92267241378</x:v>
      </x:c>
      <x:c r="AB236" s="2" t="n">
        <x:f>'固定基底'!$C$8</x:f>
        <x:v>104175.5097553192</x:v>
      </x:c>
      <x:c r="AC236" s="2" t="n">
        <x:f>'固定基底'!$E$7</x:f>
        <x:v>1855.9384534482756</x:v>
      </x:c>
      <x:c r="AD236" s="2" t="n">
        <x:f>'固定基底'!$E$8</x:f>
        <x:v>2083.510195106384</x:v>
      </x:c>
    </x:row>
    <x:row r="237" ht="25" customHeight="1">
      <x:c r="A237" s="5" t="str">
        <x:v>G09-12</x:v>
      </x:c>
      <x:c r="B237" s="5" t="str">
        <x:v>G09</x:v>
      </x:c>
      <x:c r="C237" s="5" t="str">
        <x:v>BBD</x:v>
      </x:c>
      <x:c r="D237" s="5" t="str">
        <x:v>拟合</x:v>
      </x:c>
      <x:c r="E237" s="5" t="str">
        <x:v>边点</x:v>
      </x:c>
      <x:c r="F237" s="5" t="str"/>
      <x:c r="G237" s="5" t="str">
        <x:v>异丁酸乙酯</x:v>
      </x:c>
      <x:c r="H237" s="5" t="str">
        <x:v>乙醛二乙缩醛</x:v>
      </x:c>
      <x:c r="I237" s="5" t="str">
        <x:v>异戊酸乙酯（3-甲基丁酸乙酯）</x:v>
      </x:c>
      <x:c r="J237" s="5" t="str">
        <x:v>己醛</x:v>
      </x:c>
      <x:c r="K237" s="5" t="str">
        <x:v>H</x:v>
      </x:c>
      <x:c r="L237" s="5" t="str">
        <x:v>M</x:v>
      </x:c>
      <x:c r="M237" s="5" t="str">
        <x:v>M</x:v>
      </x:c>
      <x:c r="N237" s="5" t="str">
        <x:v>H</x:v>
      </x:c>
      <x:c r="O237" s="6" t="n">
        <x:f>'浓度水平'!H13</x:f>
        <x:v>37489</x:v>
      </x:c>
      <x:c r="P237" s="6" t="n">
        <x:f>'浓度水平'!G17</x:f>
        <x:v>77200</x:v>
      </x:c>
      <x:c r="Q237" s="6" t="n">
        <x:f>'浓度水平'!G23</x:f>
        <x:v>553</x:v>
      </x:c>
      <x:c r="R237" s="6" t="n">
        <x:f>'浓度水平'!H7</x:f>
        <x:v>3075.94</x:v>
      </x:c>
      <x:c r="S237" s="6" t="n">
        <x:f>O237/'浓度水平'!E13</x:f>
        <x:v>651.9826086956522</x:v>
      </x:c>
      <x:c r="T237" s="6" t="n">
        <x:f>P237/'浓度水平'!E17</x:f>
        <x:v>36.9377990430622</x:v>
      </x:c>
      <x:c r="U237" s="6" t="n">
        <x:f>Q237/'浓度水平'!E23</x:f>
        <x:v>80.2612481857765</x:v>
      </x:c>
      <x:c r="V237" s="6" t="n">
        <x:f>R237/'浓度水平'!E7</x:f>
        <x:v>120.62509803921569</x:v>
      </x:c>
      <x:c r="W237" s="6" t="n">
        <x:f>O237*'固定基底'!$B$4/1000</x:f>
        <x:v>749.78</x:v>
      </x:c>
      <x:c r="X237" s="6" t="n">
        <x:f>P237*'固定基底'!$B$4/1000</x:f>
        <x:v>1544</x:v>
      </x:c>
      <x:c r="Y237" s="6" t="n">
        <x:f>Q237*'固定基底'!$B$4/1000</x:f>
        <x:v>11.06</x:v>
      </x:c>
      <x:c r="Z237" s="6" t="n">
        <x:f>R237*'固定基底'!$B$4/1000</x:f>
        <x:v>61.518800000000006</x:v>
      </x:c>
      <x:c r="AA237" s="2" t="n">
        <x:f>'固定基底'!$C$7</x:f>
        <x:v>92796.92267241378</x:v>
      </x:c>
      <x:c r="AB237" s="2" t="n">
        <x:f>'固定基底'!$C$8</x:f>
        <x:v>104175.5097553192</x:v>
      </x:c>
      <x:c r="AC237" s="2" t="n">
        <x:f>'固定基底'!$E$7</x:f>
        <x:v>1855.9384534482756</x:v>
      </x:c>
      <x:c r="AD237" s="2" t="n">
        <x:f>'固定基底'!$E$8</x:f>
        <x:v>2083.510195106384</x:v>
      </x:c>
    </x:row>
    <x:row r="238" ht="25" customHeight="1">
      <x:c r="A238" s="5" t="str">
        <x:v>G09-13</x:v>
      </x:c>
      <x:c r="B238" s="5" t="str">
        <x:v>G09</x:v>
      </x:c>
      <x:c r="C238" s="5" t="str">
        <x:v>BBD</x:v>
      </x:c>
      <x:c r="D238" s="5" t="str">
        <x:v>拟合</x:v>
      </x:c>
      <x:c r="E238" s="5" t="str">
        <x:v>边点</x:v>
      </x:c>
      <x:c r="F238" s="5" t="str"/>
      <x:c r="G238" s="5" t="str">
        <x:v>异丁酸乙酯</x:v>
      </x:c>
      <x:c r="H238" s="5" t="str">
        <x:v>乙醛二乙缩醛</x:v>
      </x:c>
      <x:c r="I238" s="5" t="str">
        <x:v>异戊酸乙酯（3-甲基丁酸乙酯）</x:v>
      </x:c>
      <x:c r="J238" s="5" t="str">
        <x:v>己醛</x:v>
      </x:c>
      <x:c r="K238" s="5" t="str">
        <x:v>M</x:v>
      </x:c>
      <x:c r="L238" s="5" t="str">
        <x:v>L</x:v>
      </x:c>
      <x:c r="M238" s="5" t="str">
        <x:v>L</x:v>
      </x:c>
      <x:c r="N238" s="5" t="str">
        <x:v>M</x:v>
      </x:c>
      <x:c r="O238" s="6" t="n">
        <x:f>'浓度水平'!G13</x:f>
        <x:v>2894.4</x:v>
      </x:c>
      <x:c r="P238" s="6" t="n">
        <x:f>'浓度水平'!F17</x:f>
        <x:v>4180</x:v>
      </x:c>
      <x:c r="Q238" s="6" t="n">
        <x:f>'浓度水平'!F23</x:f>
        <x:v>13.78</x:v>
      </x:c>
      <x:c r="R238" s="6" t="n">
        <x:f>'浓度水平'!G7</x:f>
        <x:v>788.69</x:v>
      </x:c>
      <x:c r="S238" s="6" t="n">
        <x:f>O238/'浓度水平'!E13</x:f>
        <x:v>50.337391304347825</x:v>
      </x:c>
      <x:c r="T238" s="6" t="n">
        <x:f>P238/'浓度水平'!E17</x:f>
        <x:v>2</x:v>
      </x:c>
      <x:c r="U238" s="6" t="n">
        <x:f>Q238/'浓度水平'!E23</x:f>
        <x:v>2</x:v>
      </x:c>
      <x:c r="V238" s="6" t="n">
        <x:f>R238/'浓度水平'!E7</x:f>
        <x:v>30.929019607843138</x:v>
      </x:c>
      <x:c r="W238" s="6" t="n">
        <x:f>O238*'固定基底'!$B$4/1000</x:f>
        <x:v>57.888</x:v>
      </x:c>
      <x:c r="X238" s="6" t="n">
        <x:f>P238*'固定基底'!$B$4/1000</x:f>
        <x:v>83.6</x:v>
      </x:c>
      <x:c r="Y238" s="6" t="n">
        <x:f>Q238*'固定基底'!$B$4/1000</x:f>
        <x:v>0.27559999999999996</x:v>
      </x:c>
      <x:c r="Z238" s="6" t="n">
        <x:f>R238*'固定基底'!$B$4/1000</x:f>
        <x:v>15.773800000000001</x:v>
      </x:c>
      <x:c r="AA238" s="2" t="n">
        <x:f>'固定基底'!$C$7</x:f>
        <x:v>92796.92267241378</x:v>
      </x:c>
      <x:c r="AB238" s="2" t="n">
        <x:f>'固定基底'!$C$8</x:f>
        <x:v>104175.5097553192</x:v>
      </x:c>
      <x:c r="AC238" s="2" t="n">
        <x:f>'固定基底'!$E$7</x:f>
        <x:v>1855.9384534482756</x:v>
      </x:c>
      <x:c r="AD238" s="2" t="n">
        <x:f>'固定基底'!$E$8</x:f>
        <x:v>2083.510195106384</x:v>
      </x:c>
    </x:row>
    <x:row r="239" ht="25" customHeight="1">
      <x:c r="A239" s="5" t="str">
        <x:v>G09-14</x:v>
      </x:c>
      <x:c r="B239" s="5" t="str">
        <x:v>G09</x:v>
      </x:c>
      <x:c r="C239" s="5" t="str">
        <x:v>BBD</x:v>
      </x:c>
      <x:c r="D239" s="5" t="str">
        <x:v>拟合</x:v>
      </x:c>
      <x:c r="E239" s="5" t="str">
        <x:v>边点</x:v>
      </x:c>
      <x:c r="F239" s="5" t="str"/>
      <x:c r="G239" s="5" t="str">
        <x:v>异丁酸乙酯</x:v>
      </x:c>
      <x:c r="H239" s="5" t="str">
        <x:v>乙醛二乙缩醛</x:v>
      </x:c>
      <x:c r="I239" s="5" t="str">
        <x:v>异戊酸乙酯（3-甲基丁酸乙酯）</x:v>
      </x:c>
      <x:c r="J239" s="5" t="str">
        <x:v>己醛</x:v>
      </x:c>
      <x:c r="K239" s="5" t="str">
        <x:v>M</x:v>
      </x:c>
      <x:c r="L239" s="5" t="str">
        <x:v>L</x:v>
      </x:c>
      <x:c r="M239" s="5" t="str">
        <x:v>H</x:v>
      </x:c>
      <x:c r="N239" s="5" t="str">
        <x:v>M</x:v>
      </x:c>
      <x:c r="O239" s="6" t="n">
        <x:f>'浓度水平'!G13</x:f>
        <x:v>2894.4</x:v>
      </x:c>
      <x:c r="P239" s="6" t="n">
        <x:f>'浓度水平'!F17</x:f>
        <x:v>4180</x:v>
      </x:c>
      <x:c r="Q239" s="6" t="n">
        <x:f>'浓度水平'!H23</x:f>
        <x:v>12022.2</x:v>
      </x:c>
      <x:c r="R239" s="6" t="n">
        <x:f>'浓度水平'!G7</x:f>
        <x:v>788.69</x:v>
      </x:c>
      <x:c r="S239" s="6" t="n">
        <x:f>O239/'浓度水平'!E13</x:f>
        <x:v>50.337391304347825</x:v>
      </x:c>
      <x:c r="T239" s="6" t="n">
        <x:f>P239/'浓度水平'!E17</x:f>
        <x:v>2</x:v>
      </x:c>
      <x:c r="U239" s="6" t="n">
        <x:f>Q239/'浓度水平'!E23</x:f>
        <x:v>1744.8766328011613</x:v>
      </x:c>
      <x:c r="V239" s="6" t="n">
        <x:f>R239/'浓度水平'!E7</x:f>
        <x:v>30.929019607843138</x:v>
      </x:c>
      <x:c r="W239" s="6" t="n">
        <x:f>O239*'固定基底'!$B$4/1000</x:f>
        <x:v>57.888</x:v>
      </x:c>
      <x:c r="X239" s="6" t="n">
        <x:f>P239*'固定基底'!$B$4/1000</x:f>
        <x:v>83.6</x:v>
      </x:c>
      <x:c r="Y239" s="6" t="n">
        <x:f>Q239*'固定基底'!$B$4/1000</x:f>
        <x:v>240.444</x:v>
      </x:c>
      <x:c r="Z239" s="6" t="n">
        <x:f>R239*'固定基底'!$B$4/1000</x:f>
        <x:v>15.773800000000001</x:v>
      </x:c>
      <x:c r="AA239" s="2" t="n">
        <x:f>'固定基底'!$C$7</x:f>
        <x:v>92796.92267241378</x:v>
      </x:c>
      <x:c r="AB239" s="2" t="n">
        <x:f>'固定基底'!$C$8</x:f>
        <x:v>104175.5097553192</x:v>
      </x:c>
      <x:c r="AC239" s="2" t="n">
        <x:f>'固定基底'!$E$7</x:f>
        <x:v>1855.9384534482756</x:v>
      </x:c>
      <x:c r="AD239" s="2" t="n">
        <x:f>'固定基底'!$E$8</x:f>
        <x:v>2083.510195106384</x:v>
      </x:c>
    </x:row>
    <x:row r="240" ht="25" customHeight="1">
      <x:c r="A240" s="5" t="str">
        <x:v>G09-15</x:v>
      </x:c>
      <x:c r="B240" s="5" t="str">
        <x:v>G09</x:v>
      </x:c>
      <x:c r="C240" s="5" t="str">
        <x:v>BBD</x:v>
      </x:c>
      <x:c r="D240" s="5" t="str">
        <x:v>拟合</x:v>
      </x:c>
      <x:c r="E240" s="5" t="str">
        <x:v>边点</x:v>
      </x:c>
      <x:c r="F240" s="5" t="str"/>
      <x:c r="G240" s="5" t="str">
        <x:v>异丁酸乙酯</x:v>
      </x:c>
      <x:c r="H240" s="5" t="str">
        <x:v>乙醛二乙缩醛</x:v>
      </x:c>
      <x:c r="I240" s="5" t="str">
        <x:v>异戊酸乙酯（3-甲基丁酸乙酯）</x:v>
      </x:c>
      <x:c r="J240" s="5" t="str">
        <x:v>己醛</x:v>
      </x:c>
      <x:c r="K240" s="5" t="str">
        <x:v>M</x:v>
      </x:c>
      <x:c r="L240" s="5" t="str">
        <x:v>H</x:v>
      </x:c>
      <x:c r="M240" s="5" t="str">
        <x:v>L</x:v>
      </x:c>
      <x:c r="N240" s="5" t="str">
        <x:v>M</x:v>
      </x:c>
      <x:c r="O240" s="6" t="n">
        <x:f>'浓度水平'!G13</x:f>
        <x:v>2894.4</x:v>
      </x:c>
      <x:c r="P240" s="6" t="n">
        <x:f>'浓度水平'!H17</x:f>
        <x:v>784300</x:v>
      </x:c>
      <x:c r="Q240" s="6" t="n">
        <x:f>'浓度水平'!F23</x:f>
        <x:v>13.78</x:v>
      </x:c>
      <x:c r="R240" s="6" t="n">
        <x:f>'浓度水平'!G7</x:f>
        <x:v>788.69</x:v>
      </x:c>
      <x:c r="S240" s="6" t="n">
        <x:f>O240/'浓度水平'!E13</x:f>
        <x:v>50.337391304347825</x:v>
      </x:c>
      <x:c r="T240" s="6" t="n">
        <x:f>P240/'浓度水平'!E17</x:f>
        <x:v>375.2631578947368</x:v>
      </x:c>
      <x:c r="U240" s="6" t="n">
        <x:f>Q240/'浓度水平'!E23</x:f>
        <x:v>2</x:v>
      </x:c>
      <x:c r="V240" s="6" t="n">
        <x:f>R240/'浓度水平'!E7</x:f>
        <x:v>30.929019607843138</x:v>
      </x:c>
      <x:c r="W240" s="6" t="n">
        <x:f>O240*'固定基底'!$B$4/1000</x:f>
        <x:v>57.888</x:v>
      </x:c>
      <x:c r="X240" s="6" t="n">
        <x:f>P240*'固定基底'!$B$4/1000</x:f>
        <x:v>15686</x:v>
      </x:c>
      <x:c r="Y240" s="6" t="n">
        <x:f>Q240*'固定基底'!$B$4/1000</x:f>
        <x:v>0.27559999999999996</x:v>
      </x:c>
      <x:c r="Z240" s="6" t="n">
        <x:f>R240*'固定基底'!$B$4/1000</x:f>
        <x:v>15.773800000000001</x:v>
      </x:c>
      <x:c r="AA240" s="2" t="n">
        <x:f>'固定基底'!$C$7</x:f>
        <x:v>92796.92267241378</x:v>
      </x:c>
      <x:c r="AB240" s="2" t="n">
        <x:f>'固定基底'!$C$8</x:f>
        <x:v>104175.5097553192</x:v>
      </x:c>
      <x:c r="AC240" s="2" t="n">
        <x:f>'固定基底'!$E$7</x:f>
        <x:v>1855.9384534482756</x:v>
      </x:c>
      <x:c r="AD240" s="2" t="n">
        <x:f>'固定基底'!$E$8</x:f>
        <x:v>2083.510195106384</x:v>
      </x:c>
    </x:row>
    <x:row r="241" ht="25" customHeight="1">
      <x:c r="A241" s="5" t="str">
        <x:v>G09-16</x:v>
      </x:c>
      <x:c r="B241" s="5" t="str">
        <x:v>G09</x:v>
      </x:c>
      <x:c r="C241" s="5" t="str">
        <x:v>BBD</x:v>
      </x:c>
      <x:c r="D241" s="5" t="str">
        <x:v>拟合</x:v>
      </x:c>
      <x:c r="E241" s="5" t="str">
        <x:v>边点</x:v>
      </x:c>
      <x:c r="F241" s="5" t="str"/>
      <x:c r="G241" s="5" t="str">
        <x:v>异丁酸乙酯</x:v>
      </x:c>
      <x:c r="H241" s="5" t="str">
        <x:v>乙醛二乙缩醛</x:v>
      </x:c>
      <x:c r="I241" s="5" t="str">
        <x:v>异戊酸乙酯（3-甲基丁酸乙酯）</x:v>
      </x:c>
      <x:c r="J241" s="5" t="str">
        <x:v>己醛</x:v>
      </x:c>
      <x:c r="K241" s="5" t="str">
        <x:v>M</x:v>
      </x:c>
      <x:c r="L241" s="5" t="str">
        <x:v>H</x:v>
      </x:c>
      <x:c r="M241" s="5" t="str">
        <x:v>H</x:v>
      </x:c>
      <x:c r="N241" s="5" t="str">
        <x:v>M</x:v>
      </x:c>
      <x:c r="O241" s="6" t="n">
        <x:f>'浓度水平'!G13</x:f>
        <x:v>2894.4</x:v>
      </x:c>
      <x:c r="P241" s="6" t="n">
        <x:f>'浓度水平'!H17</x:f>
        <x:v>784300</x:v>
      </x:c>
      <x:c r="Q241" s="6" t="n">
        <x:f>'浓度水平'!H23</x:f>
        <x:v>12022.2</x:v>
      </x:c>
      <x:c r="R241" s="6" t="n">
        <x:f>'浓度水平'!G7</x:f>
        <x:v>788.69</x:v>
      </x:c>
      <x:c r="S241" s="6" t="n">
        <x:f>O241/'浓度水平'!E13</x:f>
        <x:v>50.337391304347825</x:v>
      </x:c>
      <x:c r="T241" s="6" t="n">
        <x:f>P241/'浓度水平'!E17</x:f>
        <x:v>375.2631578947368</x:v>
      </x:c>
      <x:c r="U241" s="6" t="n">
        <x:f>Q241/'浓度水平'!E23</x:f>
        <x:v>1744.8766328011613</x:v>
      </x:c>
      <x:c r="V241" s="6" t="n">
        <x:f>R241/'浓度水平'!E7</x:f>
        <x:v>30.929019607843138</x:v>
      </x:c>
      <x:c r="W241" s="6" t="n">
        <x:f>O241*'固定基底'!$B$4/1000</x:f>
        <x:v>57.888</x:v>
      </x:c>
      <x:c r="X241" s="6" t="n">
        <x:f>P241*'固定基底'!$B$4/1000</x:f>
        <x:v>15686</x:v>
      </x:c>
      <x:c r="Y241" s="6" t="n">
        <x:f>Q241*'固定基底'!$B$4/1000</x:f>
        <x:v>240.444</x:v>
      </x:c>
      <x:c r="Z241" s="6" t="n">
        <x:f>R241*'固定基底'!$B$4/1000</x:f>
        <x:v>15.773800000000001</x:v>
      </x:c>
      <x:c r="AA241" s="2" t="n">
        <x:f>'固定基底'!$C$7</x:f>
        <x:v>92796.92267241378</x:v>
      </x:c>
      <x:c r="AB241" s="2" t="n">
        <x:f>'固定基底'!$C$8</x:f>
        <x:v>104175.5097553192</x:v>
      </x:c>
      <x:c r="AC241" s="2" t="n">
        <x:f>'固定基底'!$E$7</x:f>
        <x:v>1855.9384534482756</x:v>
      </x:c>
      <x:c r="AD241" s="2" t="n">
        <x:f>'固定基底'!$E$8</x:f>
        <x:v>2083.510195106384</x:v>
      </x:c>
    </x:row>
    <x:row r="242" ht="25" customHeight="1">
      <x:c r="A242" s="5" t="str">
        <x:v>G09-17</x:v>
      </x:c>
      <x:c r="B242" s="5" t="str">
        <x:v>G09</x:v>
      </x:c>
      <x:c r="C242" s="5" t="str">
        <x:v>BBD</x:v>
      </x:c>
      <x:c r="D242" s="5" t="str">
        <x:v>拟合</x:v>
      </x:c>
      <x:c r="E242" s="5" t="str">
        <x:v>边点</x:v>
      </x:c>
      <x:c r="F242" s="5" t="str"/>
      <x:c r="G242" s="5" t="str">
        <x:v>异丁酸乙酯</x:v>
      </x:c>
      <x:c r="H242" s="5" t="str">
        <x:v>乙醛二乙缩醛</x:v>
      </x:c>
      <x:c r="I242" s="5" t="str">
        <x:v>异戊酸乙酯（3-甲基丁酸乙酯）</x:v>
      </x:c>
      <x:c r="J242" s="5" t="str">
        <x:v>己醛</x:v>
      </x:c>
      <x:c r="K242" s="5" t="str">
        <x:v>M</x:v>
      </x:c>
      <x:c r="L242" s="5" t="str">
        <x:v>L</x:v>
      </x:c>
      <x:c r="M242" s="5" t="str">
        <x:v>M</x:v>
      </x:c>
      <x:c r="N242" s="5" t="str">
        <x:v>L</x:v>
      </x:c>
      <x:c r="O242" s="6" t="n">
        <x:f>'浓度水平'!G13</x:f>
        <x:v>2894.4</x:v>
      </x:c>
      <x:c r="P242" s="6" t="n">
        <x:f>'浓度水平'!F17</x:f>
        <x:v>4180</x:v>
      </x:c>
      <x:c r="Q242" s="6" t="n">
        <x:f>'浓度水平'!G23</x:f>
        <x:v>553</x:v>
      </x:c>
      <x:c r="R242" s="6" t="n">
        <x:f>'浓度水平'!F7</x:f>
        <x:v>51</x:v>
      </x:c>
      <x:c r="S242" s="6" t="n">
        <x:f>O242/'浓度水平'!E13</x:f>
        <x:v>50.337391304347825</x:v>
      </x:c>
      <x:c r="T242" s="6" t="n">
        <x:f>P242/'浓度水平'!E17</x:f>
        <x:v>2</x:v>
      </x:c>
      <x:c r="U242" s="6" t="n">
        <x:f>Q242/'浓度水平'!E23</x:f>
        <x:v>80.2612481857765</x:v>
      </x:c>
      <x:c r="V242" s="6" t="n">
        <x:f>R242/'浓度水平'!E7</x:f>
        <x:v>2</x:v>
      </x:c>
      <x:c r="W242" s="6" t="n">
        <x:f>O242*'固定基底'!$B$4/1000</x:f>
        <x:v>57.888</x:v>
      </x:c>
      <x:c r="X242" s="6" t="n">
        <x:f>P242*'固定基底'!$B$4/1000</x:f>
        <x:v>83.6</x:v>
      </x:c>
      <x:c r="Y242" s="6" t="n">
        <x:f>Q242*'固定基底'!$B$4/1000</x:f>
        <x:v>11.06</x:v>
      </x:c>
      <x:c r="Z242" s="6" t="n">
        <x:f>R242*'固定基底'!$B$4/1000</x:f>
        <x:v>1.02</x:v>
      </x:c>
      <x:c r="AA242" s="2" t="n">
        <x:f>'固定基底'!$C$7</x:f>
        <x:v>92796.92267241378</x:v>
      </x:c>
      <x:c r="AB242" s="2" t="n">
        <x:f>'固定基底'!$C$8</x:f>
        <x:v>104175.5097553192</x:v>
      </x:c>
      <x:c r="AC242" s="2" t="n">
        <x:f>'固定基底'!$E$7</x:f>
        <x:v>1855.9384534482756</x:v>
      </x:c>
      <x:c r="AD242" s="2" t="n">
        <x:f>'固定基底'!$E$8</x:f>
        <x:v>2083.510195106384</x:v>
      </x:c>
    </x:row>
    <x:row r="243" ht="25" customHeight="1">
      <x:c r="A243" s="5" t="str">
        <x:v>G09-18</x:v>
      </x:c>
      <x:c r="B243" s="5" t="str">
        <x:v>G09</x:v>
      </x:c>
      <x:c r="C243" s="5" t="str">
        <x:v>BBD</x:v>
      </x:c>
      <x:c r="D243" s="5" t="str">
        <x:v>拟合</x:v>
      </x:c>
      <x:c r="E243" s="5" t="str">
        <x:v>边点</x:v>
      </x:c>
      <x:c r="F243" s="5" t="str"/>
      <x:c r="G243" s="5" t="str">
        <x:v>异丁酸乙酯</x:v>
      </x:c>
      <x:c r="H243" s="5" t="str">
        <x:v>乙醛二乙缩醛</x:v>
      </x:c>
      <x:c r="I243" s="5" t="str">
        <x:v>异戊酸乙酯（3-甲基丁酸乙酯）</x:v>
      </x:c>
      <x:c r="J243" s="5" t="str">
        <x:v>己醛</x:v>
      </x:c>
      <x:c r="K243" s="5" t="str">
        <x:v>M</x:v>
      </x:c>
      <x:c r="L243" s="5" t="str">
        <x:v>L</x:v>
      </x:c>
      <x:c r="M243" s="5" t="str">
        <x:v>M</x:v>
      </x:c>
      <x:c r="N243" s="5" t="str">
        <x:v>H</x:v>
      </x:c>
      <x:c r="O243" s="6" t="n">
        <x:f>'浓度水平'!G13</x:f>
        <x:v>2894.4</x:v>
      </x:c>
      <x:c r="P243" s="6" t="n">
        <x:f>'浓度水平'!F17</x:f>
        <x:v>4180</x:v>
      </x:c>
      <x:c r="Q243" s="6" t="n">
        <x:f>'浓度水平'!G23</x:f>
        <x:v>553</x:v>
      </x:c>
      <x:c r="R243" s="6" t="n">
        <x:f>'浓度水平'!H7</x:f>
        <x:v>3075.94</x:v>
      </x:c>
      <x:c r="S243" s="6" t="n">
        <x:f>O243/'浓度水平'!E13</x:f>
        <x:v>50.337391304347825</x:v>
      </x:c>
      <x:c r="T243" s="6" t="n">
        <x:f>P243/'浓度水平'!E17</x:f>
        <x:v>2</x:v>
      </x:c>
      <x:c r="U243" s="6" t="n">
        <x:f>Q243/'浓度水平'!E23</x:f>
        <x:v>80.2612481857765</x:v>
      </x:c>
      <x:c r="V243" s="6" t="n">
        <x:f>R243/'浓度水平'!E7</x:f>
        <x:v>120.62509803921569</x:v>
      </x:c>
      <x:c r="W243" s="6" t="n">
        <x:f>O243*'固定基底'!$B$4/1000</x:f>
        <x:v>57.888</x:v>
      </x:c>
      <x:c r="X243" s="6" t="n">
        <x:f>P243*'固定基底'!$B$4/1000</x:f>
        <x:v>83.6</x:v>
      </x:c>
      <x:c r="Y243" s="6" t="n">
        <x:f>Q243*'固定基底'!$B$4/1000</x:f>
        <x:v>11.06</x:v>
      </x:c>
      <x:c r="Z243" s="6" t="n">
        <x:f>R243*'固定基底'!$B$4/1000</x:f>
        <x:v>61.518800000000006</x:v>
      </x:c>
      <x:c r="AA243" s="2" t="n">
        <x:f>'固定基底'!$C$7</x:f>
        <x:v>92796.92267241378</x:v>
      </x:c>
      <x:c r="AB243" s="2" t="n">
        <x:f>'固定基底'!$C$8</x:f>
        <x:v>104175.5097553192</x:v>
      </x:c>
      <x:c r="AC243" s="2" t="n">
        <x:f>'固定基底'!$E$7</x:f>
        <x:v>1855.9384534482756</x:v>
      </x:c>
      <x:c r="AD243" s="2" t="n">
        <x:f>'固定基底'!$E$8</x:f>
        <x:v>2083.510195106384</x:v>
      </x:c>
    </x:row>
    <x:row r="244" ht="25" customHeight="1">
      <x:c r="A244" s="5" t="str">
        <x:v>G09-19</x:v>
      </x:c>
      <x:c r="B244" s="5" t="str">
        <x:v>G09</x:v>
      </x:c>
      <x:c r="C244" s="5" t="str">
        <x:v>BBD</x:v>
      </x:c>
      <x:c r="D244" s="5" t="str">
        <x:v>拟合</x:v>
      </x:c>
      <x:c r="E244" s="5" t="str">
        <x:v>边点</x:v>
      </x:c>
      <x:c r="F244" s="5" t="str"/>
      <x:c r="G244" s="5" t="str">
        <x:v>异丁酸乙酯</x:v>
      </x:c>
      <x:c r="H244" s="5" t="str">
        <x:v>乙醛二乙缩醛</x:v>
      </x:c>
      <x:c r="I244" s="5" t="str">
        <x:v>异戊酸乙酯（3-甲基丁酸乙酯）</x:v>
      </x:c>
      <x:c r="J244" s="5" t="str">
        <x:v>己醛</x:v>
      </x:c>
      <x:c r="K244" s="5" t="str">
        <x:v>M</x:v>
      </x:c>
      <x:c r="L244" s="5" t="str">
        <x:v>H</x:v>
      </x:c>
      <x:c r="M244" s="5" t="str">
        <x:v>M</x:v>
      </x:c>
      <x:c r="N244" s="5" t="str">
        <x:v>L</x:v>
      </x:c>
      <x:c r="O244" s="6" t="n">
        <x:f>'浓度水平'!G13</x:f>
        <x:v>2894.4</x:v>
      </x:c>
      <x:c r="P244" s="6" t="n">
        <x:f>'浓度水平'!H17</x:f>
        <x:v>784300</x:v>
      </x:c>
      <x:c r="Q244" s="6" t="n">
        <x:f>'浓度水平'!G23</x:f>
        <x:v>553</x:v>
      </x:c>
      <x:c r="R244" s="6" t="n">
        <x:f>'浓度水平'!F7</x:f>
        <x:v>51</x:v>
      </x:c>
      <x:c r="S244" s="6" t="n">
        <x:f>O244/'浓度水平'!E13</x:f>
        <x:v>50.337391304347825</x:v>
      </x:c>
      <x:c r="T244" s="6" t="n">
        <x:f>P244/'浓度水平'!E17</x:f>
        <x:v>375.2631578947368</x:v>
      </x:c>
      <x:c r="U244" s="6" t="n">
        <x:f>Q244/'浓度水平'!E23</x:f>
        <x:v>80.2612481857765</x:v>
      </x:c>
      <x:c r="V244" s="6" t="n">
        <x:f>R244/'浓度水平'!E7</x:f>
        <x:v>2</x:v>
      </x:c>
      <x:c r="W244" s="6" t="n">
        <x:f>O244*'固定基底'!$B$4/1000</x:f>
        <x:v>57.888</x:v>
      </x:c>
      <x:c r="X244" s="6" t="n">
        <x:f>P244*'固定基底'!$B$4/1000</x:f>
        <x:v>15686</x:v>
      </x:c>
      <x:c r="Y244" s="6" t="n">
        <x:f>Q244*'固定基底'!$B$4/1000</x:f>
        <x:v>11.06</x:v>
      </x:c>
      <x:c r="Z244" s="6" t="n">
        <x:f>R244*'固定基底'!$B$4/1000</x:f>
        <x:v>1.02</x:v>
      </x:c>
      <x:c r="AA244" s="2" t="n">
        <x:f>'固定基底'!$C$7</x:f>
        <x:v>92796.92267241378</x:v>
      </x:c>
      <x:c r="AB244" s="2" t="n">
        <x:f>'固定基底'!$C$8</x:f>
        <x:v>104175.5097553192</x:v>
      </x:c>
      <x:c r="AC244" s="2" t="n">
        <x:f>'固定基底'!$E$7</x:f>
        <x:v>1855.9384534482756</x:v>
      </x:c>
      <x:c r="AD244" s="2" t="n">
        <x:f>'固定基底'!$E$8</x:f>
        <x:v>2083.510195106384</x:v>
      </x:c>
    </x:row>
    <x:row r="245" ht="25" customHeight="1">
      <x:c r="A245" s="5" t="str">
        <x:v>G09-20</x:v>
      </x:c>
      <x:c r="B245" s="5" t="str">
        <x:v>G09</x:v>
      </x:c>
      <x:c r="C245" s="5" t="str">
        <x:v>BBD</x:v>
      </x:c>
      <x:c r="D245" s="5" t="str">
        <x:v>拟合</x:v>
      </x:c>
      <x:c r="E245" s="5" t="str">
        <x:v>边点</x:v>
      </x:c>
      <x:c r="F245" s="5" t="str"/>
      <x:c r="G245" s="5" t="str">
        <x:v>异丁酸乙酯</x:v>
      </x:c>
      <x:c r="H245" s="5" t="str">
        <x:v>乙醛二乙缩醛</x:v>
      </x:c>
      <x:c r="I245" s="5" t="str">
        <x:v>异戊酸乙酯（3-甲基丁酸乙酯）</x:v>
      </x:c>
      <x:c r="J245" s="5" t="str">
        <x:v>己醛</x:v>
      </x:c>
      <x:c r="K245" s="5" t="str">
        <x:v>M</x:v>
      </x:c>
      <x:c r="L245" s="5" t="str">
        <x:v>H</x:v>
      </x:c>
      <x:c r="M245" s="5" t="str">
        <x:v>M</x:v>
      </x:c>
      <x:c r="N245" s="5" t="str">
        <x:v>H</x:v>
      </x:c>
      <x:c r="O245" s="6" t="n">
        <x:f>'浓度水平'!G13</x:f>
        <x:v>2894.4</x:v>
      </x:c>
      <x:c r="P245" s="6" t="n">
        <x:f>'浓度水平'!H17</x:f>
        <x:v>784300</x:v>
      </x:c>
      <x:c r="Q245" s="6" t="n">
        <x:f>'浓度水平'!G23</x:f>
        <x:v>553</x:v>
      </x:c>
      <x:c r="R245" s="6" t="n">
        <x:f>'浓度水平'!H7</x:f>
        <x:v>3075.94</x:v>
      </x:c>
      <x:c r="S245" s="6" t="n">
        <x:f>O245/'浓度水平'!E13</x:f>
        <x:v>50.337391304347825</x:v>
      </x:c>
      <x:c r="T245" s="6" t="n">
        <x:f>P245/'浓度水平'!E17</x:f>
        <x:v>375.2631578947368</x:v>
      </x:c>
      <x:c r="U245" s="6" t="n">
        <x:f>Q245/'浓度水平'!E23</x:f>
        <x:v>80.2612481857765</x:v>
      </x:c>
      <x:c r="V245" s="6" t="n">
        <x:f>R245/'浓度水平'!E7</x:f>
        <x:v>120.62509803921569</x:v>
      </x:c>
      <x:c r="W245" s="6" t="n">
        <x:f>O245*'固定基底'!$B$4/1000</x:f>
        <x:v>57.888</x:v>
      </x:c>
      <x:c r="X245" s="6" t="n">
        <x:f>P245*'固定基底'!$B$4/1000</x:f>
        <x:v>15686</x:v>
      </x:c>
      <x:c r="Y245" s="6" t="n">
        <x:f>Q245*'固定基底'!$B$4/1000</x:f>
        <x:v>11.06</x:v>
      </x:c>
      <x:c r="Z245" s="6" t="n">
        <x:f>R245*'固定基底'!$B$4/1000</x:f>
        <x:v>61.518800000000006</x:v>
      </x:c>
      <x:c r="AA245" s="2" t="n">
        <x:f>'固定基底'!$C$7</x:f>
        <x:v>92796.92267241378</x:v>
      </x:c>
      <x:c r="AB245" s="2" t="n">
        <x:f>'固定基底'!$C$8</x:f>
        <x:v>104175.5097553192</x:v>
      </x:c>
      <x:c r="AC245" s="2" t="n">
        <x:f>'固定基底'!$E$7</x:f>
        <x:v>1855.9384534482756</x:v>
      </x:c>
      <x:c r="AD245" s="2" t="n">
        <x:f>'固定基底'!$E$8</x:f>
        <x:v>2083.510195106384</x:v>
      </x:c>
    </x:row>
    <x:row r="246" ht="25" customHeight="1">
      <x:c r="A246" s="5" t="str">
        <x:v>G09-21</x:v>
      </x:c>
      <x:c r="B246" s="5" t="str">
        <x:v>G09</x:v>
      </x:c>
      <x:c r="C246" s="5" t="str">
        <x:v>BBD</x:v>
      </x:c>
      <x:c r="D246" s="5" t="str">
        <x:v>拟合</x:v>
      </x:c>
      <x:c r="E246" s="5" t="str">
        <x:v>边点</x:v>
      </x:c>
      <x:c r="F246" s="5" t="str"/>
      <x:c r="G246" s="5" t="str">
        <x:v>异丁酸乙酯</x:v>
      </x:c>
      <x:c r="H246" s="5" t="str">
        <x:v>乙醛二乙缩醛</x:v>
      </x:c>
      <x:c r="I246" s="5" t="str">
        <x:v>异戊酸乙酯（3-甲基丁酸乙酯）</x:v>
      </x:c>
      <x:c r="J246" s="5" t="str">
        <x:v>己醛</x:v>
      </x:c>
      <x:c r="K246" s="5" t="str">
        <x:v>M</x:v>
      </x:c>
      <x:c r="L246" s="5" t="str">
        <x:v>M</x:v>
      </x:c>
      <x:c r="M246" s="5" t="str">
        <x:v>L</x:v>
      </x:c>
      <x:c r="N246" s="5" t="str">
        <x:v>L</x:v>
      </x:c>
      <x:c r="O246" s="6" t="n">
        <x:f>'浓度水平'!G13</x:f>
        <x:v>2894.4</x:v>
      </x:c>
      <x:c r="P246" s="6" t="n">
        <x:f>'浓度水平'!G17</x:f>
        <x:v>77200</x:v>
      </x:c>
      <x:c r="Q246" s="6" t="n">
        <x:f>'浓度水平'!F23</x:f>
        <x:v>13.78</x:v>
      </x:c>
      <x:c r="R246" s="6" t="n">
        <x:f>'浓度水平'!F7</x:f>
        <x:v>51</x:v>
      </x:c>
      <x:c r="S246" s="6" t="n">
        <x:f>O246/'浓度水平'!E13</x:f>
        <x:v>50.337391304347825</x:v>
      </x:c>
      <x:c r="T246" s="6" t="n">
        <x:f>P246/'浓度水平'!E17</x:f>
        <x:v>36.9377990430622</x:v>
      </x:c>
      <x:c r="U246" s="6" t="n">
        <x:f>Q246/'浓度水平'!E23</x:f>
        <x:v>2</x:v>
      </x:c>
      <x:c r="V246" s="6" t="n">
        <x:f>R246/'浓度水平'!E7</x:f>
        <x:v>2</x:v>
      </x:c>
      <x:c r="W246" s="6" t="n">
        <x:f>O246*'固定基底'!$B$4/1000</x:f>
        <x:v>57.888</x:v>
      </x:c>
      <x:c r="X246" s="6" t="n">
        <x:f>P246*'固定基底'!$B$4/1000</x:f>
        <x:v>1544</x:v>
      </x:c>
      <x:c r="Y246" s="6" t="n">
        <x:f>Q246*'固定基底'!$B$4/1000</x:f>
        <x:v>0.27559999999999996</x:v>
      </x:c>
      <x:c r="Z246" s="6" t="n">
        <x:f>R246*'固定基底'!$B$4/1000</x:f>
        <x:v>1.02</x:v>
      </x:c>
      <x:c r="AA246" s="2" t="n">
        <x:f>'固定基底'!$C$7</x:f>
        <x:v>92796.92267241378</x:v>
      </x:c>
      <x:c r="AB246" s="2" t="n">
        <x:f>'固定基底'!$C$8</x:f>
        <x:v>104175.5097553192</x:v>
      </x:c>
      <x:c r="AC246" s="2" t="n">
        <x:f>'固定基底'!$E$7</x:f>
        <x:v>1855.9384534482756</x:v>
      </x:c>
      <x:c r="AD246" s="2" t="n">
        <x:f>'固定基底'!$E$8</x:f>
        <x:v>2083.510195106384</x:v>
      </x:c>
    </x:row>
    <x:row r="247" ht="25" customHeight="1">
      <x:c r="A247" s="5" t="str">
        <x:v>G09-22</x:v>
      </x:c>
      <x:c r="B247" s="5" t="str">
        <x:v>G09</x:v>
      </x:c>
      <x:c r="C247" s="5" t="str">
        <x:v>BBD</x:v>
      </x:c>
      <x:c r="D247" s="5" t="str">
        <x:v>拟合</x:v>
      </x:c>
      <x:c r="E247" s="5" t="str">
        <x:v>边点</x:v>
      </x:c>
      <x:c r="F247" s="5" t="str"/>
      <x:c r="G247" s="5" t="str">
        <x:v>异丁酸乙酯</x:v>
      </x:c>
      <x:c r="H247" s="5" t="str">
        <x:v>乙醛二乙缩醛</x:v>
      </x:c>
      <x:c r="I247" s="5" t="str">
        <x:v>异戊酸乙酯（3-甲基丁酸乙酯）</x:v>
      </x:c>
      <x:c r="J247" s="5" t="str">
        <x:v>己醛</x:v>
      </x:c>
      <x:c r="K247" s="5" t="str">
        <x:v>M</x:v>
      </x:c>
      <x:c r="L247" s="5" t="str">
        <x:v>M</x:v>
      </x:c>
      <x:c r="M247" s="5" t="str">
        <x:v>L</x:v>
      </x:c>
      <x:c r="N247" s="5" t="str">
        <x:v>H</x:v>
      </x:c>
      <x:c r="O247" s="6" t="n">
        <x:f>'浓度水平'!G13</x:f>
        <x:v>2894.4</x:v>
      </x:c>
      <x:c r="P247" s="6" t="n">
        <x:f>'浓度水平'!G17</x:f>
        <x:v>77200</x:v>
      </x:c>
      <x:c r="Q247" s="6" t="n">
        <x:f>'浓度水平'!F23</x:f>
        <x:v>13.78</x:v>
      </x:c>
      <x:c r="R247" s="6" t="n">
        <x:f>'浓度水平'!H7</x:f>
        <x:v>3075.94</x:v>
      </x:c>
      <x:c r="S247" s="6" t="n">
        <x:f>O247/'浓度水平'!E13</x:f>
        <x:v>50.337391304347825</x:v>
      </x:c>
      <x:c r="T247" s="6" t="n">
        <x:f>P247/'浓度水平'!E17</x:f>
        <x:v>36.9377990430622</x:v>
      </x:c>
      <x:c r="U247" s="6" t="n">
        <x:f>Q247/'浓度水平'!E23</x:f>
        <x:v>2</x:v>
      </x:c>
      <x:c r="V247" s="6" t="n">
        <x:f>R247/'浓度水平'!E7</x:f>
        <x:v>120.62509803921569</x:v>
      </x:c>
      <x:c r="W247" s="6" t="n">
        <x:f>O247*'固定基底'!$B$4/1000</x:f>
        <x:v>57.888</x:v>
      </x:c>
      <x:c r="X247" s="6" t="n">
        <x:f>P247*'固定基底'!$B$4/1000</x:f>
        <x:v>1544</x:v>
      </x:c>
      <x:c r="Y247" s="6" t="n">
        <x:f>Q247*'固定基底'!$B$4/1000</x:f>
        <x:v>0.27559999999999996</x:v>
      </x:c>
      <x:c r="Z247" s="6" t="n">
        <x:f>R247*'固定基底'!$B$4/1000</x:f>
        <x:v>61.518800000000006</x:v>
      </x:c>
      <x:c r="AA247" s="2" t="n">
        <x:f>'固定基底'!$C$7</x:f>
        <x:v>92796.92267241378</x:v>
      </x:c>
      <x:c r="AB247" s="2" t="n">
        <x:f>'固定基底'!$C$8</x:f>
        <x:v>104175.5097553192</x:v>
      </x:c>
      <x:c r="AC247" s="2" t="n">
        <x:f>'固定基底'!$E$7</x:f>
        <x:v>1855.9384534482756</x:v>
      </x:c>
      <x:c r="AD247" s="2" t="n">
        <x:f>'固定基底'!$E$8</x:f>
        <x:v>2083.510195106384</x:v>
      </x:c>
    </x:row>
    <x:row r="248" ht="25" customHeight="1">
      <x:c r="A248" s="5" t="str">
        <x:v>G09-23</x:v>
      </x:c>
      <x:c r="B248" s="5" t="str">
        <x:v>G09</x:v>
      </x:c>
      <x:c r="C248" s="5" t="str">
        <x:v>BBD</x:v>
      </x:c>
      <x:c r="D248" s="5" t="str">
        <x:v>拟合</x:v>
      </x:c>
      <x:c r="E248" s="5" t="str">
        <x:v>边点</x:v>
      </x:c>
      <x:c r="F248" s="5" t="str"/>
      <x:c r="G248" s="5" t="str">
        <x:v>异丁酸乙酯</x:v>
      </x:c>
      <x:c r="H248" s="5" t="str">
        <x:v>乙醛二乙缩醛</x:v>
      </x:c>
      <x:c r="I248" s="5" t="str">
        <x:v>异戊酸乙酯（3-甲基丁酸乙酯）</x:v>
      </x:c>
      <x:c r="J248" s="5" t="str">
        <x:v>己醛</x:v>
      </x:c>
      <x:c r="K248" s="5" t="str">
        <x:v>M</x:v>
      </x:c>
      <x:c r="L248" s="5" t="str">
        <x:v>M</x:v>
      </x:c>
      <x:c r="M248" s="5" t="str">
        <x:v>H</x:v>
      </x:c>
      <x:c r="N248" s="5" t="str">
        <x:v>L</x:v>
      </x:c>
      <x:c r="O248" s="6" t="n">
        <x:f>'浓度水平'!G13</x:f>
        <x:v>2894.4</x:v>
      </x:c>
      <x:c r="P248" s="6" t="n">
        <x:f>'浓度水平'!G17</x:f>
        <x:v>77200</x:v>
      </x:c>
      <x:c r="Q248" s="6" t="n">
        <x:f>'浓度水平'!H23</x:f>
        <x:v>12022.2</x:v>
      </x:c>
      <x:c r="R248" s="6" t="n">
        <x:f>'浓度水平'!F7</x:f>
        <x:v>51</x:v>
      </x:c>
      <x:c r="S248" s="6" t="n">
        <x:f>O248/'浓度水平'!E13</x:f>
        <x:v>50.337391304347825</x:v>
      </x:c>
      <x:c r="T248" s="6" t="n">
        <x:f>P248/'浓度水平'!E17</x:f>
        <x:v>36.9377990430622</x:v>
      </x:c>
      <x:c r="U248" s="6" t="n">
        <x:f>Q248/'浓度水平'!E23</x:f>
        <x:v>1744.8766328011613</x:v>
      </x:c>
      <x:c r="V248" s="6" t="n">
        <x:f>R248/'浓度水平'!E7</x:f>
        <x:v>2</x:v>
      </x:c>
      <x:c r="W248" s="6" t="n">
        <x:f>O248*'固定基底'!$B$4/1000</x:f>
        <x:v>57.888</x:v>
      </x:c>
      <x:c r="X248" s="6" t="n">
        <x:f>P248*'固定基底'!$B$4/1000</x:f>
        <x:v>1544</x:v>
      </x:c>
      <x:c r="Y248" s="6" t="n">
        <x:f>Q248*'固定基底'!$B$4/1000</x:f>
        <x:v>240.444</x:v>
      </x:c>
      <x:c r="Z248" s="6" t="n">
        <x:f>R248*'固定基底'!$B$4/1000</x:f>
        <x:v>1.02</x:v>
      </x:c>
      <x:c r="AA248" s="2" t="n">
        <x:f>'固定基底'!$C$7</x:f>
        <x:v>92796.92267241378</x:v>
      </x:c>
      <x:c r="AB248" s="2" t="n">
        <x:f>'固定基底'!$C$8</x:f>
        <x:v>104175.5097553192</x:v>
      </x:c>
      <x:c r="AC248" s="2" t="n">
        <x:f>'固定基底'!$E$7</x:f>
        <x:v>1855.9384534482756</x:v>
      </x:c>
      <x:c r="AD248" s="2" t="n">
        <x:f>'固定基底'!$E$8</x:f>
        <x:v>2083.510195106384</x:v>
      </x:c>
    </x:row>
    <x:row r="249" ht="25" customHeight="1">
      <x:c r="A249" s="5" t="str">
        <x:v>G09-24</x:v>
      </x:c>
      <x:c r="B249" s="5" t="str">
        <x:v>G09</x:v>
      </x:c>
      <x:c r="C249" s="5" t="str">
        <x:v>BBD</x:v>
      </x:c>
      <x:c r="D249" s="5" t="str">
        <x:v>拟合</x:v>
      </x:c>
      <x:c r="E249" s="5" t="str">
        <x:v>边点</x:v>
      </x:c>
      <x:c r="F249" s="5" t="str"/>
      <x:c r="G249" s="5" t="str">
        <x:v>异丁酸乙酯</x:v>
      </x:c>
      <x:c r="H249" s="5" t="str">
        <x:v>乙醛二乙缩醛</x:v>
      </x:c>
      <x:c r="I249" s="5" t="str">
        <x:v>异戊酸乙酯（3-甲基丁酸乙酯）</x:v>
      </x:c>
      <x:c r="J249" s="5" t="str">
        <x:v>己醛</x:v>
      </x:c>
      <x:c r="K249" s="5" t="str">
        <x:v>M</x:v>
      </x:c>
      <x:c r="L249" s="5" t="str">
        <x:v>M</x:v>
      </x:c>
      <x:c r="M249" s="5" t="str">
        <x:v>H</x:v>
      </x:c>
      <x:c r="N249" s="5" t="str">
        <x:v>H</x:v>
      </x:c>
      <x:c r="O249" s="6" t="n">
        <x:f>'浓度水平'!G13</x:f>
        <x:v>2894.4</x:v>
      </x:c>
      <x:c r="P249" s="6" t="n">
        <x:f>'浓度水平'!G17</x:f>
        <x:v>77200</x:v>
      </x:c>
      <x:c r="Q249" s="6" t="n">
        <x:f>'浓度水平'!H23</x:f>
        <x:v>12022.2</x:v>
      </x:c>
      <x:c r="R249" s="6" t="n">
        <x:f>'浓度水平'!H7</x:f>
        <x:v>3075.94</x:v>
      </x:c>
      <x:c r="S249" s="6" t="n">
        <x:f>O249/'浓度水平'!E13</x:f>
        <x:v>50.337391304347825</x:v>
      </x:c>
      <x:c r="T249" s="6" t="n">
        <x:f>P249/'浓度水平'!E17</x:f>
        <x:v>36.9377990430622</x:v>
      </x:c>
      <x:c r="U249" s="6" t="n">
        <x:f>Q249/'浓度水平'!E23</x:f>
        <x:v>1744.8766328011613</x:v>
      </x:c>
      <x:c r="V249" s="6" t="n">
        <x:f>R249/'浓度水平'!E7</x:f>
        <x:v>120.62509803921569</x:v>
      </x:c>
      <x:c r="W249" s="6" t="n">
        <x:f>O249*'固定基底'!$B$4/1000</x:f>
        <x:v>57.888</x:v>
      </x:c>
      <x:c r="X249" s="6" t="n">
        <x:f>P249*'固定基底'!$B$4/1000</x:f>
        <x:v>1544</x:v>
      </x:c>
      <x:c r="Y249" s="6" t="n">
        <x:f>Q249*'固定基底'!$B$4/1000</x:f>
        <x:v>240.444</x:v>
      </x:c>
      <x:c r="Z249" s="6" t="n">
        <x:f>R249*'固定基底'!$B$4/1000</x:f>
        <x:v>61.518800000000006</x:v>
      </x:c>
      <x:c r="AA249" s="2" t="n">
        <x:f>'固定基底'!$C$7</x:f>
        <x:v>92796.92267241378</x:v>
      </x:c>
      <x:c r="AB249" s="2" t="n">
        <x:f>'固定基底'!$C$8</x:f>
        <x:v>104175.5097553192</x:v>
      </x:c>
      <x:c r="AC249" s="2" t="n">
        <x:f>'固定基底'!$E$7</x:f>
        <x:v>1855.9384534482756</x:v>
      </x:c>
      <x:c r="AD249" s="2" t="n">
        <x:f>'固定基底'!$E$8</x:f>
        <x:v>2083.510195106384</x:v>
      </x:c>
    </x:row>
    <x:row r="250" ht="25" customHeight="1">
      <x:c r="A250" s="5" t="str">
        <x:v>G09-25</x:v>
      </x:c>
      <x:c r="B250" s="5" t="str">
        <x:v>G09</x:v>
      </x:c>
      <x:c r="C250" s="5" t="str">
        <x:v>BBD</x:v>
      </x:c>
      <x:c r="D250" s="5" t="str">
        <x:v>拟合</x:v>
      </x:c>
      <x:c r="E250" s="5" t="str">
        <x:v>中心点独立配制</x:v>
      </x:c>
      <x:c r="F250" s="5" t="str"/>
      <x:c r="G250" s="5" t="str">
        <x:v>异丁酸乙酯</x:v>
      </x:c>
      <x:c r="H250" s="5" t="str">
        <x:v>乙醛二乙缩醛</x:v>
      </x:c>
      <x:c r="I250" s="5" t="str">
        <x:v>异戊酸乙酯（3-甲基丁酸乙酯）</x:v>
      </x:c>
      <x:c r="J250" s="5" t="str">
        <x:v>己醛</x:v>
      </x:c>
      <x:c r="K250" s="5" t="str">
        <x:v>M</x:v>
      </x:c>
      <x:c r="L250" s="5" t="str">
        <x:v>M</x:v>
      </x:c>
      <x:c r="M250" s="5" t="str">
        <x:v>M</x:v>
      </x:c>
      <x:c r="N250" s="5" t="str">
        <x:v>M</x:v>
      </x:c>
      <x:c r="O250" s="6" t="n">
        <x:f>'浓度水平'!G13</x:f>
        <x:v>2894.4</x:v>
      </x:c>
      <x:c r="P250" s="6" t="n">
        <x:f>'浓度水平'!G17</x:f>
        <x:v>77200</x:v>
      </x:c>
      <x:c r="Q250" s="6" t="n">
        <x:f>'浓度水平'!G23</x:f>
        <x:v>553</x:v>
      </x:c>
      <x:c r="R250" s="6" t="n">
        <x:f>'浓度水平'!G7</x:f>
        <x:v>788.69</x:v>
      </x:c>
      <x:c r="S250" s="6" t="n">
        <x:f>O250/'浓度水平'!E13</x:f>
        <x:v>50.337391304347825</x:v>
      </x:c>
      <x:c r="T250" s="6" t="n">
        <x:f>P250/'浓度水平'!E17</x:f>
        <x:v>36.9377990430622</x:v>
      </x:c>
      <x:c r="U250" s="6" t="n">
        <x:f>Q250/'浓度水平'!E23</x:f>
        <x:v>80.2612481857765</x:v>
      </x:c>
      <x:c r="V250" s="6" t="n">
        <x:f>R250/'浓度水平'!E7</x:f>
        <x:v>30.929019607843138</x:v>
      </x:c>
      <x:c r="W250" s="6" t="n">
        <x:f>O250*'固定基底'!$B$4/1000</x:f>
        <x:v>57.888</x:v>
      </x:c>
      <x:c r="X250" s="6" t="n">
        <x:f>P250*'固定基底'!$B$4/1000</x:f>
        <x:v>1544</x:v>
      </x:c>
      <x:c r="Y250" s="6" t="n">
        <x:f>Q250*'固定基底'!$B$4/1000</x:f>
        <x:v>11.06</x:v>
      </x:c>
      <x:c r="Z250" s="6" t="n">
        <x:f>R250*'固定基底'!$B$4/1000</x:f>
        <x:v>15.773800000000001</x:v>
      </x:c>
      <x:c r="AA250" s="2" t="n">
        <x:f>'固定基底'!$C$7</x:f>
        <x:v>92796.92267241378</x:v>
      </x:c>
      <x:c r="AB250" s="2" t="n">
        <x:f>'固定基底'!$C$8</x:f>
        <x:v>104175.5097553192</x:v>
      </x:c>
      <x:c r="AC250" s="2" t="n">
        <x:f>'固定基底'!$E$7</x:f>
        <x:v>1855.9384534482756</x:v>
      </x:c>
      <x:c r="AD250" s="2" t="n">
        <x:f>'固定基底'!$E$8</x:f>
        <x:v>2083.510195106384</x:v>
      </x:c>
    </x:row>
    <x:row r="251" ht="25" customHeight="1">
      <x:c r="A251" s="5" t="str">
        <x:v>G09-26</x:v>
      </x:c>
      <x:c r="B251" s="5" t="str">
        <x:v>G09</x:v>
      </x:c>
      <x:c r="C251" s="5" t="str">
        <x:v>BBD</x:v>
      </x:c>
      <x:c r="D251" s="5" t="str">
        <x:v>拟合</x:v>
      </x:c>
      <x:c r="E251" s="5" t="str">
        <x:v>中心点独立配制</x:v>
      </x:c>
      <x:c r="F251" s="5" t="str">
        <x:v>G09-25</x:v>
      </x:c>
      <x:c r="G251" s="5" t="str">
        <x:v>异丁酸乙酯</x:v>
      </x:c>
      <x:c r="H251" s="5" t="str">
        <x:v>乙醛二乙缩醛</x:v>
      </x:c>
      <x:c r="I251" s="5" t="str">
        <x:v>异戊酸乙酯（3-甲基丁酸乙酯）</x:v>
      </x:c>
      <x:c r="J251" s="5" t="str">
        <x:v>己醛</x:v>
      </x:c>
      <x:c r="K251" s="5" t="str">
        <x:v>M</x:v>
      </x:c>
      <x:c r="L251" s="5" t="str">
        <x:v>M</x:v>
      </x:c>
      <x:c r="M251" s="5" t="str">
        <x:v>M</x:v>
      </x:c>
      <x:c r="N251" s="5" t="str">
        <x:v>M</x:v>
      </x:c>
      <x:c r="O251" s="6" t="n">
        <x:f>'浓度水平'!G13</x:f>
        <x:v>2894.4</x:v>
      </x:c>
      <x:c r="P251" s="6" t="n">
        <x:f>'浓度水平'!G17</x:f>
        <x:v>77200</x:v>
      </x:c>
      <x:c r="Q251" s="6" t="n">
        <x:f>'浓度水平'!G23</x:f>
        <x:v>553</x:v>
      </x:c>
      <x:c r="R251" s="6" t="n">
        <x:f>'浓度水平'!G7</x:f>
        <x:v>788.69</x:v>
      </x:c>
      <x:c r="S251" s="6" t="n">
        <x:f>O251/'浓度水平'!E13</x:f>
        <x:v>50.337391304347825</x:v>
      </x:c>
      <x:c r="T251" s="6" t="n">
        <x:f>P251/'浓度水平'!E17</x:f>
        <x:v>36.9377990430622</x:v>
      </x:c>
      <x:c r="U251" s="6" t="n">
        <x:f>Q251/'浓度水平'!E23</x:f>
        <x:v>80.2612481857765</x:v>
      </x:c>
      <x:c r="V251" s="6" t="n">
        <x:f>R251/'浓度水平'!E7</x:f>
        <x:v>30.929019607843138</x:v>
      </x:c>
      <x:c r="W251" s="6" t="n">
        <x:f>O251*'固定基底'!$B$4/1000</x:f>
        <x:v>57.888</x:v>
      </x:c>
      <x:c r="X251" s="6" t="n">
        <x:f>P251*'固定基底'!$B$4/1000</x:f>
        <x:v>1544</x:v>
      </x:c>
      <x:c r="Y251" s="6" t="n">
        <x:f>Q251*'固定基底'!$B$4/1000</x:f>
        <x:v>11.06</x:v>
      </x:c>
      <x:c r="Z251" s="6" t="n">
        <x:f>R251*'固定基底'!$B$4/1000</x:f>
        <x:v>15.773800000000001</x:v>
      </x:c>
      <x:c r="AA251" s="2" t="n">
        <x:f>'固定基底'!$C$7</x:f>
        <x:v>92796.92267241378</x:v>
      </x:c>
      <x:c r="AB251" s="2" t="n">
        <x:f>'固定基底'!$C$8</x:f>
        <x:v>104175.5097553192</x:v>
      </x:c>
      <x:c r="AC251" s="2" t="n">
        <x:f>'固定基底'!$E$7</x:f>
        <x:v>1855.9384534482756</x:v>
      </x:c>
      <x:c r="AD251" s="2" t="n">
        <x:f>'固定基底'!$E$8</x:f>
        <x:v>2083.510195106384</x:v>
      </x:c>
    </x:row>
    <x:row r="252" ht="25" customHeight="1">
      <x:c r="A252" s="5" t="str">
        <x:v>G09-27</x:v>
      </x:c>
      <x:c r="B252" s="5" t="str">
        <x:v>G09</x:v>
      </x:c>
      <x:c r="C252" s="5" t="str">
        <x:v>BBD</x:v>
      </x:c>
      <x:c r="D252" s="5" t="str">
        <x:v>拟合</x:v>
      </x:c>
      <x:c r="E252" s="5" t="str">
        <x:v>中心点独立配制</x:v>
      </x:c>
      <x:c r="F252" s="5" t="str">
        <x:v>G09-25</x:v>
      </x:c>
      <x:c r="G252" s="5" t="str">
        <x:v>异丁酸乙酯</x:v>
      </x:c>
      <x:c r="H252" s="5" t="str">
        <x:v>乙醛二乙缩醛</x:v>
      </x:c>
      <x:c r="I252" s="5" t="str">
        <x:v>异戊酸乙酯（3-甲基丁酸乙酯）</x:v>
      </x:c>
      <x:c r="J252" s="5" t="str">
        <x:v>己醛</x:v>
      </x:c>
      <x:c r="K252" s="5" t="str">
        <x:v>M</x:v>
      </x:c>
      <x:c r="L252" s="5" t="str">
        <x:v>M</x:v>
      </x:c>
      <x:c r="M252" s="5" t="str">
        <x:v>M</x:v>
      </x:c>
      <x:c r="N252" s="5" t="str">
        <x:v>M</x:v>
      </x:c>
      <x:c r="O252" s="6" t="n">
        <x:f>'浓度水平'!G13</x:f>
        <x:v>2894.4</x:v>
      </x:c>
      <x:c r="P252" s="6" t="n">
        <x:f>'浓度水平'!G17</x:f>
        <x:v>77200</x:v>
      </x:c>
      <x:c r="Q252" s="6" t="n">
        <x:f>'浓度水平'!G23</x:f>
        <x:v>553</x:v>
      </x:c>
      <x:c r="R252" s="6" t="n">
        <x:f>'浓度水平'!G7</x:f>
        <x:v>788.69</x:v>
      </x:c>
      <x:c r="S252" s="6" t="n">
        <x:f>O252/'浓度水平'!E13</x:f>
        <x:v>50.337391304347825</x:v>
      </x:c>
      <x:c r="T252" s="6" t="n">
        <x:f>P252/'浓度水平'!E17</x:f>
        <x:v>36.9377990430622</x:v>
      </x:c>
      <x:c r="U252" s="6" t="n">
        <x:f>Q252/'浓度水平'!E23</x:f>
        <x:v>80.2612481857765</x:v>
      </x:c>
      <x:c r="V252" s="6" t="n">
        <x:f>R252/'浓度水平'!E7</x:f>
        <x:v>30.929019607843138</x:v>
      </x:c>
      <x:c r="W252" s="6" t="n">
        <x:f>O252*'固定基底'!$B$4/1000</x:f>
        <x:v>57.888</x:v>
      </x:c>
      <x:c r="X252" s="6" t="n">
        <x:f>P252*'固定基底'!$B$4/1000</x:f>
        <x:v>1544</x:v>
      </x:c>
      <x:c r="Y252" s="6" t="n">
        <x:f>Q252*'固定基底'!$B$4/1000</x:f>
        <x:v>11.06</x:v>
      </x:c>
      <x:c r="Z252" s="6" t="n">
        <x:f>R252*'固定基底'!$B$4/1000</x:f>
        <x:v>15.773800000000001</x:v>
      </x:c>
      <x:c r="AA252" s="2" t="n">
        <x:f>'固定基底'!$C$7</x:f>
        <x:v>92796.92267241378</x:v>
      </x:c>
      <x:c r="AB252" s="2" t="n">
        <x:f>'固定基底'!$C$8</x:f>
        <x:v>104175.5097553192</x:v>
      </x:c>
      <x:c r="AC252" s="2" t="n">
        <x:f>'固定基底'!$E$7</x:f>
        <x:v>1855.9384534482756</x:v>
      </x:c>
      <x:c r="AD252" s="2" t="n">
        <x:f>'固定基底'!$E$8</x:f>
        <x:v>2083.510195106384</x:v>
      </x:c>
    </x:row>
    <x:row r="253" ht="25" customHeight="1">
      <x:c r="A253" s="5" t="str">
        <x:v>G10-01</x:v>
      </x:c>
      <x:c r="B253" s="5" t="str">
        <x:v>G10</x:v>
      </x:c>
      <x:c r="C253" s="5" t="str">
        <x:v>BBD</x:v>
      </x:c>
      <x:c r="D253" s="5" t="str">
        <x:v>拟合</x:v>
      </x:c>
      <x:c r="E253" s="5" t="str">
        <x:v>边点</x:v>
      </x:c>
      <x:c r="F253" s="5" t="str"/>
      <x:c r="G253" s="5" t="str">
        <x:v>辛酸乙酯</x:v>
      </x:c>
      <x:c r="H253" s="5" t="str">
        <x:v>对甲酚</x:v>
      </x:c>
      <x:c r="I253" s="5" t="str">
        <x:v>苯乙醛</x:v>
      </x:c>
      <x:c r="J253" s="5" t="str">
        <x:v>β-大马酮</x:v>
      </x:c>
      <x:c r="K253" s="5" t="str">
        <x:v>L</x:v>
      </x:c>
      <x:c r="L253" s="5" t="str">
        <x:v>L</x:v>
      </x:c>
      <x:c r="M253" s="5" t="str">
        <x:v>M</x:v>
      </x:c>
      <x:c r="N253" s="5" t="str">
        <x:v>M</x:v>
      </x:c>
      <x:c r="O253" s="6" t="n">
        <x:f>'浓度水平'!F20</x:f>
        <x:v>25.8</x:v>
      </x:c>
      <x:c r="P253" s="6" t="n">
        <x:f>'浓度水平'!F21</x:f>
        <x:v>334</x:v>
      </x:c>
      <x:c r="Q253" s="6" t="n">
        <x:f>'浓度水平'!G28</x:f>
        <x:v>556.325</x:v>
      </x:c>
      <x:c r="R253" s="6" t="n">
        <x:f>'浓度水平'!G46</x:f>
        <x:v>5.42</x:v>
      </x:c>
      <x:c r="S253" s="6" t="n">
        <x:f>O253/'浓度水平'!E20</x:f>
        <x:v>2</x:v>
      </x:c>
      <x:c r="T253" s="6" t="n">
        <x:f>P253/'浓度水平'!E21</x:f>
        <x:v>2</x:v>
      </x:c>
      <x:c r="U253" s="6" t="n">
        <x:f>Q253/'浓度水平'!E28</x:f>
        <x:v>2.12337786259542</x:v>
      </x:c>
      <x:c r="V253" s="6" t="n">
        <x:f>R253/'浓度水平'!E46</x:f>
        <x:v>45.166666666666664</x:v>
      </x:c>
      <x:c r="W253" s="6" t="n">
        <x:f>O253*'固定基底'!$B$4/1000</x:f>
        <x:v>0.516</x:v>
      </x:c>
      <x:c r="X253" s="6" t="n">
        <x:f>P253*'固定基底'!$B$4/1000</x:f>
        <x:v>6.68</x:v>
      </x:c>
      <x:c r="Y253" s="6" t="n">
        <x:f>Q253*'固定基底'!$B$4/1000</x:f>
        <x:v>11.1265</x:v>
      </x:c>
      <x:c r="Z253" s="6" t="n">
        <x:f>R253*'固定基底'!$B$4/1000</x:f>
        <x:v>0.10840000000000001</x:v>
      </x:c>
      <x:c r="AA253" s="2" t="n">
        <x:f>'固定基底'!$C$7</x:f>
        <x:v>92796.92267241378</x:v>
      </x:c>
      <x:c r="AB253" s="2" t="n">
        <x:f>'固定基底'!$C$8</x:f>
        <x:v>104175.5097553192</x:v>
      </x:c>
      <x:c r="AC253" s="2" t="n">
        <x:f>'固定基底'!$E$7</x:f>
        <x:v>1855.9384534482756</x:v>
      </x:c>
      <x:c r="AD253" s="2" t="n">
        <x:f>'固定基底'!$E$8</x:f>
        <x:v>2083.510195106384</x:v>
      </x:c>
    </x:row>
    <x:row r="254" ht="25" customHeight="1">
      <x:c r="A254" s="5" t="str">
        <x:v>G10-02</x:v>
      </x:c>
      <x:c r="B254" s="5" t="str">
        <x:v>G10</x:v>
      </x:c>
      <x:c r="C254" s="5" t="str">
        <x:v>BBD</x:v>
      </x:c>
      <x:c r="D254" s="5" t="str">
        <x:v>拟合</x:v>
      </x:c>
      <x:c r="E254" s="5" t="str">
        <x:v>边点</x:v>
      </x:c>
      <x:c r="F254" s="5" t="str"/>
      <x:c r="G254" s="5" t="str">
        <x:v>辛酸乙酯</x:v>
      </x:c>
      <x:c r="H254" s="5" t="str">
        <x:v>对甲酚</x:v>
      </x:c>
      <x:c r="I254" s="5" t="str">
        <x:v>苯乙醛</x:v>
      </x:c>
      <x:c r="J254" s="5" t="str">
        <x:v>β-大马酮</x:v>
      </x:c>
      <x:c r="K254" s="5" t="str">
        <x:v>L</x:v>
      </x:c>
      <x:c r="L254" s="5" t="str">
        <x:v>H</x:v>
      </x:c>
      <x:c r="M254" s="5" t="str">
        <x:v>M</x:v>
      </x:c>
      <x:c r="N254" s="5" t="str">
        <x:v>M</x:v>
      </x:c>
      <x:c r="O254" s="6" t="n">
        <x:f>'浓度水平'!F20</x:f>
        <x:v>25.8</x:v>
      </x:c>
      <x:c r="P254" s="6" t="n">
        <x:f>'浓度水平'!H21</x:f>
        <x:v>6914</x:v>
      </x:c>
      <x:c r="Q254" s="6" t="n">
        <x:f>'浓度水平'!G28</x:f>
        <x:v>556.325</x:v>
      </x:c>
      <x:c r="R254" s="6" t="n">
        <x:f>'浓度水平'!G46</x:f>
        <x:v>5.42</x:v>
      </x:c>
      <x:c r="S254" s="6" t="n">
        <x:f>O254/'浓度水平'!E20</x:f>
        <x:v>2</x:v>
      </x:c>
      <x:c r="T254" s="6" t="n">
        <x:f>P254/'浓度水平'!E21</x:f>
        <x:v>41.40119760479042</x:v>
      </x:c>
      <x:c r="U254" s="6" t="n">
        <x:f>Q254/'浓度水平'!E28</x:f>
        <x:v>2.12337786259542</x:v>
      </x:c>
      <x:c r="V254" s="6" t="n">
        <x:f>R254/'浓度水平'!E46</x:f>
        <x:v>45.166666666666664</x:v>
      </x:c>
      <x:c r="W254" s="6" t="n">
        <x:f>O254*'固定基底'!$B$4/1000</x:f>
        <x:v>0.516</x:v>
      </x:c>
      <x:c r="X254" s="6" t="n">
        <x:f>P254*'固定基底'!$B$4/1000</x:f>
        <x:v>138.28</x:v>
      </x:c>
      <x:c r="Y254" s="6" t="n">
        <x:f>Q254*'固定基底'!$B$4/1000</x:f>
        <x:v>11.1265</x:v>
      </x:c>
      <x:c r="Z254" s="6" t="n">
        <x:f>R254*'固定基底'!$B$4/1000</x:f>
        <x:v>0.10840000000000001</x:v>
      </x:c>
      <x:c r="AA254" s="2" t="n">
        <x:f>'固定基底'!$C$7</x:f>
        <x:v>92796.92267241378</x:v>
      </x:c>
      <x:c r="AB254" s="2" t="n">
        <x:f>'固定基底'!$C$8</x:f>
        <x:v>104175.5097553192</x:v>
      </x:c>
      <x:c r="AC254" s="2" t="n">
        <x:f>'固定基底'!$E$7</x:f>
        <x:v>1855.9384534482756</x:v>
      </x:c>
      <x:c r="AD254" s="2" t="n">
        <x:f>'固定基底'!$E$8</x:f>
        <x:v>2083.510195106384</x:v>
      </x:c>
    </x:row>
    <x:row r="255" ht="25" customHeight="1">
      <x:c r="A255" s="5" t="str">
        <x:v>G10-03</x:v>
      </x:c>
      <x:c r="B255" s="5" t="str">
        <x:v>G10</x:v>
      </x:c>
      <x:c r="C255" s="5" t="str">
        <x:v>BBD</x:v>
      </x:c>
      <x:c r="D255" s="5" t="str">
        <x:v>拟合</x:v>
      </x:c>
      <x:c r="E255" s="5" t="str">
        <x:v>边点</x:v>
      </x:c>
      <x:c r="F255" s="5" t="str"/>
      <x:c r="G255" s="5" t="str">
        <x:v>辛酸乙酯</x:v>
      </x:c>
      <x:c r="H255" s="5" t="str">
        <x:v>对甲酚</x:v>
      </x:c>
      <x:c r="I255" s="5" t="str">
        <x:v>苯乙醛</x:v>
      </x:c>
      <x:c r="J255" s="5" t="str">
        <x:v>β-大马酮</x:v>
      </x:c>
      <x:c r="K255" s="5" t="str">
        <x:v>H</x:v>
      </x:c>
      <x:c r="L255" s="5" t="str">
        <x:v>L</x:v>
      </x:c>
      <x:c r="M255" s="5" t="str">
        <x:v>M</x:v>
      </x:c>
      <x:c r="N255" s="5" t="str">
        <x:v>M</x:v>
      </x:c>
      <x:c r="O255" s="6" t="n">
        <x:f>'浓度水平'!H20</x:f>
        <x:v>1865945</x:v>
      </x:c>
      <x:c r="P255" s="6" t="n">
        <x:f>'浓度水平'!F21</x:f>
        <x:v>334</x:v>
      </x:c>
      <x:c r="Q255" s="6" t="n">
        <x:f>'浓度水平'!G28</x:f>
        <x:v>556.325</x:v>
      </x:c>
      <x:c r="R255" s="6" t="n">
        <x:f>'浓度水平'!G46</x:f>
        <x:v>5.42</x:v>
      </x:c>
      <x:c r="S255" s="6" t="n">
        <x:f>O255/'浓度水平'!E20</x:f>
        <x:v>144646.8992248062</x:v>
      </x:c>
      <x:c r="T255" s="6" t="n">
        <x:f>P255/'浓度水平'!E21</x:f>
        <x:v>2</x:v>
      </x:c>
      <x:c r="U255" s="6" t="n">
        <x:f>Q255/'浓度水平'!E28</x:f>
        <x:v>2.12337786259542</x:v>
      </x:c>
      <x:c r="V255" s="6" t="n">
        <x:f>R255/'浓度水平'!E46</x:f>
        <x:v>45.166666666666664</x:v>
      </x:c>
      <x:c r="W255" s="6" t="n">
        <x:f>O255*'固定基底'!$B$4/1000</x:f>
        <x:v>37318.9</x:v>
      </x:c>
      <x:c r="X255" s="6" t="n">
        <x:f>P255*'固定基底'!$B$4/1000</x:f>
        <x:v>6.68</x:v>
      </x:c>
      <x:c r="Y255" s="6" t="n">
        <x:f>Q255*'固定基底'!$B$4/1000</x:f>
        <x:v>11.1265</x:v>
      </x:c>
      <x:c r="Z255" s="6" t="n">
        <x:f>R255*'固定基底'!$B$4/1000</x:f>
        <x:v>0.10840000000000001</x:v>
      </x:c>
      <x:c r="AA255" s="2" t="n">
        <x:f>'固定基底'!$C$7</x:f>
        <x:v>92796.92267241378</x:v>
      </x:c>
      <x:c r="AB255" s="2" t="n">
        <x:f>'固定基底'!$C$8</x:f>
        <x:v>104175.5097553192</x:v>
      </x:c>
      <x:c r="AC255" s="2" t="n">
        <x:f>'固定基底'!$E$7</x:f>
        <x:v>1855.9384534482756</x:v>
      </x:c>
      <x:c r="AD255" s="2" t="n">
        <x:f>'固定基底'!$E$8</x:f>
        <x:v>2083.510195106384</x:v>
      </x:c>
    </x:row>
    <x:row r="256" ht="25" customHeight="1">
      <x:c r="A256" s="5" t="str">
        <x:v>G10-04</x:v>
      </x:c>
      <x:c r="B256" s="5" t="str">
        <x:v>G10</x:v>
      </x:c>
      <x:c r="C256" s="5" t="str">
        <x:v>BBD</x:v>
      </x:c>
      <x:c r="D256" s="5" t="str">
        <x:v>拟合</x:v>
      </x:c>
      <x:c r="E256" s="5" t="str">
        <x:v>边点</x:v>
      </x:c>
      <x:c r="F256" s="5" t="str"/>
      <x:c r="G256" s="5" t="str">
        <x:v>辛酸乙酯</x:v>
      </x:c>
      <x:c r="H256" s="5" t="str">
        <x:v>对甲酚</x:v>
      </x:c>
      <x:c r="I256" s="5" t="str">
        <x:v>苯乙醛</x:v>
      </x:c>
      <x:c r="J256" s="5" t="str">
        <x:v>β-大马酮</x:v>
      </x:c>
      <x:c r="K256" s="5" t="str">
        <x:v>H</x:v>
      </x:c>
      <x:c r="L256" s="5" t="str">
        <x:v>H</x:v>
      </x:c>
      <x:c r="M256" s="5" t="str">
        <x:v>M</x:v>
      </x:c>
      <x:c r="N256" s="5" t="str">
        <x:v>M</x:v>
      </x:c>
      <x:c r="O256" s="6" t="n">
        <x:f>'浓度水平'!H20</x:f>
        <x:v>1865945</x:v>
      </x:c>
      <x:c r="P256" s="6" t="n">
        <x:f>'浓度水平'!H21</x:f>
        <x:v>6914</x:v>
      </x:c>
      <x:c r="Q256" s="6" t="n">
        <x:f>'浓度水平'!G28</x:f>
        <x:v>556.325</x:v>
      </x:c>
      <x:c r="R256" s="6" t="n">
        <x:f>'浓度水平'!G46</x:f>
        <x:v>5.42</x:v>
      </x:c>
      <x:c r="S256" s="6" t="n">
        <x:f>O256/'浓度水平'!E20</x:f>
        <x:v>144646.8992248062</x:v>
      </x:c>
      <x:c r="T256" s="6" t="n">
        <x:f>P256/'浓度水平'!E21</x:f>
        <x:v>41.40119760479042</x:v>
      </x:c>
      <x:c r="U256" s="6" t="n">
        <x:f>Q256/'浓度水平'!E28</x:f>
        <x:v>2.12337786259542</x:v>
      </x:c>
      <x:c r="V256" s="6" t="n">
        <x:f>R256/'浓度水平'!E46</x:f>
        <x:v>45.166666666666664</x:v>
      </x:c>
      <x:c r="W256" s="6" t="n">
        <x:f>O256*'固定基底'!$B$4/1000</x:f>
        <x:v>37318.9</x:v>
      </x:c>
      <x:c r="X256" s="6" t="n">
        <x:f>P256*'固定基底'!$B$4/1000</x:f>
        <x:v>138.28</x:v>
      </x:c>
      <x:c r="Y256" s="6" t="n">
        <x:f>Q256*'固定基底'!$B$4/1000</x:f>
        <x:v>11.1265</x:v>
      </x:c>
      <x:c r="Z256" s="6" t="n">
        <x:f>R256*'固定基底'!$B$4/1000</x:f>
        <x:v>0.10840000000000001</x:v>
      </x:c>
      <x:c r="AA256" s="2" t="n">
        <x:f>'固定基底'!$C$7</x:f>
        <x:v>92796.92267241378</x:v>
      </x:c>
      <x:c r="AB256" s="2" t="n">
        <x:f>'固定基底'!$C$8</x:f>
        <x:v>104175.5097553192</x:v>
      </x:c>
      <x:c r="AC256" s="2" t="n">
        <x:f>'固定基底'!$E$7</x:f>
        <x:v>1855.9384534482756</x:v>
      </x:c>
      <x:c r="AD256" s="2" t="n">
        <x:f>'固定基底'!$E$8</x:f>
        <x:v>2083.510195106384</x:v>
      </x:c>
    </x:row>
    <x:row r="257" ht="25" customHeight="1">
      <x:c r="A257" s="5" t="str">
        <x:v>G10-05</x:v>
      </x:c>
      <x:c r="B257" s="5" t="str">
        <x:v>G10</x:v>
      </x:c>
      <x:c r="C257" s="5" t="str">
        <x:v>BBD</x:v>
      </x:c>
      <x:c r="D257" s="5" t="str">
        <x:v>拟合</x:v>
      </x:c>
      <x:c r="E257" s="5" t="str">
        <x:v>边点</x:v>
      </x:c>
      <x:c r="F257" s="5" t="str"/>
      <x:c r="G257" s="5" t="str">
        <x:v>辛酸乙酯</x:v>
      </x:c>
      <x:c r="H257" s="5" t="str">
        <x:v>对甲酚</x:v>
      </x:c>
      <x:c r="I257" s="5" t="str">
        <x:v>苯乙醛</x:v>
      </x:c>
      <x:c r="J257" s="5" t="str">
        <x:v>β-大马酮</x:v>
      </x:c>
      <x:c r="K257" s="5" t="str">
        <x:v>L</x:v>
      </x:c>
      <x:c r="L257" s="5" t="str">
        <x:v>M</x:v>
      </x:c>
      <x:c r="M257" s="5" t="str">
        <x:v>L</x:v>
      </x:c>
      <x:c r="N257" s="5" t="str">
        <x:v>M</x:v>
      </x:c>
      <x:c r="O257" s="6" t="n">
        <x:f>'浓度水平'!F20</x:f>
        <x:v>25.8</x:v>
      </x:c>
      <x:c r="P257" s="6" t="n">
        <x:f>'浓度水平'!G21</x:f>
        <x:v>359.87</x:v>
      </x:c>
      <x:c r="Q257" s="6" t="n">
        <x:f>'浓度水平'!F28</x:f>
        <x:v>524</x:v>
      </x:c>
      <x:c r="R257" s="6" t="n">
        <x:f>'浓度水平'!G46</x:f>
        <x:v>5.42</x:v>
      </x:c>
      <x:c r="S257" s="6" t="n">
        <x:f>O257/'浓度水平'!E20</x:f>
        <x:v>2</x:v>
      </x:c>
      <x:c r="T257" s="6" t="n">
        <x:f>P257/'浓度水平'!E21</x:f>
        <x:v>2.1549101796407184</x:v>
      </x:c>
      <x:c r="U257" s="6" t="n">
        <x:f>Q257/'浓度水平'!E28</x:f>
        <x:v>2</x:v>
      </x:c>
      <x:c r="V257" s="6" t="n">
        <x:f>R257/'浓度水平'!E46</x:f>
        <x:v>45.166666666666664</x:v>
      </x:c>
      <x:c r="W257" s="6" t="n">
        <x:f>O257*'固定基底'!$B$4/1000</x:f>
        <x:v>0.516</x:v>
      </x:c>
      <x:c r="X257" s="6" t="n">
        <x:f>P257*'固定基底'!$B$4/1000</x:f>
        <x:v>7.1974</x:v>
      </x:c>
      <x:c r="Y257" s="6" t="n">
        <x:f>Q257*'固定基底'!$B$4/1000</x:f>
        <x:v>10.48</x:v>
      </x:c>
      <x:c r="Z257" s="6" t="n">
        <x:f>R257*'固定基底'!$B$4/1000</x:f>
        <x:v>0.10840000000000001</x:v>
      </x:c>
      <x:c r="AA257" s="2" t="n">
        <x:f>'固定基底'!$C$7</x:f>
        <x:v>92796.92267241378</x:v>
      </x:c>
      <x:c r="AB257" s="2" t="n">
        <x:f>'固定基底'!$C$8</x:f>
        <x:v>104175.5097553192</x:v>
      </x:c>
      <x:c r="AC257" s="2" t="n">
        <x:f>'固定基底'!$E$7</x:f>
        <x:v>1855.9384534482756</x:v>
      </x:c>
      <x:c r="AD257" s="2" t="n">
        <x:f>'固定基底'!$E$8</x:f>
        <x:v>2083.510195106384</x:v>
      </x:c>
    </x:row>
    <x:row r="258" ht="25" customHeight="1">
      <x:c r="A258" s="5" t="str">
        <x:v>G10-06</x:v>
      </x:c>
      <x:c r="B258" s="5" t="str">
        <x:v>G10</x:v>
      </x:c>
      <x:c r="C258" s="5" t="str">
        <x:v>BBD</x:v>
      </x:c>
      <x:c r="D258" s="5" t="str">
        <x:v>拟合</x:v>
      </x:c>
      <x:c r="E258" s="5" t="str">
        <x:v>边点</x:v>
      </x:c>
      <x:c r="F258" s="5" t="str"/>
      <x:c r="G258" s="5" t="str">
        <x:v>辛酸乙酯</x:v>
      </x:c>
      <x:c r="H258" s="5" t="str">
        <x:v>对甲酚</x:v>
      </x:c>
      <x:c r="I258" s="5" t="str">
        <x:v>苯乙醛</x:v>
      </x:c>
      <x:c r="J258" s="5" t="str">
        <x:v>β-大马酮</x:v>
      </x:c>
      <x:c r="K258" s="5" t="str">
        <x:v>L</x:v>
      </x:c>
      <x:c r="L258" s="5" t="str">
        <x:v>M</x:v>
      </x:c>
      <x:c r="M258" s="5" t="str">
        <x:v>H</x:v>
      </x:c>
      <x:c r="N258" s="5" t="str">
        <x:v>M</x:v>
      </x:c>
      <x:c r="O258" s="6" t="n">
        <x:f>'浓度水平'!F20</x:f>
        <x:v>25.8</x:v>
      </x:c>
      <x:c r="P258" s="6" t="n">
        <x:f>'浓度水平'!G21</x:f>
        <x:v>359.87</x:v>
      </x:c>
      <x:c r="Q258" s="6" t="n">
        <x:f>'浓度水平'!H28</x:f>
        <x:v>15730</x:v>
      </x:c>
      <x:c r="R258" s="6" t="n">
        <x:f>'浓度水平'!G46</x:f>
        <x:v>5.42</x:v>
      </x:c>
      <x:c r="S258" s="6" t="n">
        <x:f>O258/'浓度水平'!E20</x:f>
        <x:v>2</x:v>
      </x:c>
      <x:c r="T258" s="6" t="n">
        <x:f>P258/'浓度水平'!E21</x:f>
        <x:v>2.1549101796407184</x:v>
      </x:c>
      <x:c r="U258" s="6" t="n">
        <x:f>Q258/'浓度水平'!E28</x:f>
        <x:v>60.038167938931295</x:v>
      </x:c>
      <x:c r="V258" s="6" t="n">
        <x:f>R258/'浓度水平'!E46</x:f>
        <x:v>45.166666666666664</x:v>
      </x:c>
      <x:c r="W258" s="6" t="n">
        <x:f>O258*'固定基底'!$B$4/1000</x:f>
        <x:v>0.516</x:v>
      </x:c>
      <x:c r="X258" s="6" t="n">
        <x:f>P258*'固定基底'!$B$4/1000</x:f>
        <x:v>7.1974</x:v>
      </x:c>
      <x:c r="Y258" s="6" t="n">
        <x:f>Q258*'固定基底'!$B$4/1000</x:f>
        <x:v>314.6</x:v>
      </x:c>
      <x:c r="Z258" s="6" t="n">
        <x:f>R258*'固定基底'!$B$4/1000</x:f>
        <x:v>0.10840000000000001</x:v>
      </x:c>
      <x:c r="AA258" s="2" t="n">
        <x:f>'固定基底'!$C$7</x:f>
        <x:v>92796.92267241378</x:v>
      </x:c>
      <x:c r="AB258" s="2" t="n">
        <x:f>'固定基底'!$C$8</x:f>
        <x:v>104175.5097553192</x:v>
      </x:c>
      <x:c r="AC258" s="2" t="n">
        <x:f>'固定基底'!$E$7</x:f>
        <x:v>1855.9384534482756</x:v>
      </x:c>
      <x:c r="AD258" s="2" t="n">
        <x:f>'固定基底'!$E$8</x:f>
        <x:v>2083.510195106384</x:v>
      </x:c>
    </x:row>
    <x:row r="259" ht="25" customHeight="1">
      <x:c r="A259" s="5" t="str">
        <x:v>G10-07</x:v>
      </x:c>
      <x:c r="B259" s="5" t="str">
        <x:v>G10</x:v>
      </x:c>
      <x:c r="C259" s="5" t="str">
        <x:v>BBD</x:v>
      </x:c>
      <x:c r="D259" s="5" t="str">
        <x:v>拟合</x:v>
      </x:c>
      <x:c r="E259" s="5" t="str">
        <x:v>边点</x:v>
      </x:c>
      <x:c r="F259" s="5" t="str"/>
      <x:c r="G259" s="5" t="str">
        <x:v>辛酸乙酯</x:v>
      </x:c>
      <x:c r="H259" s="5" t="str">
        <x:v>对甲酚</x:v>
      </x:c>
      <x:c r="I259" s="5" t="str">
        <x:v>苯乙醛</x:v>
      </x:c>
      <x:c r="J259" s="5" t="str">
        <x:v>β-大马酮</x:v>
      </x:c>
      <x:c r="K259" s="5" t="str">
        <x:v>H</x:v>
      </x:c>
      <x:c r="L259" s="5" t="str">
        <x:v>M</x:v>
      </x:c>
      <x:c r="M259" s="5" t="str">
        <x:v>L</x:v>
      </x:c>
      <x:c r="N259" s="5" t="str">
        <x:v>M</x:v>
      </x:c>
      <x:c r="O259" s="6" t="n">
        <x:f>'浓度水平'!H20</x:f>
        <x:v>1865945</x:v>
      </x:c>
      <x:c r="P259" s="6" t="n">
        <x:f>'浓度水平'!G21</x:f>
        <x:v>359.87</x:v>
      </x:c>
      <x:c r="Q259" s="6" t="n">
        <x:f>'浓度水平'!F28</x:f>
        <x:v>524</x:v>
      </x:c>
      <x:c r="R259" s="6" t="n">
        <x:f>'浓度水平'!G46</x:f>
        <x:v>5.42</x:v>
      </x:c>
      <x:c r="S259" s="6" t="n">
        <x:f>O259/'浓度水平'!E20</x:f>
        <x:v>144646.8992248062</x:v>
      </x:c>
      <x:c r="T259" s="6" t="n">
        <x:f>P259/'浓度水平'!E21</x:f>
        <x:v>2.1549101796407184</x:v>
      </x:c>
      <x:c r="U259" s="6" t="n">
        <x:f>Q259/'浓度水平'!E28</x:f>
        <x:v>2</x:v>
      </x:c>
      <x:c r="V259" s="6" t="n">
        <x:f>R259/'浓度水平'!E46</x:f>
        <x:v>45.166666666666664</x:v>
      </x:c>
      <x:c r="W259" s="6" t="n">
        <x:f>O259*'固定基底'!$B$4/1000</x:f>
        <x:v>37318.9</x:v>
      </x:c>
      <x:c r="X259" s="6" t="n">
        <x:f>P259*'固定基底'!$B$4/1000</x:f>
        <x:v>7.1974</x:v>
      </x:c>
      <x:c r="Y259" s="6" t="n">
        <x:f>Q259*'固定基底'!$B$4/1000</x:f>
        <x:v>10.48</x:v>
      </x:c>
      <x:c r="Z259" s="6" t="n">
        <x:f>R259*'固定基底'!$B$4/1000</x:f>
        <x:v>0.10840000000000001</x:v>
      </x:c>
      <x:c r="AA259" s="2" t="n">
        <x:f>'固定基底'!$C$7</x:f>
        <x:v>92796.92267241378</x:v>
      </x:c>
      <x:c r="AB259" s="2" t="n">
        <x:f>'固定基底'!$C$8</x:f>
        <x:v>104175.5097553192</x:v>
      </x:c>
      <x:c r="AC259" s="2" t="n">
        <x:f>'固定基底'!$E$7</x:f>
        <x:v>1855.9384534482756</x:v>
      </x:c>
      <x:c r="AD259" s="2" t="n">
        <x:f>'固定基底'!$E$8</x:f>
        <x:v>2083.510195106384</x:v>
      </x:c>
    </x:row>
    <x:row r="260" ht="25" customHeight="1">
      <x:c r="A260" s="5" t="str">
        <x:v>G10-08</x:v>
      </x:c>
      <x:c r="B260" s="5" t="str">
        <x:v>G10</x:v>
      </x:c>
      <x:c r="C260" s="5" t="str">
        <x:v>BBD</x:v>
      </x:c>
      <x:c r="D260" s="5" t="str">
        <x:v>拟合</x:v>
      </x:c>
      <x:c r="E260" s="5" t="str">
        <x:v>边点</x:v>
      </x:c>
      <x:c r="F260" s="5" t="str"/>
      <x:c r="G260" s="5" t="str">
        <x:v>辛酸乙酯</x:v>
      </x:c>
      <x:c r="H260" s="5" t="str">
        <x:v>对甲酚</x:v>
      </x:c>
      <x:c r="I260" s="5" t="str">
        <x:v>苯乙醛</x:v>
      </x:c>
      <x:c r="J260" s="5" t="str">
        <x:v>β-大马酮</x:v>
      </x:c>
      <x:c r="K260" s="5" t="str">
        <x:v>H</x:v>
      </x:c>
      <x:c r="L260" s="5" t="str">
        <x:v>M</x:v>
      </x:c>
      <x:c r="M260" s="5" t="str">
        <x:v>H</x:v>
      </x:c>
      <x:c r="N260" s="5" t="str">
        <x:v>M</x:v>
      </x:c>
      <x:c r="O260" s="6" t="n">
        <x:f>'浓度水平'!H20</x:f>
        <x:v>1865945</x:v>
      </x:c>
      <x:c r="P260" s="6" t="n">
        <x:f>'浓度水平'!G21</x:f>
        <x:v>359.87</x:v>
      </x:c>
      <x:c r="Q260" s="6" t="n">
        <x:f>'浓度水平'!H28</x:f>
        <x:v>15730</x:v>
      </x:c>
      <x:c r="R260" s="6" t="n">
        <x:f>'浓度水平'!G46</x:f>
        <x:v>5.42</x:v>
      </x:c>
      <x:c r="S260" s="6" t="n">
        <x:f>O260/'浓度水平'!E20</x:f>
        <x:v>144646.8992248062</x:v>
      </x:c>
      <x:c r="T260" s="6" t="n">
        <x:f>P260/'浓度水平'!E21</x:f>
        <x:v>2.1549101796407184</x:v>
      </x:c>
      <x:c r="U260" s="6" t="n">
        <x:f>Q260/'浓度水平'!E28</x:f>
        <x:v>60.038167938931295</x:v>
      </x:c>
      <x:c r="V260" s="6" t="n">
        <x:f>R260/'浓度水平'!E46</x:f>
        <x:v>45.166666666666664</x:v>
      </x:c>
      <x:c r="W260" s="6" t="n">
        <x:f>O260*'固定基底'!$B$4/1000</x:f>
        <x:v>37318.9</x:v>
      </x:c>
      <x:c r="X260" s="6" t="n">
        <x:f>P260*'固定基底'!$B$4/1000</x:f>
        <x:v>7.1974</x:v>
      </x:c>
      <x:c r="Y260" s="6" t="n">
        <x:f>Q260*'固定基底'!$B$4/1000</x:f>
        <x:v>314.6</x:v>
      </x:c>
      <x:c r="Z260" s="6" t="n">
        <x:f>R260*'固定基底'!$B$4/1000</x:f>
        <x:v>0.10840000000000001</x:v>
      </x:c>
      <x:c r="AA260" s="2" t="n">
        <x:f>'固定基底'!$C$7</x:f>
        <x:v>92796.92267241378</x:v>
      </x:c>
      <x:c r="AB260" s="2" t="n">
        <x:f>'固定基底'!$C$8</x:f>
        <x:v>104175.5097553192</x:v>
      </x:c>
      <x:c r="AC260" s="2" t="n">
        <x:f>'固定基底'!$E$7</x:f>
        <x:v>1855.9384534482756</x:v>
      </x:c>
      <x:c r="AD260" s="2" t="n">
        <x:f>'固定基底'!$E$8</x:f>
        <x:v>2083.510195106384</x:v>
      </x:c>
    </x:row>
    <x:row r="261" ht="25" customHeight="1">
      <x:c r="A261" s="5" t="str">
        <x:v>G10-09</x:v>
      </x:c>
      <x:c r="B261" s="5" t="str">
        <x:v>G10</x:v>
      </x:c>
      <x:c r="C261" s="5" t="str">
        <x:v>BBD</x:v>
      </x:c>
      <x:c r="D261" s="5" t="str">
        <x:v>拟合</x:v>
      </x:c>
      <x:c r="E261" s="5" t="str">
        <x:v>边点</x:v>
      </x:c>
      <x:c r="F261" s="5" t="str"/>
      <x:c r="G261" s="5" t="str">
        <x:v>辛酸乙酯</x:v>
      </x:c>
      <x:c r="H261" s="5" t="str">
        <x:v>对甲酚</x:v>
      </x:c>
      <x:c r="I261" s="5" t="str">
        <x:v>苯乙醛</x:v>
      </x:c>
      <x:c r="J261" s="5" t="str">
        <x:v>β-大马酮</x:v>
      </x:c>
      <x:c r="K261" s="5" t="str">
        <x:v>L</x:v>
      </x:c>
      <x:c r="L261" s="5" t="str">
        <x:v>M</x:v>
      </x:c>
      <x:c r="M261" s="5" t="str">
        <x:v>M</x:v>
      </x:c>
      <x:c r="N261" s="5" t="str">
        <x:v>L</x:v>
      </x:c>
      <x:c r="O261" s="6" t="n">
        <x:f>'浓度水平'!F20</x:f>
        <x:v>25.8</x:v>
      </x:c>
      <x:c r="P261" s="6" t="n">
        <x:f>'浓度水平'!G21</x:f>
        <x:v>359.87</x:v>
      </x:c>
      <x:c r="Q261" s="6" t="n">
        <x:f>'浓度水平'!G28</x:f>
        <x:v>556.325</x:v>
      </x:c>
      <x:c r="R261" s="6" t="n">
        <x:f>'浓度水平'!F46</x:f>
        <x:v>0.24</x:v>
      </x:c>
      <x:c r="S261" s="6" t="n">
        <x:f>O261/'浓度水平'!E20</x:f>
        <x:v>2</x:v>
      </x:c>
      <x:c r="T261" s="6" t="n">
        <x:f>P261/'浓度水平'!E21</x:f>
        <x:v>2.1549101796407184</x:v>
      </x:c>
      <x:c r="U261" s="6" t="n">
        <x:f>Q261/'浓度水平'!E28</x:f>
        <x:v>2.12337786259542</x:v>
      </x:c>
      <x:c r="V261" s="6" t="n">
        <x:f>R261/'浓度水平'!E46</x:f>
        <x:v>2</x:v>
      </x:c>
      <x:c r="W261" s="6" t="n">
        <x:f>O261*'固定基底'!$B$4/1000</x:f>
        <x:v>0.516</x:v>
      </x:c>
      <x:c r="X261" s="6" t="n">
        <x:f>P261*'固定基底'!$B$4/1000</x:f>
        <x:v>7.1974</x:v>
      </x:c>
      <x:c r="Y261" s="6" t="n">
        <x:f>Q261*'固定基底'!$B$4/1000</x:f>
        <x:v>11.1265</x:v>
      </x:c>
      <x:c r="Z261" s="6" t="n">
        <x:f>R261*'固定基底'!$B$4/1000</x:f>
        <x:v>0.0048</x:v>
      </x:c>
      <x:c r="AA261" s="2" t="n">
        <x:f>'固定基底'!$C$7</x:f>
        <x:v>92796.92267241378</x:v>
      </x:c>
      <x:c r="AB261" s="2" t="n">
        <x:f>'固定基底'!$C$8</x:f>
        <x:v>104175.5097553192</x:v>
      </x:c>
      <x:c r="AC261" s="2" t="n">
        <x:f>'固定基底'!$E$7</x:f>
        <x:v>1855.9384534482756</x:v>
      </x:c>
      <x:c r="AD261" s="2" t="n">
        <x:f>'固定基底'!$E$8</x:f>
        <x:v>2083.510195106384</x:v>
      </x:c>
    </x:row>
    <x:row r="262" ht="25" customHeight="1">
      <x:c r="A262" s="5" t="str">
        <x:v>G10-10</x:v>
      </x:c>
      <x:c r="B262" s="5" t="str">
        <x:v>G10</x:v>
      </x:c>
      <x:c r="C262" s="5" t="str">
        <x:v>BBD</x:v>
      </x:c>
      <x:c r="D262" s="5" t="str">
        <x:v>拟合</x:v>
      </x:c>
      <x:c r="E262" s="5" t="str">
        <x:v>边点</x:v>
      </x:c>
      <x:c r="F262" s="5" t="str"/>
      <x:c r="G262" s="5" t="str">
        <x:v>辛酸乙酯</x:v>
      </x:c>
      <x:c r="H262" s="5" t="str">
        <x:v>对甲酚</x:v>
      </x:c>
      <x:c r="I262" s="5" t="str">
        <x:v>苯乙醛</x:v>
      </x:c>
      <x:c r="J262" s="5" t="str">
        <x:v>β-大马酮</x:v>
      </x:c>
      <x:c r="K262" s="5" t="str">
        <x:v>L</x:v>
      </x:c>
      <x:c r="L262" s="5" t="str">
        <x:v>M</x:v>
      </x:c>
      <x:c r="M262" s="5" t="str">
        <x:v>M</x:v>
      </x:c>
      <x:c r="N262" s="5" t="str">
        <x:v>H</x:v>
      </x:c>
      <x:c r="O262" s="6" t="n">
        <x:f>'浓度水平'!F20</x:f>
        <x:v>25.8</x:v>
      </x:c>
      <x:c r="P262" s="6" t="n">
        <x:f>'浓度水平'!G21</x:f>
        <x:v>359.87</x:v>
      </x:c>
      <x:c r="Q262" s="6" t="n">
        <x:f>'浓度水平'!G28</x:f>
        <x:v>556.325</x:v>
      </x:c>
      <x:c r="R262" s="6" t="n">
        <x:f>'浓度水平'!H46</x:f>
        <x:v>60.76</x:v>
      </x:c>
      <x:c r="S262" s="6" t="n">
        <x:f>O262/'浓度水平'!E20</x:f>
        <x:v>2</x:v>
      </x:c>
      <x:c r="T262" s="6" t="n">
        <x:f>P262/'浓度水平'!E21</x:f>
        <x:v>2.1549101796407184</x:v>
      </x:c>
      <x:c r="U262" s="6" t="n">
        <x:f>Q262/'浓度水平'!E28</x:f>
        <x:v>2.12337786259542</x:v>
      </x:c>
      <x:c r="V262" s="6" t="n">
        <x:f>R262/'浓度水平'!E46</x:f>
        <x:v>506.3333333333333</x:v>
      </x:c>
      <x:c r="W262" s="6" t="n">
        <x:f>O262*'固定基底'!$B$4/1000</x:f>
        <x:v>0.516</x:v>
      </x:c>
      <x:c r="X262" s="6" t="n">
        <x:f>P262*'固定基底'!$B$4/1000</x:f>
        <x:v>7.1974</x:v>
      </x:c>
      <x:c r="Y262" s="6" t="n">
        <x:f>Q262*'固定基底'!$B$4/1000</x:f>
        <x:v>11.1265</x:v>
      </x:c>
      <x:c r="Z262" s="6" t="n">
        <x:f>R262*'固定基底'!$B$4/1000</x:f>
        <x:v>1.2152</x:v>
      </x:c>
      <x:c r="AA262" s="2" t="n">
        <x:f>'固定基底'!$C$7</x:f>
        <x:v>92796.92267241378</x:v>
      </x:c>
      <x:c r="AB262" s="2" t="n">
        <x:f>'固定基底'!$C$8</x:f>
        <x:v>104175.5097553192</x:v>
      </x:c>
      <x:c r="AC262" s="2" t="n">
        <x:f>'固定基底'!$E$7</x:f>
        <x:v>1855.9384534482756</x:v>
      </x:c>
      <x:c r="AD262" s="2" t="n">
        <x:f>'固定基底'!$E$8</x:f>
        <x:v>2083.510195106384</x:v>
      </x:c>
    </x:row>
    <x:row r="263" ht="25" customHeight="1">
      <x:c r="A263" s="5" t="str">
        <x:v>G10-11</x:v>
      </x:c>
      <x:c r="B263" s="5" t="str">
        <x:v>G10</x:v>
      </x:c>
      <x:c r="C263" s="5" t="str">
        <x:v>BBD</x:v>
      </x:c>
      <x:c r="D263" s="5" t="str">
        <x:v>拟合</x:v>
      </x:c>
      <x:c r="E263" s="5" t="str">
        <x:v>边点</x:v>
      </x:c>
      <x:c r="F263" s="5" t="str"/>
      <x:c r="G263" s="5" t="str">
        <x:v>辛酸乙酯</x:v>
      </x:c>
      <x:c r="H263" s="5" t="str">
        <x:v>对甲酚</x:v>
      </x:c>
      <x:c r="I263" s="5" t="str">
        <x:v>苯乙醛</x:v>
      </x:c>
      <x:c r="J263" s="5" t="str">
        <x:v>β-大马酮</x:v>
      </x:c>
      <x:c r="K263" s="5" t="str">
        <x:v>H</x:v>
      </x:c>
      <x:c r="L263" s="5" t="str">
        <x:v>M</x:v>
      </x:c>
      <x:c r="M263" s="5" t="str">
        <x:v>M</x:v>
      </x:c>
      <x:c r="N263" s="5" t="str">
        <x:v>L</x:v>
      </x:c>
      <x:c r="O263" s="6" t="n">
        <x:f>'浓度水平'!H20</x:f>
        <x:v>1865945</x:v>
      </x:c>
      <x:c r="P263" s="6" t="n">
        <x:f>'浓度水平'!G21</x:f>
        <x:v>359.87</x:v>
      </x:c>
      <x:c r="Q263" s="6" t="n">
        <x:f>'浓度水平'!G28</x:f>
        <x:v>556.325</x:v>
      </x:c>
      <x:c r="R263" s="6" t="n">
        <x:f>'浓度水平'!F46</x:f>
        <x:v>0.24</x:v>
      </x:c>
      <x:c r="S263" s="6" t="n">
        <x:f>O263/'浓度水平'!E20</x:f>
        <x:v>144646.8992248062</x:v>
      </x:c>
      <x:c r="T263" s="6" t="n">
        <x:f>P263/'浓度水平'!E21</x:f>
        <x:v>2.1549101796407184</x:v>
      </x:c>
      <x:c r="U263" s="6" t="n">
        <x:f>Q263/'浓度水平'!E28</x:f>
        <x:v>2.12337786259542</x:v>
      </x:c>
      <x:c r="V263" s="6" t="n">
        <x:f>R263/'浓度水平'!E46</x:f>
        <x:v>2</x:v>
      </x:c>
      <x:c r="W263" s="6" t="n">
        <x:f>O263*'固定基底'!$B$4/1000</x:f>
        <x:v>37318.9</x:v>
      </x:c>
      <x:c r="X263" s="6" t="n">
        <x:f>P263*'固定基底'!$B$4/1000</x:f>
        <x:v>7.1974</x:v>
      </x:c>
      <x:c r="Y263" s="6" t="n">
        <x:f>Q263*'固定基底'!$B$4/1000</x:f>
        <x:v>11.1265</x:v>
      </x:c>
      <x:c r="Z263" s="6" t="n">
        <x:f>R263*'固定基底'!$B$4/1000</x:f>
        <x:v>0.0048</x:v>
      </x:c>
      <x:c r="AA263" s="2" t="n">
        <x:f>'固定基底'!$C$7</x:f>
        <x:v>92796.92267241378</x:v>
      </x:c>
      <x:c r="AB263" s="2" t="n">
        <x:f>'固定基底'!$C$8</x:f>
        <x:v>104175.5097553192</x:v>
      </x:c>
      <x:c r="AC263" s="2" t="n">
        <x:f>'固定基底'!$E$7</x:f>
        <x:v>1855.9384534482756</x:v>
      </x:c>
      <x:c r="AD263" s="2" t="n">
        <x:f>'固定基底'!$E$8</x:f>
        <x:v>2083.510195106384</x:v>
      </x:c>
    </x:row>
    <x:row r="264" ht="25" customHeight="1">
      <x:c r="A264" s="5" t="str">
        <x:v>G10-12</x:v>
      </x:c>
      <x:c r="B264" s="5" t="str">
        <x:v>G10</x:v>
      </x:c>
      <x:c r="C264" s="5" t="str">
        <x:v>BBD</x:v>
      </x:c>
      <x:c r="D264" s="5" t="str">
        <x:v>拟合</x:v>
      </x:c>
      <x:c r="E264" s="5" t="str">
        <x:v>边点</x:v>
      </x:c>
      <x:c r="F264" s="5" t="str"/>
      <x:c r="G264" s="5" t="str">
        <x:v>辛酸乙酯</x:v>
      </x:c>
      <x:c r="H264" s="5" t="str">
        <x:v>对甲酚</x:v>
      </x:c>
      <x:c r="I264" s="5" t="str">
        <x:v>苯乙醛</x:v>
      </x:c>
      <x:c r="J264" s="5" t="str">
        <x:v>β-大马酮</x:v>
      </x:c>
      <x:c r="K264" s="5" t="str">
        <x:v>H</x:v>
      </x:c>
      <x:c r="L264" s="5" t="str">
        <x:v>M</x:v>
      </x:c>
      <x:c r="M264" s="5" t="str">
        <x:v>M</x:v>
      </x:c>
      <x:c r="N264" s="5" t="str">
        <x:v>H</x:v>
      </x:c>
      <x:c r="O264" s="6" t="n">
        <x:f>'浓度水平'!H20</x:f>
        <x:v>1865945</x:v>
      </x:c>
      <x:c r="P264" s="6" t="n">
        <x:f>'浓度水平'!G21</x:f>
        <x:v>359.87</x:v>
      </x:c>
      <x:c r="Q264" s="6" t="n">
        <x:f>'浓度水平'!G28</x:f>
        <x:v>556.325</x:v>
      </x:c>
      <x:c r="R264" s="6" t="n">
        <x:f>'浓度水平'!H46</x:f>
        <x:v>60.76</x:v>
      </x:c>
      <x:c r="S264" s="6" t="n">
        <x:f>O264/'浓度水平'!E20</x:f>
        <x:v>144646.8992248062</x:v>
      </x:c>
      <x:c r="T264" s="6" t="n">
        <x:f>P264/'浓度水平'!E21</x:f>
        <x:v>2.1549101796407184</x:v>
      </x:c>
      <x:c r="U264" s="6" t="n">
        <x:f>Q264/'浓度水平'!E28</x:f>
        <x:v>2.12337786259542</x:v>
      </x:c>
      <x:c r="V264" s="6" t="n">
        <x:f>R264/'浓度水平'!E46</x:f>
        <x:v>506.3333333333333</x:v>
      </x:c>
      <x:c r="W264" s="6" t="n">
        <x:f>O264*'固定基底'!$B$4/1000</x:f>
        <x:v>37318.9</x:v>
      </x:c>
      <x:c r="X264" s="6" t="n">
        <x:f>P264*'固定基底'!$B$4/1000</x:f>
        <x:v>7.1974</x:v>
      </x:c>
      <x:c r="Y264" s="6" t="n">
        <x:f>Q264*'固定基底'!$B$4/1000</x:f>
        <x:v>11.1265</x:v>
      </x:c>
      <x:c r="Z264" s="6" t="n">
        <x:f>R264*'固定基底'!$B$4/1000</x:f>
        <x:v>1.2152</x:v>
      </x:c>
      <x:c r="AA264" s="2" t="n">
        <x:f>'固定基底'!$C$7</x:f>
        <x:v>92796.92267241378</x:v>
      </x:c>
      <x:c r="AB264" s="2" t="n">
        <x:f>'固定基底'!$C$8</x:f>
        <x:v>104175.5097553192</x:v>
      </x:c>
      <x:c r="AC264" s="2" t="n">
        <x:f>'固定基底'!$E$7</x:f>
        <x:v>1855.9384534482756</x:v>
      </x:c>
      <x:c r="AD264" s="2" t="n">
        <x:f>'固定基底'!$E$8</x:f>
        <x:v>2083.510195106384</x:v>
      </x:c>
    </x:row>
    <x:row r="265" ht="25" customHeight="1">
      <x:c r="A265" s="5" t="str">
        <x:v>G10-13</x:v>
      </x:c>
      <x:c r="B265" s="5" t="str">
        <x:v>G10</x:v>
      </x:c>
      <x:c r="C265" s="5" t="str">
        <x:v>BBD</x:v>
      </x:c>
      <x:c r="D265" s="5" t="str">
        <x:v>拟合</x:v>
      </x:c>
      <x:c r="E265" s="5" t="str">
        <x:v>边点</x:v>
      </x:c>
      <x:c r="F265" s="5" t="str"/>
      <x:c r="G265" s="5" t="str">
        <x:v>辛酸乙酯</x:v>
      </x:c>
      <x:c r="H265" s="5" t="str">
        <x:v>对甲酚</x:v>
      </x:c>
      <x:c r="I265" s="5" t="str">
        <x:v>苯乙醛</x:v>
      </x:c>
      <x:c r="J265" s="5" t="str">
        <x:v>β-大马酮</x:v>
      </x:c>
      <x:c r="K265" s="5" t="str">
        <x:v>M</x:v>
      </x:c>
      <x:c r="L265" s="5" t="str">
        <x:v>L</x:v>
      </x:c>
      <x:c r="M265" s="5" t="str">
        <x:v>L</x:v>
      </x:c>
      <x:c r="N265" s="5" t="str">
        <x:v>M</x:v>
      </x:c>
      <x:c r="O265" s="6" t="n">
        <x:f>'浓度水平'!G20</x:f>
        <x:v>1601</x:v>
      </x:c>
      <x:c r="P265" s="6" t="n">
        <x:f>'浓度水平'!F21</x:f>
        <x:v>334</x:v>
      </x:c>
      <x:c r="Q265" s="6" t="n">
        <x:f>'浓度水平'!F28</x:f>
        <x:v>524</x:v>
      </x:c>
      <x:c r="R265" s="6" t="n">
        <x:f>'浓度水平'!G46</x:f>
        <x:v>5.42</x:v>
      </x:c>
      <x:c r="S265" s="6" t="n">
        <x:f>O265/'浓度水平'!E20</x:f>
        <x:v>124.10852713178294</x:v>
      </x:c>
      <x:c r="T265" s="6" t="n">
        <x:f>P265/'浓度水平'!E21</x:f>
        <x:v>2</x:v>
      </x:c>
      <x:c r="U265" s="6" t="n">
        <x:f>Q265/'浓度水平'!E28</x:f>
        <x:v>2</x:v>
      </x:c>
      <x:c r="V265" s="6" t="n">
        <x:f>R265/'浓度水平'!E46</x:f>
        <x:v>45.166666666666664</x:v>
      </x:c>
      <x:c r="W265" s="6" t="n">
        <x:f>O265*'固定基底'!$B$4/1000</x:f>
        <x:v>32.02</x:v>
      </x:c>
      <x:c r="X265" s="6" t="n">
        <x:f>P265*'固定基底'!$B$4/1000</x:f>
        <x:v>6.68</x:v>
      </x:c>
      <x:c r="Y265" s="6" t="n">
        <x:f>Q265*'固定基底'!$B$4/1000</x:f>
        <x:v>10.48</x:v>
      </x:c>
      <x:c r="Z265" s="6" t="n">
        <x:f>R265*'固定基底'!$B$4/1000</x:f>
        <x:v>0.10840000000000001</x:v>
      </x:c>
      <x:c r="AA265" s="2" t="n">
        <x:f>'固定基底'!$C$7</x:f>
        <x:v>92796.92267241378</x:v>
      </x:c>
      <x:c r="AB265" s="2" t="n">
        <x:f>'固定基底'!$C$8</x:f>
        <x:v>104175.5097553192</x:v>
      </x:c>
      <x:c r="AC265" s="2" t="n">
        <x:f>'固定基底'!$E$7</x:f>
        <x:v>1855.9384534482756</x:v>
      </x:c>
      <x:c r="AD265" s="2" t="n">
        <x:f>'固定基底'!$E$8</x:f>
        <x:v>2083.510195106384</x:v>
      </x:c>
    </x:row>
    <x:row r="266" ht="25" customHeight="1">
      <x:c r="A266" s="5" t="str">
        <x:v>G10-14</x:v>
      </x:c>
      <x:c r="B266" s="5" t="str">
        <x:v>G10</x:v>
      </x:c>
      <x:c r="C266" s="5" t="str">
        <x:v>BBD</x:v>
      </x:c>
      <x:c r="D266" s="5" t="str">
        <x:v>拟合</x:v>
      </x:c>
      <x:c r="E266" s="5" t="str">
        <x:v>边点</x:v>
      </x:c>
      <x:c r="F266" s="5" t="str"/>
      <x:c r="G266" s="5" t="str">
        <x:v>辛酸乙酯</x:v>
      </x:c>
      <x:c r="H266" s="5" t="str">
        <x:v>对甲酚</x:v>
      </x:c>
      <x:c r="I266" s="5" t="str">
        <x:v>苯乙醛</x:v>
      </x:c>
      <x:c r="J266" s="5" t="str">
        <x:v>β-大马酮</x:v>
      </x:c>
      <x:c r="K266" s="5" t="str">
        <x:v>M</x:v>
      </x:c>
      <x:c r="L266" s="5" t="str">
        <x:v>L</x:v>
      </x:c>
      <x:c r="M266" s="5" t="str">
        <x:v>H</x:v>
      </x:c>
      <x:c r="N266" s="5" t="str">
        <x:v>M</x:v>
      </x:c>
      <x:c r="O266" s="6" t="n">
        <x:f>'浓度水平'!G20</x:f>
        <x:v>1601</x:v>
      </x:c>
      <x:c r="P266" s="6" t="n">
        <x:f>'浓度水平'!F21</x:f>
        <x:v>334</x:v>
      </x:c>
      <x:c r="Q266" s="6" t="n">
        <x:f>'浓度水平'!H28</x:f>
        <x:v>15730</x:v>
      </x:c>
      <x:c r="R266" s="6" t="n">
        <x:f>'浓度水平'!G46</x:f>
        <x:v>5.42</x:v>
      </x:c>
      <x:c r="S266" s="6" t="n">
        <x:f>O266/'浓度水平'!E20</x:f>
        <x:v>124.10852713178294</x:v>
      </x:c>
      <x:c r="T266" s="6" t="n">
        <x:f>P266/'浓度水平'!E21</x:f>
        <x:v>2</x:v>
      </x:c>
      <x:c r="U266" s="6" t="n">
        <x:f>Q266/'浓度水平'!E28</x:f>
        <x:v>60.038167938931295</x:v>
      </x:c>
      <x:c r="V266" s="6" t="n">
        <x:f>R266/'浓度水平'!E46</x:f>
        <x:v>45.166666666666664</x:v>
      </x:c>
      <x:c r="W266" s="6" t="n">
        <x:f>O266*'固定基底'!$B$4/1000</x:f>
        <x:v>32.02</x:v>
      </x:c>
      <x:c r="X266" s="6" t="n">
        <x:f>P266*'固定基底'!$B$4/1000</x:f>
        <x:v>6.68</x:v>
      </x:c>
      <x:c r="Y266" s="6" t="n">
        <x:f>Q266*'固定基底'!$B$4/1000</x:f>
        <x:v>314.6</x:v>
      </x:c>
      <x:c r="Z266" s="6" t="n">
        <x:f>R266*'固定基底'!$B$4/1000</x:f>
        <x:v>0.10840000000000001</x:v>
      </x:c>
      <x:c r="AA266" s="2" t="n">
        <x:f>'固定基底'!$C$7</x:f>
        <x:v>92796.92267241378</x:v>
      </x:c>
      <x:c r="AB266" s="2" t="n">
        <x:f>'固定基底'!$C$8</x:f>
        <x:v>104175.5097553192</x:v>
      </x:c>
      <x:c r="AC266" s="2" t="n">
        <x:f>'固定基底'!$E$7</x:f>
        <x:v>1855.9384534482756</x:v>
      </x:c>
      <x:c r="AD266" s="2" t="n">
        <x:f>'固定基底'!$E$8</x:f>
        <x:v>2083.510195106384</x:v>
      </x:c>
    </x:row>
    <x:row r="267" ht="25" customHeight="1">
      <x:c r="A267" s="5" t="str">
        <x:v>G10-15</x:v>
      </x:c>
      <x:c r="B267" s="5" t="str">
        <x:v>G10</x:v>
      </x:c>
      <x:c r="C267" s="5" t="str">
        <x:v>BBD</x:v>
      </x:c>
      <x:c r="D267" s="5" t="str">
        <x:v>拟合</x:v>
      </x:c>
      <x:c r="E267" s="5" t="str">
        <x:v>边点</x:v>
      </x:c>
      <x:c r="F267" s="5" t="str"/>
      <x:c r="G267" s="5" t="str">
        <x:v>辛酸乙酯</x:v>
      </x:c>
      <x:c r="H267" s="5" t="str">
        <x:v>对甲酚</x:v>
      </x:c>
      <x:c r="I267" s="5" t="str">
        <x:v>苯乙醛</x:v>
      </x:c>
      <x:c r="J267" s="5" t="str">
        <x:v>β-大马酮</x:v>
      </x:c>
      <x:c r="K267" s="5" t="str">
        <x:v>M</x:v>
      </x:c>
      <x:c r="L267" s="5" t="str">
        <x:v>H</x:v>
      </x:c>
      <x:c r="M267" s="5" t="str">
        <x:v>L</x:v>
      </x:c>
      <x:c r="N267" s="5" t="str">
        <x:v>M</x:v>
      </x:c>
      <x:c r="O267" s="6" t="n">
        <x:f>'浓度水平'!G20</x:f>
        <x:v>1601</x:v>
      </x:c>
      <x:c r="P267" s="6" t="n">
        <x:f>'浓度水平'!H21</x:f>
        <x:v>6914</x:v>
      </x:c>
      <x:c r="Q267" s="6" t="n">
        <x:f>'浓度水平'!F28</x:f>
        <x:v>524</x:v>
      </x:c>
      <x:c r="R267" s="6" t="n">
        <x:f>'浓度水平'!G46</x:f>
        <x:v>5.42</x:v>
      </x:c>
      <x:c r="S267" s="6" t="n">
        <x:f>O267/'浓度水平'!E20</x:f>
        <x:v>124.10852713178294</x:v>
      </x:c>
      <x:c r="T267" s="6" t="n">
        <x:f>P267/'浓度水平'!E21</x:f>
        <x:v>41.40119760479042</x:v>
      </x:c>
      <x:c r="U267" s="6" t="n">
        <x:f>Q267/'浓度水平'!E28</x:f>
        <x:v>2</x:v>
      </x:c>
      <x:c r="V267" s="6" t="n">
        <x:f>R267/'浓度水平'!E46</x:f>
        <x:v>45.166666666666664</x:v>
      </x:c>
      <x:c r="W267" s="6" t="n">
        <x:f>O267*'固定基底'!$B$4/1000</x:f>
        <x:v>32.02</x:v>
      </x:c>
      <x:c r="X267" s="6" t="n">
        <x:f>P267*'固定基底'!$B$4/1000</x:f>
        <x:v>138.28</x:v>
      </x:c>
      <x:c r="Y267" s="6" t="n">
        <x:f>Q267*'固定基底'!$B$4/1000</x:f>
        <x:v>10.48</x:v>
      </x:c>
      <x:c r="Z267" s="6" t="n">
        <x:f>R267*'固定基底'!$B$4/1000</x:f>
        <x:v>0.10840000000000001</x:v>
      </x:c>
      <x:c r="AA267" s="2" t="n">
        <x:f>'固定基底'!$C$7</x:f>
        <x:v>92796.92267241378</x:v>
      </x:c>
      <x:c r="AB267" s="2" t="n">
        <x:f>'固定基底'!$C$8</x:f>
        <x:v>104175.5097553192</x:v>
      </x:c>
      <x:c r="AC267" s="2" t="n">
        <x:f>'固定基底'!$E$7</x:f>
        <x:v>1855.9384534482756</x:v>
      </x:c>
      <x:c r="AD267" s="2" t="n">
        <x:f>'固定基底'!$E$8</x:f>
        <x:v>2083.510195106384</x:v>
      </x:c>
    </x:row>
    <x:row r="268" ht="25" customHeight="1">
      <x:c r="A268" s="5" t="str">
        <x:v>G10-16</x:v>
      </x:c>
      <x:c r="B268" s="5" t="str">
        <x:v>G10</x:v>
      </x:c>
      <x:c r="C268" s="5" t="str">
        <x:v>BBD</x:v>
      </x:c>
      <x:c r="D268" s="5" t="str">
        <x:v>拟合</x:v>
      </x:c>
      <x:c r="E268" s="5" t="str">
        <x:v>边点</x:v>
      </x:c>
      <x:c r="F268" s="5" t="str"/>
      <x:c r="G268" s="5" t="str">
        <x:v>辛酸乙酯</x:v>
      </x:c>
      <x:c r="H268" s="5" t="str">
        <x:v>对甲酚</x:v>
      </x:c>
      <x:c r="I268" s="5" t="str">
        <x:v>苯乙醛</x:v>
      </x:c>
      <x:c r="J268" s="5" t="str">
        <x:v>β-大马酮</x:v>
      </x:c>
      <x:c r="K268" s="5" t="str">
        <x:v>M</x:v>
      </x:c>
      <x:c r="L268" s="5" t="str">
        <x:v>H</x:v>
      </x:c>
      <x:c r="M268" s="5" t="str">
        <x:v>H</x:v>
      </x:c>
      <x:c r="N268" s="5" t="str">
        <x:v>M</x:v>
      </x:c>
      <x:c r="O268" s="6" t="n">
        <x:f>'浓度水平'!G20</x:f>
        <x:v>1601</x:v>
      </x:c>
      <x:c r="P268" s="6" t="n">
        <x:f>'浓度水平'!H21</x:f>
        <x:v>6914</x:v>
      </x:c>
      <x:c r="Q268" s="6" t="n">
        <x:f>'浓度水平'!H28</x:f>
        <x:v>15730</x:v>
      </x:c>
      <x:c r="R268" s="6" t="n">
        <x:f>'浓度水平'!G46</x:f>
        <x:v>5.42</x:v>
      </x:c>
      <x:c r="S268" s="6" t="n">
        <x:f>O268/'浓度水平'!E20</x:f>
        <x:v>124.10852713178294</x:v>
      </x:c>
      <x:c r="T268" s="6" t="n">
        <x:f>P268/'浓度水平'!E21</x:f>
        <x:v>41.40119760479042</x:v>
      </x:c>
      <x:c r="U268" s="6" t="n">
        <x:f>Q268/'浓度水平'!E28</x:f>
        <x:v>60.038167938931295</x:v>
      </x:c>
      <x:c r="V268" s="6" t="n">
        <x:f>R268/'浓度水平'!E46</x:f>
        <x:v>45.166666666666664</x:v>
      </x:c>
      <x:c r="W268" s="6" t="n">
        <x:f>O268*'固定基底'!$B$4/1000</x:f>
        <x:v>32.02</x:v>
      </x:c>
      <x:c r="X268" s="6" t="n">
        <x:f>P268*'固定基底'!$B$4/1000</x:f>
        <x:v>138.28</x:v>
      </x:c>
      <x:c r="Y268" s="6" t="n">
        <x:f>Q268*'固定基底'!$B$4/1000</x:f>
        <x:v>314.6</x:v>
      </x:c>
      <x:c r="Z268" s="6" t="n">
        <x:f>R268*'固定基底'!$B$4/1000</x:f>
        <x:v>0.10840000000000001</x:v>
      </x:c>
      <x:c r="AA268" s="2" t="n">
        <x:f>'固定基底'!$C$7</x:f>
        <x:v>92796.92267241378</x:v>
      </x:c>
      <x:c r="AB268" s="2" t="n">
        <x:f>'固定基底'!$C$8</x:f>
        <x:v>104175.5097553192</x:v>
      </x:c>
      <x:c r="AC268" s="2" t="n">
        <x:f>'固定基底'!$E$7</x:f>
        <x:v>1855.9384534482756</x:v>
      </x:c>
      <x:c r="AD268" s="2" t="n">
        <x:f>'固定基底'!$E$8</x:f>
        <x:v>2083.510195106384</x:v>
      </x:c>
    </x:row>
    <x:row r="269" ht="25" customHeight="1">
      <x:c r="A269" s="5" t="str">
        <x:v>G10-17</x:v>
      </x:c>
      <x:c r="B269" s="5" t="str">
        <x:v>G10</x:v>
      </x:c>
      <x:c r="C269" s="5" t="str">
        <x:v>BBD</x:v>
      </x:c>
      <x:c r="D269" s="5" t="str">
        <x:v>拟合</x:v>
      </x:c>
      <x:c r="E269" s="5" t="str">
        <x:v>边点</x:v>
      </x:c>
      <x:c r="F269" s="5" t="str"/>
      <x:c r="G269" s="5" t="str">
        <x:v>辛酸乙酯</x:v>
      </x:c>
      <x:c r="H269" s="5" t="str">
        <x:v>对甲酚</x:v>
      </x:c>
      <x:c r="I269" s="5" t="str">
        <x:v>苯乙醛</x:v>
      </x:c>
      <x:c r="J269" s="5" t="str">
        <x:v>β-大马酮</x:v>
      </x:c>
      <x:c r="K269" s="5" t="str">
        <x:v>M</x:v>
      </x:c>
      <x:c r="L269" s="5" t="str">
        <x:v>L</x:v>
      </x:c>
      <x:c r="M269" s="5" t="str">
        <x:v>M</x:v>
      </x:c>
      <x:c r="N269" s="5" t="str">
        <x:v>L</x:v>
      </x:c>
      <x:c r="O269" s="6" t="n">
        <x:f>'浓度水平'!G20</x:f>
        <x:v>1601</x:v>
      </x:c>
      <x:c r="P269" s="6" t="n">
        <x:f>'浓度水平'!F21</x:f>
        <x:v>334</x:v>
      </x:c>
      <x:c r="Q269" s="6" t="n">
        <x:f>'浓度水平'!G28</x:f>
        <x:v>556.325</x:v>
      </x:c>
      <x:c r="R269" s="6" t="n">
        <x:f>'浓度水平'!F46</x:f>
        <x:v>0.24</x:v>
      </x:c>
      <x:c r="S269" s="6" t="n">
        <x:f>O269/'浓度水平'!E20</x:f>
        <x:v>124.10852713178294</x:v>
      </x:c>
      <x:c r="T269" s="6" t="n">
        <x:f>P269/'浓度水平'!E21</x:f>
        <x:v>2</x:v>
      </x:c>
      <x:c r="U269" s="6" t="n">
        <x:f>Q269/'浓度水平'!E28</x:f>
        <x:v>2.12337786259542</x:v>
      </x:c>
      <x:c r="V269" s="6" t="n">
        <x:f>R269/'浓度水平'!E46</x:f>
        <x:v>2</x:v>
      </x:c>
      <x:c r="W269" s="6" t="n">
        <x:f>O269*'固定基底'!$B$4/1000</x:f>
        <x:v>32.02</x:v>
      </x:c>
      <x:c r="X269" s="6" t="n">
        <x:f>P269*'固定基底'!$B$4/1000</x:f>
        <x:v>6.68</x:v>
      </x:c>
      <x:c r="Y269" s="6" t="n">
        <x:f>Q269*'固定基底'!$B$4/1000</x:f>
        <x:v>11.1265</x:v>
      </x:c>
      <x:c r="Z269" s="6" t="n">
        <x:f>R269*'固定基底'!$B$4/1000</x:f>
        <x:v>0.0048</x:v>
      </x:c>
      <x:c r="AA269" s="2" t="n">
        <x:f>'固定基底'!$C$7</x:f>
        <x:v>92796.92267241378</x:v>
      </x:c>
      <x:c r="AB269" s="2" t="n">
        <x:f>'固定基底'!$C$8</x:f>
        <x:v>104175.5097553192</x:v>
      </x:c>
      <x:c r="AC269" s="2" t="n">
        <x:f>'固定基底'!$E$7</x:f>
        <x:v>1855.9384534482756</x:v>
      </x:c>
      <x:c r="AD269" s="2" t="n">
        <x:f>'固定基底'!$E$8</x:f>
        <x:v>2083.510195106384</x:v>
      </x:c>
    </x:row>
    <x:row r="270" ht="25" customHeight="1">
      <x:c r="A270" s="5" t="str">
        <x:v>G10-18</x:v>
      </x:c>
      <x:c r="B270" s="5" t="str">
        <x:v>G10</x:v>
      </x:c>
      <x:c r="C270" s="5" t="str">
        <x:v>BBD</x:v>
      </x:c>
      <x:c r="D270" s="5" t="str">
        <x:v>拟合</x:v>
      </x:c>
      <x:c r="E270" s="5" t="str">
        <x:v>边点</x:v>
      </x:c>
      <x:c r="F270" s="5" t="str"/>
      <x:c r="G270" s="5" t="str">
        <x:v>辛酸乙酯</x:v>
      </x:c>
      <x:c r="H270" s="5" t="str">
        <x:v>对甲酚</x:v>
      </x:c>
      <x:c r="I270" s="5" t="str">
        <x:v>苯乙醛</x:v>
      </x:c>
      <x:c r="J270" s="5" t="str">
        <x:v>β-大马酮</x:v>
      </x:c>
      <x:c r="K270" s="5" t="str">
        <x:v>M</x:v>
      </x:c>
      <x:c r="L270" s="5" t="str">
        <x:v>L</x:v>
      </x:c>
      <x:c r="M270" s="5" t="str">
        <x:v>M</x:v>
      </x:c>
      <x:c r="N270" s="5" t="str">
        <x:v>H</x:v>
      </x:c>
      <x:c r="O270" s="6" t="n">
        <x:f>'浓度水平'!G20</x:f>
        <x:v>1601</x:v>
      </x:c>
      <x:c r="P270" s="6" t="n">
        <x:f>'浓度水平'!F21</x:f>
        <x:v>334</x:v>
      </x:c>
      <x:c r="Q270" s="6" t="n">
        <x:f>'浓度水平'!G28</x:f>
        <x:v>556.325</x:v>
      </x:c>
      <x:c r="R270" s="6" t="n">
        <x:f>'浓度水平'!H46</x:f>
        <x:v>60.76</x:v>
      </x:c>
      <x:c r="S270" s="6" t="n">
        <x:f>O270/'浓度水平'!E20</x:f>
        <x:v>124.10852713178294</x:v>
      </x:c>
      <x:c r="T270" s="6" t="n">
        <x:f>P270/'浓度水平'!E21</x:f>
        <x:v>2</x:v>
      </x:c>
      <x:c r="U270" s="6" t="n">
        <x:f>Q270/'浓度水平'!E28</x:f>
        <x:v>2.12337786259542</x:v>
      </x:c>
      <x:c r="V270" s="6" t="n">
        <x:f>R270/'浓度水平'!E46</x:f>
        <x:v>506.3333333333333</x:v>
      </x:c>
      <x:c r="W270" s="6" t="n">
        <x:f>O270*'固定基底'!$B$4/1000</x:f>
        <x:v>32.02</x:v>
      </x:c>
      <x:c r="X270" s="6" t="n">
        <x:f>P270*'固定基底'!$B$4/1000</x:f>
        <x:v>6.68</x:v>
      </x:c>
      <x:c r="Y270" s="6" t="n">
        <x:f>Q270*'固定基底'!$B$4/1000</x:f>
        <x:v>11.1265</x:v>
      </x:c>
      <x:c r="Z270" s="6" t="n">
        <x:f>R270*'固定基底'!$B$4/1000</x:f>
        <x:v>1.2152</x:v>
      </x:c>
      <x:c r="AA270" s="2" t="n">
        <x:f>'固定基底'!$C$7</x:f>
        <x:v>92796.92267241378</x:v>
      </x:c>
      <x:c r="AB270" s="2" t="n">
        <x:f>'固定基底'!$C$8</x:f>
        <x:v>104175.5097553192</x:v>
      </x:c>
      <x:c r="AC270" s="2" t="n">
        <x:f>'固定基底'!$E$7</x:f>
        <x:v>1855.9384534482756</x:v>
      </x:c>
      <x:c r="AD270" s="2" t="n">
        <x:f>'固定基底'!$E$8</x:f>
        <x:v>2083.510195106384</x:v>
      </x:c>
    </x:row>
    <x:row r="271" ht="25" customHeight="1">
      <x:c r="A271" s="5" t="str">
        <x:v>G10-19</x:v>
      </x:c>
      <x:c r="B271" s="5" t="str">
        <x:v>G10</x:v>
      </x:c>
      <x:c r="C271" s="5" t="str">
        <x:v>BBD</x:v>
      </x:c>
      <x:c r="D271" s="5" t="str">
        <x:v>拟合</x:v>
      </x:c>
      <x:c r="E271" s="5" t="str">
        <x:v>边点</x:v>
      </x:c>
      <x:c r="F271" s="5" t="str"/>
      <x:c r="G271" s="5" t="str">
        <x:v>辛酸乙酯</x:v>
      </x:c>
      <x:c r="H271" s="5" t="str">
        <x:v>对甲酚</x:v>
      </x:c>
      <x:c r="I271" s="5" t="str">
        <x:v>苯乙醛</x:v>
      </x:c>
      <x:c r="J271" s="5" t="str">
        <x:v>β-大马酮</x:v>
      </x:c>
      <x:c r="K271" s="5" t="str">
        <x:v>M</x:v>
      </x:c>
      <x:c r="L271" s="5" t="str">
        <x:v>H</x:v>
      </x:c>
      <x:c r="M271" s="5" t="str">
        <x:v>M</x:v>
      </x:c>
      <x:c r="N271" s="5" t="str">
        <x:v>L</x:v>
      </x:c>
      <x:c r="O271" s="6" t="n">
        <x:f>'浓度水平'!G20</x:f>
        <x:v>1601</x:v>
      </x:c>
      <x:c r="P271" s="6" t="n">
        <x:f>'浓度水平'!H21</x:f>
        <x:v>6914</x:v>
      </x:c>
      <x:c r="Q271" s="6" t="n">
        <x:f>'浓度水平'!G28</x:f>
        <x:v>556.325</x:v>
      </x:c>
      <x:c r="R271" s="6" t="n">
        <x:f>'浓度水平'!F46</x:f>
        <x:v>0.24</x:v>
      </x:c>
      <x:c r="S271" s="6" t="n">
        <x:f>O271/'浓度水平'!E20</x:f>
        <x:v>124.10852713178294</x:v>
      </x:c>
      <x:c r="T271" s="6" t="n">
        <x:f>P271/'浓度水平'!E21</x:f>
        <x:v>41.40119760479042</x:v>
      </x:c>
      <x:c r="U271" s="6" t="n">
        <x:f>Q271/'浓度水平'!E28</x:f>
        <x:v>2.12337786259542</x:v>
      </x:c>
      <x:c r="V271" s="6" t="n">
        <x:f>R271/'浓度水平'!E46</x:f>
        <x:v>2</x:v>
      </x:c>
      <x:c r="W271" s="6" t="n">
        <x:f>O271*'固定基底'!$B$4/1000</x:f>
        <x:v>32.02</x:v>
      </x:c>
      <x:c r="X271" s="6" t="n">
        <x:f>P271*'固定基底'!$B$4/1000</x:f>
        <x:v>138.28</x:v>
      </x:c>
      <x:c r="Y271" s="6" t="n">
        <x:f>Q271*'固定基底'!$B$4/1000</x:f>
        <x:v>11.1265</x:v>
      </x:c>
      <x:c r="Z271" s="6" t="n">
        <x:f>R271*'固定基底'!$B$4/1000</x:f>
        <x:v>0.0048</x:v>
      </x:c>
      <x:c r="AA271" s="2" t="n">
        <x:f>'固定基底'!$C$7</x:f>
        <x:v>92796.92267241378</x:v>
      </x:c>
      <x:c r="AB271" s="2" t="n">
        <x:f>'固定基底'!$C$8</x:f>
        <x:v>104175.5097553192</x:v>
      </x:c>
      <x:c r="AC271" s="2" t="n">
        <x:f>'固定基底'!$E$7</x:f>
        <x:v>1855.9384534482756</x:v>
      </x:c>
      <x:c r="AD271" s="2" t="n">
        <x:f>'固定基底'!$E$8</x:f>
        <x:v>2083.510195106384</x:v>
      </x:c>
    </x:row>
    <x:row r="272" ht="25" customHeight="1">
      <x:c r="A272" s="5" t="str">
        <x:v>G10-20</x:v>
      </x:c>
      <x:c r="B272" s="5" t="str">
        <x:v>G10</x:v>
      </x:c>
      <x:c r="C272" s="5" t="str">
        <x:v>BBD</x:v>
      </x:c>
      <x:c r="D272" s="5" t="str">
        <x:v>拟合</x:v>
      </x:c>
      <x:c r="E272" s="5" t="str">
        <x:v>边点</x:v>
      </x:c>
      <x:c r="F272" s="5" t="str"/>
      <x:c r="G272" s="5" t="str">
        <x:v>辛酸乙酯</x:v>
      </x:c>
      <x:c r="H272" s="5" t="str">
        <x:v>对甲酚</x:v>
      </x:c>
      <x:c r="I272" s="5" t="str">
        <x:v>苯乙醛</x:v>
      </x:c>
      <x:c r="J272" s="5" t="str">
        <x:v>β-大马酮</x:v>
      </x:c>
      <x:c r="K272" s="5" t="str">
        <x:v>M</x:v>
      </x:c>
      <x:c r="L272" s="5" t="str">
        <x:v>H</x:v>
      </x:c>
      <x:c r="M272" s="5" t="str">
        <x:v>M</x:v>
      </x:c>
      <x:c r="N272" s="5" t="str">
        <x:v>H</x:v>
      </x:c>
      <x:c r="O272" s="6" t="n">
        <x:f>'浓度水平'!G20</x:f>
        <x:v>1601</x:v>
      </x:c>
      <x:c r="P272" s="6" t="n">
        <x:f>'浓度水平'!H21</x:f>
        <x:v>6914</x:v>
      </x:c>
      <x:c r="Q272" s="6" t="n">
        <x:f>'浓度水平'!G28</x:f>
        <x:v>556.325</x:v>
      </x:c>
      <x:c r="R272" s="6" t="n">
        <x:f>'浓度水平'!H46</x:f>
        <x:v>60.76</x:v>
      </x:c>
      <x:c r="S272" s="6" t="n">
        <x:f>O272/'浓度水平'!E20</x:f>
        <x:v>124.10852713178294</x:v>
      </x:c>
      <x:c r="T272" s="6" t="n">
        <x:f>P272/'浓度水平'!E21</x:f>
        <x:v>41.40119760479042</x:v>
      </x:c>
      <x:c r="U272" s="6" t="n">
        <x:f>Q272/'浓度水平'!E28</x:f>
        <x:v>2.12337786259542</x:v>
      </x:c>
      <x:c r="V272" s="6" t="n">
        <x:f>R272/'浓度水平'!E46</x:f>
        <x:v>506.3333333333333</x:v>
      </x:c>
      <x:c r="W272" s="6" t="n">
        <x:f>O272*'固定基底'!$B$4/1000</x:f>
        <x:v>32.02</x:v>
      </x:c>
      <x:c r="X272" s="6" t="n">
        <x:f>P272*'固定基底'!$B$4/1000</x:f>
        <x:v>138.28</x:v>
      </x:c>
      <x:c r="Y272" s="6" t="n">
        <x:f>Q272*'固定基底'!$B$4/1000</x:f>
        <x:v>11.1265</x:v>
      </x:c>
      <x:c r="Z272" s="6" t="n">
        <x:f>R272*'固定基底'!$B$4/1000</x:f>
        <x:v>1.2152</x:v>
      </x:c>
      <x:c r="AA272" s="2" t="n">
        <x:f>'固定基底'!$C$7</x:f>
        <x:v>92796.92267241378</x:v>
      </x:c>
      <x:c r="AB272" s="2" t="n">
        <x:f>'固定基底'!$C$8</x:f>
        <x:v>104175.5097553192</x:v>
      </x:c>
      <x:c r="AC272" s="2" t="n">
        <x:f>'固定基底'!$E$7</x:f>
        <x:v>1855.9384534482756</x:v>
      </x:c>
      <x:c r="AD272" s="2" t="n">
        <x:f>'固定基底'!$E$8</x:f>
        <x:v>2083.510195106384</x:v>
      </x:c>
    </x:row>
    <x:row r="273" ht="25" customHeight="1">
      <x:c r="A273" s="5" t="str">
        <x:v>G10-21</x:v>
      </x:c>
      <x:c r="B273" s="5" t="str">
        <x:v>G10</x:v>
      </x:c>
      <x:c r="C273" s="5" t="str">
        <x:v>BBD</x:v>
      </x:c>
      <x:c r="D273" s="5" t="str">
        <x:v>拟合</x:v>
      </x:c>
      <x:c r="E273" s="5" t="str">
        <x:v>边点</x:v>
      </x:c>
      <x:c r="F273" s="5" t="str"/>
      <x:c r="G273" s="5" t="str">
        <x:v>辛酸乙酯</x:v>
      </x:c>
      <x:c r="H273" s="5" t="str">
        <x:v>对甲酚</x:v>
      </x:c>
      <x:c r="I273" s="5" t="str">
        <x:v>苯乙醛</x:v>
      </x:c>
      <x:c r="J273" s="5" t="str">
        <x:v>β-大马酮</x:v>
      </x:c>
      <x:c r="K273" s="5" t="str">
        <x:v>M</x:v>
      </x:c>
      <x:c r="L273" s="5" t="str">
        <x:v>M</x:v>
      </x:c>
      <x:c r="M273" s="5" t="str">
        <x:v>L</x:v>
      </x:c>
      <x:c r="N273" s="5" t="str">
        <x:v>L</x:v>
      </x:c>
      <x:c r="O273" s="6" t="n">
        <x:f>'浓度水平'!G20</x:f>
        <x:v>1601</x:v>
      </x:c>
      <x:c r="P273" s="6" t="n">
        <x:f>'浓度水平'!G21</x:f>
        <x:v>359.87</x:v>
      </x:c>
      <x:c r="Q273" s="6" t="n">
        <x:f>'浓度水平'!F28</x:f>
        <x:v>524</x:v>
      </x:c>
      <x:c r="R273" s="6" t="n">
        <x:f>'浓度水平'!F46</x:f>
        <x:v>0.24</x:v>
      </x:c>
      <x:c r="S273" s="6" t="n">
        <x:f>O273/'浓度水平'!E20</x:f>
        <x:v>124.10852713178294</x:v>
      </x:c>
      <x:c r="T273" s="6" t="n">
        <x:f>P273/'浓度水平'!E21</x:f>
        <x:v>2.1549101796407184</x:v>
      </x:c>
      <x:c r="U273" s="6" t="n">
        <x:f>Q273/'浓度水平'!E28</x:f>
        <x:v>2</x:v>
      </x:c>
      <x:c r="V273" s="6" t="n">
        <x:f>R273/'浓度水平'!E46</x:f>
        <x:v>2</x:v>
      </x:c>
      <x:c r="W273" s="6" t="n">
        <x:f>O273*'固定基底'!$B$4/1000</x:f>
        <x:v>32.02</x:v>
      </x:c>
      <x:c r="X273" s="6" t="n">
        <x:f>P273*'固定基底'!$B$4/1000</x:f>
        <x:v>7.1974</x:v>
      </x:c>
      <x:c r="Y273" s="6" t="n">
        <x:f>Q273*'固定基底'!$B$4/1000</x:f>
        <x:v>10.48</x:v>
      </x:c>
      <x:c r="Z273" s="6" t="n">
        <x:f>R273*'固定基底'!$B$4/1000</x:f>
        <x:v>0.0048</x:v>
      </x:c>
      <x:c r="AA273" s="2" t="n">
        <x:f>'固定基底'!$C$7</x:f>
        <x:v>92796.92267241378</x:v>
      </x:c>
      <x:c r="AB273" s="2" t="n">
        <x:f>'固定基底'!$C$8</x:f>
        <x:v>104175.5097553192</x:v>
      </x:c>
      <x:c r="AC273" s="2" t="n">
        <x:f>'固定基底'!$E$7</x:f>
        <x:v>1855.9384534482756</x:v>
      </x:c>
      <x:c r="AD273" s="2" t="n">
        <x:f>'固定基底'!$E$8</x:f>
        <x:v>2083.510195106384</x:v>
      </x:c>
    </x:row>
    <x:row r="274" ht="25" customHeight="1">
      <x:c r="A274" s="5" t="str">
        <x:v>G10-22</x:v>
      </x:c>
      <x:c r="B274" s="5" t="str">
        <x:v>G10</x:v>
      </x:c>
      <x:c r="C274" s="5" t="str">
        <x:v>BBD</x:v>
      </x:c>
      <x:c r="D274" s="5" t="str">
        <x:v>拟合</x:v>
      </x:c>
      <x:c r="E274" s="5" t="str">
        <x:v>边点</x:v>
      </x:c>
      <x:c r="F274" s="5" t="str"/>
      <x:c r="G274" s="5" t="str">
        <x:v>辛酸乙酯</x:v>
      </x:c>
      <x:c r="H274" s="5" t="str">
        <x:v>对甲酚</x:v>
      </x:c>
      <x:c r="I274" s="5" t="str">
        <x:v>苯乙醛</x:v>
      </x:c>
      <x:c r="J274" s="5" t="str">
        <x:v>β-大马酮</x:v>
      </x:c>
      <x:c r="K274" s="5" t="str">
        <x:v>M</x:v>
      </x:c>
      <x:c r="L274" s="5" t="str">
        <x:v>M</x:v>
      </x:c>
      <x:c r="M274" s="5" t="str">
        <x:v>L</x:v>
      </x:c>
      <x:c r="N274" s="5" t="str">
        <x:v>H</x:v>
      </x:c>
      <x:c r="O274" s="6" t="n">
        <x:f>'浓度水平'!G20</x:f>
        <x:v>1601</x:v>
      </x:c>
      <x:c r="P274" s="6" t="n">
        <x:f>'浓度水平'!G21</x:f>
        <x:v>359.87</x:v>
      </x:c>
      <x:c r="Q274" s="6" t="n">
        <x:f>'浓度水平'!F28</x:f>
        <x:v>524</x:v>
      </x:c>
      <x:c r="R274" s="6" t="n">
        <x:f>'浓度水平'!H46</x:f>
        <x:v>60.76</x:v>
      </x:c>
      <x:c r="S274" s="6" t="n">
        <x:f>O274/'浓度水平'!E20</x:f>
        <x:v>124.10852713178294</x:v>
      </x:c>
      <x:c r="T274" s="6" t="n">
        <x:f>P274/'浓度水平'!E21</x:f>
        <x:v>2.1549101796407184</x:v>
      </x:c>
      <x:c r="U274" s="6" t="n">
        <x:f>Q274/'浓度水平'!E28</x:f>
        <x:v>2</x:v>
      </x:c>
      <x:c r="V274" s="6" t="n">
        <x:f>R274/'浓度水平'!E46</x:f>
        <x:v>506.3333333333333</x:v>
      </x:c>
      <x:c r="W274" s="6" t="n">
        <x:f>O274*'固定基底'!$B$4/1000</x:f>
        <x:v>32.02</x:v>
      </x:c>
      <x:c r="X274" s="6" t="n">
        <x:f>P274*'固定基底'!$B$4/1000</x:f>
        <x:v>7.1974</x:v>
      </x:c>
      <x:c r="Y274" s="6" t="n">
        <x:f>Q274*'固定基底'!$B$4/1000</x:f>
        <x:v>10.48</x:v>
      </x:c>
      <x:c r="Z274" s="6" t="n">
        <x:f>R274*'固定基底'!$B$4/1000</x:f>
        <x:v>1.2152</x:v>
      </x:c>
      <x:c r="AA274" s="2" t="n">
        <x:f>'固定基底'!$C$7</x:f>
        <x:v>92796.92267241378</x:v>
      </x:c>
      <x:c r="AB274" s="2" t="n">
        <x:f>'固定基底'!$C$8</x:f>
        <x:v>104175.5097553192</x:v>
      </x:c>
      <x:c r="AC274" s="2" t="n">
        <x:f>'固定基底'!$E$7</x:f>
        <x:v>1855.9384534482756</x:v>
      </x:c>
      <x:c r="AD274" s="2" t="n">
        <x:f>'固定基底'!$E$8</x:f>
        <x:v>2083.510195106384</x:v>
      </x:c>
    </x:row>
    <x:row r="275" ht="25" customHeight="1">
      <x:c r="A275" s="5" t="str">
        <x:v>G10-23</x:v>
      </x:c>
      <x:c r="B275" s="5" t="str">
        <x:v>G10</x:v>
      </x:c>
      <x:c r="C275" s="5" t="str">
        <x:v>BBD</x:v>
      </x:c>
      <x:c r="D275" s="5" t="str">
        <x:v>拟合</x:v>
      </x:c>
      <x:c r="E275" s="5" t="str">
        <x:v>边点</x:v>
      </x:c>
      <x:c r="F275" s="5" t="str"/>
      <x:c r="G275" s="5" t="str">
        <x:v>辛酸乙酯</x:v>
      </x:c>
      <x:c r="H275" s="5" t="str">
        <x:v>对甲酚</x:v>
      </x:c>
      <x:c r="I275" s="5" t="str">
        <x:v>苯乙醛</x:v>
      </x:c>
      <x:c r="J275" s="5" t="str">
        <x:v>β-大马酮</x:v>
      </x:c>
      <x:c r="K275" s="5" t="str">
        <x:v>M</x:v>
      </x:c>
      <x:c r="L275" s="5" t="str">
        <x:v>M</x:v>
      </x:c>
      <x:c r="M275" s="5" t="str">
        <x:v>H</x:v>
      </x:c>
      <x:c r="N275" s="5" t="str">
        <x:v>L</x:v>
      </x:c>
      <x:c r="O275" s="6" t="n">
        <x:f>'浓度水平'!G20</x:f>
        <x:v>1601</x:v>
      </x:c>
      <x:c r="P275" s="6" t="n">
        <x:f>'浓度水平'!G21</x:f>
        <x:v>359.87</x:v>
      </x:c>
      <x:c r="Q275" s="6" t="n">
        <x:f>'浓度水平'!H28</x:f>
        <x:v>15730</x:v>
      </x:c>
      <x:c r="R275" s="6" t="n">
        <x:f>'浓度水平'!F46</x:f>
        <x:v>0.24</x:v>
      </x:c>
      <x:c r="S275" s="6" t="n">
        <x:f>O275/'浓度水平'!E20</x:f>
        <x:v>124.10852713178294</x:v>
      </x:c>
      <x:c r="T275" s="6" t="n">
        <x:f>P275/'浓度水平'!E21</x:f>
        <x:v>2.1549101796407184</x:v>
      </x:c>
      <x:c r="U275" s="6" t="n">
        <x:f>Q275/'浓度水平'!E28</x:f>
        <x:v>60.038167938931295</x:v>
      </x:c>
      <x:c r="V275" s="6" t="n">
        <x:f>R275/'浓度水平'!E46</x:f>
        <x:v>2</x:v>
      </x:c>
      <x:c r="W275" s="6" t="n">
        <x:f>O275*'固定基底'!$B$4/1000</x:f>
        <x:v>32.02</x:v>
      </x:c>
      <x:c r="X275" s="6" t="n">
        <x:f>P275*'固定基底'!$B$4/1000</x:f>
        <x:v>7.1974</x:v>
      </x:c>
      <x:c r="Y275" s="6" t="n">
        <x:f>Q275*'固定基底'!$B$4/1000</x:f>
        <x:v>314.6</x:v>
      </x:c>
      <x:c r="Z275" s="6" t="n">
        <x:f>R275*'固定基底'!$B$4/1000</x:f>
        <x:v>0.0048</x:v>
      </x:c>
      <x:c r="AA275" s="2" t="n">
        <x:f>'固定基底'!$C$7</x:f>
        <x:v>92796.92267241378</x:v>
      </x:c>
      <x:c r="AB275" s="2" t="n">
        <x:f>'固定基底'!$C$8</x:f>
        <x:v>104175.5097553192</x:v>
      </x:c>
      <x:c r="AC275" s="2" t="n">
        <x:f>'固定基底'!$E$7</x:f>
        <x:v>1855.9384534482756</x:v>
      </x:c>
      <x:c r="AD275" s="2" t="n">
        <x:f>'固定基底'!$E$8</x:f>
        <x:v>2083.510195106384</x:v>
      </x:c>
    </x:row>
    <x:row r="276" ht="25" customHeight="1">
      <x:c r="A276" s="5" t="str">
        <x:v>G10-24</x:v>
      </x:c>
      <x:c r="B276" s="5" t="str">
        <x:v>G10</x:v>
      </x:c>
      <x:c r="C276" s="5" t="str">
        <x:v>BBD</x:v>
      </x:c>
      <x:c r="D276" s="5" t="str">
        <x:v>拟合</x:v>
      </x:c>
      <x:c r="E276" s="5" t="str">
        <x:v>边点</x:v>
      </x:c>
      <x:c r="F276" s="5" t="str"/>
      <x:c r="G276" s="5" t="str">
        <x:v>辛酸乙酯</x:v>
      </x:c>
      <x:c r="H276" s="5" t="str">
        <x:v>对甲酚</x:v>
      </x:c>
      <x:c r="I276" s="5" t="str">
        <x:v>苯乙醛</x:v>
      </x:c>
      <x:c r="J276" s="5" t="str">
        <x:v>β-大马酮</x:v>
      </x:c>
      <x:c r="K276" s="5" t="str">
        <x:v>M</x:v>
      </x:c>
      <x:c r="L276" s="5" t="str">
        <x:v>M</x:v>
      </x:c>
      <x:c r="M276" s="5" t="str">
        <x:v>H</x:v>
      </x:c>
      <x:c r="N276" s="5" t="str">
        <x:v>H</x:v>
      </x:c>
      <x:c r="O276" s="6" t="n">
        <x:f>'浓度水平'!G20</x:f>
        <x:v>1601</x:v>
      </x:c>
      <x:c r="P276" s="6" t="n">
        <x:f>'浓度水平'!G21</x:f>
        <x:v>359.87</x:v>
      </x:c>
      <x:c r="Q276" s="6" t="n">
        <x:f>'浓度水平'!H28</x:f>
        <x:v>15730</x:v>
      </x:c>
      <x:c r="R276" s="6" t="n">
        <x:f>'浓度水平'!H46</x:f>
        <x:v>60.76</x:v>
      </x:c>
      <x:c r="S276" s="6" t="n">
        <x:f>O276/'浓度水平'!E20</x:f>
        <x:v>124.10852713178294</x:v>
      </x:c>
      <x:c r="T276" s="6" t="n">
        <x:f>P276/'浓度水平'!E21</x:f>
        <x:v>2.1549101796407184</x:v>
      </x:c>
      <x:c r="U276" s="6" t="n">
        <x:f>Q276/'浓度水平'!E28</x:f>
        <x:v>60.038167938931295</x:v>
      </x:c>
      <x:c r="V276" s="6" t="n">
        <x:f>R276/'浓度水平'!E46</x:f>
        <x:v>506.3333333333333</x:v>
      </x:c>
      <x:c r="W276" s="6" t="n">
        <x:f>O276*'固定基底'!$B$4/1000</x:f>
        <x:v>32.02</x:v>
      </x:c>
      <x:c r="X276" s="6" t="n">
        <x:f>P276*'固定基底'!$B$4/1000</x:f>
        <x:v>7.1974</x:v>
      </x:c>
      <x:c r="Y276" s="6" t="n">
        <x:f>Q276*'固定基底'!$B$4/1000</x:f>
        <x:v>314.6</x:v>
      </x:c>
      <x:c r="Z276" s="6" t="n">
        <x:f>R276*'固定基底'!$B$4/1000</x:f>
        <x:v>1.2152</x:v>
      </x:c>
      <x:c r="AA276" s="2" t="n">
        <x:f>'固定基底'!$C$7</x:f>
        <x:v>92796.92267241378</x:v>
      </x:c>
      <x:c r="AB276" s="2" t="n">
        <x:f>'固定基底'!$C$8</x:f>
        <x:v>104175.5097553192</x:v>
      </x:c>
      <x:c r="AC276" s="2" t="n">
        <x:f>'固定基底'!$E$7</x:f>
        <x:v>1855.9384534482756</x:v>
      </x:c>
      <x:c r="AD276" s="2" t="n">
        <x:f>'固定基底'!$E$8</x:f>
        <x:v>2083.510195106384</x:v>
      </x:c>
    </x:row>
    <x:row r="277" ht="25" customHeight="1">
      <x:c r="A277" s="5" t="str">
        <x:v>G10-25</x:v>
      </x:c>
      <x:c r="B277" s="5" t="str">
        <x:v>G10</x:v>
      </x:c>
      <x:c r="C277" s="5" t="str">
        <x:v>BBD</x:v>
      </x:c>
      <x:c r="D277" s="5" t="str">
        <x:v>拟合</x:v>
      </x:c>
      <x:c r="E277" s="5" t="str">
        <x:v>中心点独立配制</x:v>
      </x:c>
      <x:c r="F277" s="5" t="str"/>
      <x:c r="G277" s="5" t="str">
        <x:v>辛酸乙酯</x:v>
      </x:c>
      <x:c r="H277" s="5" t="str">
        <x:v>对甲酚</x:v>
      </x:c>
      <x:c r="I277" s="5" t="str">
        <x:v>苯乙醛</x:v>
      </x:c>
      <x:c r="J277" s="5" t="str">
        <x:v>β-大马酮</x:v>
      </x:c>
      <x:c r="K277" s="5" t="str">
        <x:v>M</x:v>
      </x:c>
      <x:c r="L277" s="5" t="str">
        <x:v>M</x:v>
      </x:c>
      <x:c r="M277" s="5" t="str">
        <x:v>M</x:v>
      </x:c>
      <x:c r="N277" s="5" t="str">
        <x:v>M</x:v>
      </x:c>
      <x:c r="O277" s="6" t="n">
        <x:f>'浓度水平'!G20</x:f>
        <x:v>1601</x:v>
      </x:c>
      <x:c r="P277" s="6" t="n">
        <x:f>'浓度水平'!G21</x:f>
        <x:v>359.87</x:v>
      </x:c>
      <x:c r="Q277" s="6" t="n">
        <x:f>'浓度水平'!G28</x:f>
        <x:v>556.325</x:v>
      </x:c>
      <x:c r="R277" s="6" t="n">
        <x:f>'浓度水平'!G46</x:f>
        <x:v>5.42</x:v>
      </x:c>
      <x:c r="S277" s="6" t="n">
        <x:f>O277/'浓度水平'!E20</x:f>
        <x:v>124.10852713178294</x:v>
      </x:c>
      <x:c r="T277" s="6" t="n">
        <x:f>P277/'浓度水平'!E21</x:f>
        <x:v>2.1549101796407184</x:v>
      </x:c>
      <x:c r="U277" s="6" t="n">
        <x:f>Q277/'浓度水平'!E28</x:f>
        <x:v>2.12337786259542</x:v>
      </x:c>
      <x:c r="V277" s="6" t="n">
        <x:f>R277/'浓度水平'!E46</x:f>
        <x:v>45.166666666666664</x:v>
      </x:c>
      <x:c r="W277" s="6" t="n">
        <x:f>O277*'固定基底'!$B$4/1000</x:f>
        <x:v>32.02</x:v>
      </x:c>
      <x:c r="X277" s="6" t="n">
        <x:f>P277*'固定基底'!$B$4/1000</x:f>
        <x:v>7.1974</x:v>
      </x:c>
      <x:c r="Y277" s="6" t="n">
        <x:f>Q277*'固定基底'!$B$4/1000</x:f>
        <x:v>11.1265</x:v>
      </x:c>
      <x:c r="Z277" s="6" t="n">
        <x:f>R277*'固定基底'!$B$4/1000</x:f>
        <x:v>0.10840000000000001</x:v>
      </x:c>
      <x:c r="AA277" s="2" t="n">
        <x:f>'固定基底'!$C$7</x:f>
        <x:v>92796.92267241378</x:v>
      </x:c>
      <x:c r="AB277" s="2" t="n">
        <x:f>'固定基底'!$C$8</x:f>
        <x:v>104175.5097553192</x:v>
      </x:c>
      <x:c r="AC277" s="2" t="n">
        <x:f>'固定基底'!$E$7</x:f>
        <x:v>1855.9384534482756</x:v>
      </x:c>
      <x:c r="AD277" s="2" t="n">
        <x:f>'固定基底'!$E$8</x:f>
        <x:v>2083.510195106384</x:v>
      </x:c>
    </x:row>
    <x:row r="278" ht="25" customHeight="1">
      <x:c r="A278" s="5" t="str">
        <x:v>G10-26</x:v>
      </x:c>
      <x:c r="B278" s="5" t="str">
        <x:v>G10</x:v>
      </x:c>
      <x:c r="C278" s="5" t="str">
        <x:v>BBD</x:v>
      </x:c>
      <x:c r="D278" s="5" t="str">
        <x:v>拟合</x:v>
      </x:c>
      <x:c r="E278" s="5" t="str">
        <x:v>中心点独立配制</x:v>
      </x:c>
      <x:c r="F278" s="5" t="str">
        <x:v>G10-25</x:v>
      </x:c>
      <x:c r="G278" s="5" t="str">
        <x:v>辛酸乙酯</x:v>
      </x:c>
      <x:c r="H278" s="5" t="str">
        <x:v>对甲酚</x:v>
      </x:c>
      <x:c r="I278" s="5" t="str">
        <x:v>苯乙醛</x:v>
      </x:c>
      <x:c r="J278" s="5" t="str">
        <x:v>β-大马酮</x:v>
      </x:c>
      <x:c r="K278" s="5" t="str">
        <x:v>M</x:v>
      </x:c>
      <x:c r="L278" s="5" t="str">
        <x:v>M</x:v>
      </x:c>
      <x:c r="M278" s="5" t="str">
        <x:v>M</x:v>
      </x:c>
      <x:c r="N278" s="5" t="str">
        <x:v>M</x:v>
      </x:c>
      <x:c r="O278" s="6" t="n">
        <x:f>'浓度水平'!G20</x:f>
        <x:v>1601</x:v>
      </x:c>
      <x:c r="P278" s="6" t="n">
        <x:f>'浓度水平'!G21</x:f>
        <x:v>359.87</x:v>
      </x:c>
      <x:c r="Q278" s="6" t="n">
        <x:f>'浓度水平'!G28</x:f>
        <x:v>556.325</x:v>
      </x:c>
      <x:c r="R278" s="6" t="n">
        <x:f>'浓度水平'!G46</x:f>
        <x:v>5.42</x:v>
      </x:c>
      <x:c r="S278" s="6" t="n">
        <x:f>O278/'浓度水平'!E20</x:f>
        <x:v>124.10852713178294</x:v>
      </x:c>
      <x:c r="T278" s="6" t="n">
        <x:f>P278/'浓度水平'!E21</x:f>
        <x:v>2.1549101796407184</x:v>
      </x:c>
      <x:c r="U278" s="6" t="n">
        <x:f>Q278/'浓度水平'!E28</x:f>
        <x:v>2.12337786259542</x:v>
      </x:c>
      <x:c r="V278" s="6" t="n">
        <x:f>R278/'浓度水平'!E46</x:f>
        <x:v>45.166666666666664</x:v>
      </x:c>
      <x:c r="W278" s="6" t="n">
        <x:f>O278*'固定基底'!$B$4/1000</x:f>
        <x:v>32.02</x:v>
      </x:c>
      <x:c r="X278" s="6" t="n">
        <x:f>P278*'固定基底'!$B$4/1000</x:f>
        <x:v>7.1974</x:v>
      </x:c>
      <x:c r="Y278" s="6" t="n">
        <x:f>Q278*'固定基底'!$B$4/1000</x:f>
        <x:v>11.1265</x:v>
      </x:c>
      <x:c r="Z278" s="6" t="n">
        <x:f>R278*'固定基底'!$B$4/1000</x:f>
        <x:v>0.10840000000000001</x:v>
      </x:c>
      <x:c r="AA278" s="2" t="n">
        <x:f>'固定基底'!$C$7</x:f>
        <x:v>92796.92267241378</x:v>
      </x:c>
      <x:c r="AB278" s="2" t="n">
        <x:f>'固定基底'!$C$8</x:f>
        <x:v>104175.5097553192</x:v>
      </x:c>
      <x:c r="AC278" s="2" t="n">
        <x:f>'固定基底'!$E$7</x:f>
        <x:v>1855.9384534482756</x:v>
      </x:c>
      <x:c r="AD278" s="2" t="n">
        <x:f>'固定基底'!$E$8</x:f>
        <x:v>2083.510195106384</x:v>
      </x:c>
    </x:row>
    <x:row r="279" ht="25" customHeight="1">
      <x:c r="A279" s="5" t="str">
        <x:v>G10-27</x:v>
      </x:c>
      <x:c r="B279" s="5" t="str">
        <x:v>G10</x:v>
      </x:c>
      <x:c r="C279" s="5" t="str">
        <x:v>BBD</x:v>
      </x:c>
      <x:c r="D279" s="5" t="str">
        <x:v>拟合</x:v>
      </x:c>
      <x:c r="E279" s="5" t="str">
        <x:v>中心点独立配制</x:v>
      </x:c>
      <x:c r="F279" s="5" t="str">
        <x:v>G10-25</x:v>
      </x:c>
      <x:c r="G279" s="5" t="str">
        <x:v>辛酸乙酯</x:v>
      </x:c>
      <x:c r="H279" s="5" t="str">
        <x:v>对甲酚</x:v>
      </x:c>
      <x:c r="I279" s="5" t="str">
        <x:v>苯乙醛</x:v>
      </x:c>
      <x:c r="J279" s="5" t="str">
        <x:v>β-大马酮</x:v>
      </x:c>
      <x:c r="K279" s="5" t="str">
        <x:v>M</x:v>
      </x:c>
      <x:c r="L279" s="5" t="str">
        <x:v>M</x:v>
      </x:c>
      <x:c r="M279" s="5" t="str">
        <x:v>M</x:v>
      </x:c>
      <x:c r="N279" s="5" t="str">
        <x:v>M</x:v>
      </x:c>
      <x:c r="O279" s="6" t="n">
        <x:f>'浓度水平'!G20</x:f>
        <x:v>1601</x:v>
      </x:c>
      <x:c r="P279" s="6" t="n">
        <x:f>'浓度水平'!G21</x:f>
        <x:v>359.87</x:v>
      </x:c>
      <x:c r="Q279" s="6" t="n">
        <x:f>'浓度水平'!G28</x:f>
        <x:v>556.325</x:v>
      </x:c>
      <x:c r="R279" s="6" t="n">
        <x:f>'浓度水平'!G46</x:f>
        <x:v>5.42</x:v>
      </x:c>
      <x:c r="S279" s="6" t="n">
        <x:f>O279/'浓度水平'!E20</x:f>
        <x:v>124.10852713178294</x:v>
      </x:c>
      <x:c r="T279" s="6" t="n">
        <x:f>P279/'浓度水平'!E21</x:f>
        <x:v>2.1549101796407184</x:v>
      </x:c>
      <x:c r="U279" s="6" t="n">
        <x:f>Q279/'浓度水平'!E28</x:f>
        <x:v>2.12337786259542</x:v>
      </x:c>
      <x:c r="V279" s="6" t="n">
        <x:f>R279/'浓度水平'!E46</x:f>
        <x:v>45.166666666666664</x:v>
      </x:c>
      <x:c r="W279" s="6" t="n">
        <x:f>O279*'固定基底'!$B$4/1000</x:f>
        <x:v>32.02</x:v>
      </x:c>
      <x:c r="X279" s="6" t="n">
        <x:f>P279*'固定基底'!$B$4/1000</x:f>
        <x:v>7.1974</x:v>
      </x:c>
      <x:c r="Y279" s="6" t="n">
        <x:f>Q279*'固定基底'!$B$4/1000</x:f>
        <x:v>11.1265</x:v>
      </x:c>
      <x:c r="Z279" s="6" t="n">
        <x:f>R279*'固定基底'!$B$4/1000</x:f>
        <x:v>0.10840000000000001</x:v>
      </x:c>
      <x:c r="AA279" s="2" t="n">
        <x:f>'固定基底'!$C$7</x:f>
        <x:v>92796.92267241378</x:v>
      </x:c>
      <x:c r="AB279" s="2" t="n">
        <x:f>'固定基底'!$C$8</x:f>
        <x:v>104175.5097553192</x:v>
      </x:c>
      <x:c r="AC279" s="2" t="n">
        <x:f>'固定基底'!$E$7</x:f>
        <x:v>1855.9384534482756</x:v>
      </x:c>
      <x:c r="AD279" s="2" t="n">
        <x:f>'固定基底'!$E$8</x:f>
        <x:v>2083.510195106384</x:v>
      </x:c>
    </x:row>
    <x:row r="280" ht="25" customHeight="1">
      <x:c r="A280" s="5" t="str">
        <x:v>G11-01</x:v>
      </x:c>
      <x:c r="B280" s="5" t="str">
        <x:v>G11</x:v>
      </x:c>
      <x:c r="C280" s="5" t="str">
        <x:v>2^4全因子</x:v>
      </x:c>
      <x:c r="D280" s="5" t="str">
        <x:v>拟合</x:v>
      </x:c>
      <x:c r="E280" s="5" t="str">
        <x:v>全因子</x:v>
      </x:c>
      <x:c r="F280" s="5" t="str"/>
      <x:c r="G280" s="5" t="str">
        <x:v>乙酸</x:v>
      </x:c>
      <x:c r="H280" s="5" t="str">
        <x:v>丁酸</x:v>
      </x:c>
      <x:c r="I280" s="5" t="str">
        <x:v>异丁酸</x:v>
      </x:c>
      <x:c r="J280" s="5" t="str">
        <x:v>异丁醇</x:v>
      </x:c>
      <x:c r="K280" s="5" t="str">
        <x:v>M</x:v>
      </x:c>
      <x:c r="L280" s="5" t="str">
        <x:v>M</x:v>
      </x:c>
      <x:c r="M280" s="5" t="str">
        <x:v>M</x:v>
      </x:c>
      <x:c r="N280" s="5" t="str">
        <x:v>M</x:v>
      </x:c>
      <x:c r="O280" s="6" t="n">
        <x:f>'浓度水平'!G6</x:f>
        <x:v>3158</x:v>
      </x:c>
      <x:c r="P280" s="6" t="n">
        <x:f>'浓度水平'!G22</x:f>
        <x:v>803.5</x:v>
      </x:c>
      <x:c r="Q280" s="6" t="n">
        <x:f>'浓度水平'!G12</x:f>
        <x:v>16.76</x:v>
      </x:c>
      <x:c r="R280" s="6" t="n">
        <x:f>'浓度水平'!G10</x:f>
        <x:v>3650</x:v>
      </x:c>
      <x:c r="S280" s="6" t="n">
        <x:f>O280/'浓度水平'!E6</x:f>
        <x:v>0.0197375</x:v>
      </x:c>
      <x:c r="T280" s="6" t="n">
        <x:f>P280/'浓度水平'!E22</x:f>
        <x:v>0.8326424870466321</x:v>
      </x:c>
      <x:c r="U280" s="6" t="n">
        <x:f>Q280/'浓度水平'!E12</x:f>
        <x:v>0.010607594936708861</x:v>
      </x:c>
      <x:c r="V280" s="6" t="n">
        <x:f>R280/'浓度水平'!E10</x:f>
        <x:v>0.12897526501766785</x:v>
      </x:c>
      <x:c r="W280" s="6" t="n">
        <x:f>O280*'固定基底'!$B$4/1000</x:f>
        <x:v>63.16</x:v>
      </x:c>
      <x:c r="X280" s="6" t="n">
        <x:f>P280*'固定基底'!$B$4/1000</x:f>
        <x:v>16.07</x:v>
      </x:c>
      <x:c r="Y280" s="6" t="n">
        <x:f>Q280*'固定基底'!$B$4/1000</x:f>
        <x:v>0.33520000000000005</x:v>
      </x:c>
      <x:c r="Z280" s="6" t="n">
        <x:f>R280*'固定基底'!$B$4/1000</x:f>
        <x:v>73</x:v>
      </x:c>
      <x:c r="AA280" s="2" t="n">
        <x:f>'固定基底'!$C$7</x:f>
        <x:v>92796.92267241378</x:v>
      </x:c>
      <x:c r="AB280" s="2" t="n">
        <x:f>'固定基底'!$C$8</x:f>
        <x:v>104175.5097553192</x:v>
      </x:c>
      <x:c r="AC280" s="2" t="n">
        <x:f>'固定基底'!$E$7</x:f>
        <x:v>1855.9384534482756</x:v>
      </x:c>
      <x:c r="AD280" s="2" t="n">
        <x:f>'固定基底'!$E$8</x:f>
        <x:v>2083.510195106384</x:v>
      </x:c>
    </x:row>
    <x:row r="281" ht="25" customHeight="1">
      <x:c r="A281" s="5" t="str">
        <x:v>G11-02</x:v>
      </x:c>
      <x:c r="B281" s="5" t="str">
        <x:v>G11</x:v>
      </x:c>
      <x:c r="C281" s="5" t="str">
        <x:v>2^4全因子</x:v>
      </x:c>
      <x:c r="D281" s="5" t="str">
        <x:v>拟合</x:v>
      </x:c>
      <x:c r="E281" s="5" t="str">
        <x:v>全因子</x:v>
      </x:c>
      <x:c r="F281" s="5" t="str"/>
      <x:c r="G281" s="5" t="str">
        <x:v>乙酸</x:v>
      </x:c>
      <x:c r="H281" s="5" t="str">
        <x:v>丁酸</x:v>
      </x:c>
      <x:c r="I281" s="5" t="str">
        <x:v>异丁酸</x:v>
      </x:c>
      <x:c r="J281" s="5" t="str">
        <x:v>异丁醇</x:v>
      </x:c>
      <x:c r="K281" s="5" t="str">
        <x:v>M</x:v>
      </x:c>
      <x:c r="L281" s="5" t="str">
        <x:v>M</x:v>
      </x:c>
      <x:c r="M281" s="5" t="str">
        <x:v>M</x:v>
      </x:c>
      <x:c r="N281" s="5" t="str">
        <x:v>H</x:v>
      </x:c>
      <x:c r="O281" s="6" t="n">
        <x:f>'浓度水平'!G6</x:f>
        <x:v>3158</x:v>
      </x:c>
      <x:c r="P281" s="6" t="n">
        <x:f>'浓度水平'!G22</x:f>
        <x:v>803.5</x:v>
      </x:c>
      <x:c r="Q281" s="6" t="n">
        <x:f>'浓度水平'!G12</x:f>
        <x:v>16.76</x:v>
      </x:c>
      <x:c r="R281" s="6" t="n">
        <x:f>'浓度水平'!H10</x:f>
        <x:v>279260</x:v>
      </x:c>
      <x:c r="S281" s="6" t="n">
        <x:f>O281/'浓度水平'!E6</x:f>
        <x:v>0.0197375</x:v>
      </x:c>
      <x:c r="T281" s="6" t="n">
        <x:f>P281/'浓度水平'!E22</x:f>
        <x:v>0.8326424870466321</x:v>
      </x:c>
      <x:c r="U281" s="6" t="n">
        <x:f>Q281/'浓度水平'!E12</x:f>
        <x:v>0.010607594936708861</x:v>
      </x:c>
      <x:c r="V281" s="6" t="n">
        <x:f>R281/'浓度水平'!E10</x:f>
        <x:v>9.867844522968198</x:v>
      </x:c>
      <x:c r="W281" s="6" t="n">
        <x:f>O281*'固定基底'!$B$4/1000</x:f>
        <x:v>63.16</x:v>
      </x:c>
      <x:c r="X281" s="6" t="n">
        <x:f>P281*'固定基底'!$B$4/1000</x:f>
        <x:v>16.07</x:v>
      </x:c>
      <x:c r="Y281" s="6" t="n">
        <x:f>Q281*'固定基底'!$B$4/1000</x:f>
        <x:v>0.33520000000000005</x:v>
      </x:c>
      <x:c r="Z281" s="6" t="n">
        <x:f>R281*'固定基底'!$B$4/1000</x:f>
        <x:v>5585.2</x:v>
      </x:c>
      <x:c r="AA281" s="2" t="n">
        <x:f>'固定基底'!$C$7</x:f>
        <x:v>92796.92267241378</x:v>
      </x:c>
      <x:c r="AB281" s="2" t="n">
        <x:f>'固定基底'!$C$8</x:f>
        <x:v>104175.5097553192</x:v>
      </x:c>
      <x:c r="AC281" s="2" t="n">
        <x:f>'固定基底'!$E$7</x:f>
        <x:v>1855.9384534482756</x:v>
      </x:c>
      <x:c r="AD281" s="2" t="n">
        <x:f>'固定基底'!$E$8</x:f>
        <x:v>2083.510195106384</x:v>
      </x:c>
    </x:row>
    <x:row r="282" ht="25" customHeight="1">
      <x:c r="A282" s="5" t="str">
        <x:v>G11-03</x:v>
      </x:c>
      <x:c r="B282" s="5" t="str">
        <x:v>G11</x:v>
      </x:c>
      <x:c r="C282" s="5" t="str">
        <x:v>2^4全因子</x:v>
      </x:c>
      <x:c r="D282" s="5" t="str">
        <x:v>拟合</x:v>
      </x:c>
      <x:c r="E282" s="5" t="str">
        <x:v>全因子</x:v>
      </x:c>
      <x:c r="F282" s="5" t="str"/>
      <x:c r="G282" s="5" t="str">
        <x:v>乙酸</x:v>
      </x:c>
      <x:c r="H282" s="5" t="str">
        <x:v>丁酸</x:v>
      </x:c>
      <x:c r="I282" s="5" t="str">
        <x:v>异丁酸</x:v>
      </x:c>
      <x:c r="J282" s="5" t="str">
        <x:v>异丁醇</x:v>
      </x:c>
      <x:c r="K282" s="5" t="str">
        <x:v>M</x:v>
      </x:c>
      <x:c r="L282" s="5" t="str">
        <x:v>M</x:v>
      </x:c>
      <x:c r="M282" s="5" t="str">
        <x:v>H</x:v>
      </x:c>
      <x:c r="N282" s="5" t="str">
        <x:v>M</x:v>
      </x:c>
      <x:c r="O282" s="6" t="n">
        <x:f>'浓度水平'!G6</x:f>
        <x:v>3158</x:v>
      </x:c>
      <x:c r="P282" s="6" t="n">
        <x:f>'浓度水平'!G22</x:f>
        <x:v>803.5</x:v>
      </x:c>
      <x:c r="Q282" s="6" t="n">
        <x:f>'浓度水平'!H12</x:f>
        <x:v>11637.33</x:v>
      </x:c>
      <x:c r="R282" s="6" t="n">
        <x:f>'浓度水平'!G10</x:f>
        <x:v>3650</x:v>
      </x:c>
      <x:c r="S282" s="6" t="n">
        <x:f>O282/'浓度水平'!E6</x:f>
        <x:v>0.0197375</x:v>
      </x:c>
      <x:c r="T282" s="6" t="n">
        <x:f>P282/'浓度水平'!E22</x:f>
        <x:v>0.8326424870466321</x:v>
      </x:c>
      <x:c r="U282" s="6" t="n">
        <x:f>Q282/'浓度水平'!E12</x:f>
        <x:v>7.365398734177215</x:v>
      </x:c>
      <x:c r="V282" s="6" t="n">
        <x:f>R282/'浓度水平'!E10</x:f>
        <x:v>0.12897526501766785</x:v>
      </x:c>
      <x:c r="W282" s="6" t="n">
        <x:f>O282*'固定基底'!$B$4/1000</x:f>
        <x:v>63.16</x:v>
      </x:c>
      <x:c r="X282" s="6" t="n">
        <x:f>P282*'固定基底'!$B$4/1000</x:f>
        <x:v>16.07</x:v>
      </x:c>
      <x:c r="Y282" s="6" t="n">
        <x:f>Q282*'固定基底'!$B$4/1000</x:f>
        <x:v>232.7466</x:v>
      </x:c>
      <x:c r="Z282" s="6" t="n">
        <x:f>R282*'固定基底'!$B$4/1000</x:f>
        <x:v>73</x:v>
      </x:c>
      <x:c r="AA282" s="2" t="n">
        <x:f>'固定基底'!$C$7</x:f>
        <x:v>92796.92267241378</x:v>
      </x:c>
      <x:c r="AB282" s="2" t="n">
        <x:f>'固定基底'!$C$8</x:f>
        <x:v>104175.5097553192</x:v>
      </x:c>
      <x:c r="AC282" s="2" t="n">
        <x:f>'固定基底'!$E$7</x:f>
        <x:v>1855.9384534482756</x:v>
      </x:c>
      <x:c r="AD282" s="2" t="n">
        <x:f>'固定基底'!$E$8</x:f>
        <x:v>2083.510195106384</x:v>
      </x:c>
    </x:row>
    <x:row r="283" ht="25" customHeight="1">
      <x:c r="A283" s="5" t="str">
        <x:v>G11-04</x:v>
      </x:c>
      <x:c r="B283" s="5" t="str">
        <x:v>G11</x:v>
      </x:c>
      <x:c r="C283" s="5" t="str">
        <x:v>2^4全因子</x:v>
      </x:c>
      <x:c r="D283" s="5" t="str">
        <x:v>拟合</x:v>
      </x:c>
      <x:c r="E283" s="5" t="str">
        <x:v>全因子</x:v>
      </x:c>
      <x:c r="F283" s="5" t="str"/>
      <x:c r="G283" s="5" t="str">
        <x:v>乙酸</x:v>
      </x:c>
      <x:c r="H283" s="5" t="str">
        <x:v>丁酸</x:v>
      </x:c>
      <x:c r="I283" s="5" t="str">
        <x:v>异丁酸</x:v>
      </x:c>
      <x:c r="J283" s="5" t="str">
        <x:v>异丁醇</x:v>
      </x:c>
      <x:c r="K283" s="5" t="str">
        <x:v>M</x:v>
      </x:c>
      <x:c r="L283" s="5" t="str">
        <x:v>M</x:v>
      </x:c>
      <x:c r="M283" s="5" t="str">
        <x:v>H</x:v>
      </x:c>
      <x:c r="N283" s="5" t="str">
        <x:v>H</x:v>
      </x:c>
      <x:c r="O283" s="6" t="n">
        <x:f>'浓度水平'!G6</x:f>
        <x:v>3158</x:v>
      </x:c>
      <x:c r="P283" s="6" t="n">
        <x:f>'浓度水平'!G22</x:f>
        <x:v>803.5</x:v>
      </x:c>
      <x:c r="Q283" s="6" t="n">
        <x:f>'浓度水平'!H12</x:f>
        <x:v>11637.33</x:v>
      </x:c>
      <x:c r="R283" s="6" t="n">
        <x:f>'浓度水平'!H10</x:f>
        <x:v>279260</x:v>
      </x:c>
      <x:c r="S283" s="6" t="n">
        <x:f>O283/'浓度水平'!E6</x:f>
        <x:v>0.0197375</x:v>
      </x:c>
      <x:c r="T283" s="6" t="n">
        <x:f>P283/'浓度水平'!E22</x:f>
        <x:v>0.8326424870466321</x:v>
      </x:c>
      <x:c r="U283" s="6" t="n">
        <x:f>Q283/'浓度水平'!E12</x:f>
        <x:v>7.365398734177215</x:v>
      </x:c>
      <x:c r="V283" s="6" t="n">
        <x:f>R283/'浓度水平'!E10</x:f>
        <x:v>9.867844522968198</x:v>
      </x:c>
      <x:c r="W283" s="6" t="n">
        <x:f>O283*'固定基底'!$B$4/1000</x:f>
        <x:v>63.16</x:v>
      </x:c>
      <x:c r="X283" s="6" t="n">
        <x:f>P283*'固定基底'!$B$4/1000</x:f>
        <x:v>16.07</x:v>
      </x:c>
      <x:c r="Y283" s="6" t="n">
        <x:f>Q283*'固定基底'!$B$4/1000</x:f>
        <x:v>232.7466</x:v>
      </x:c>
      <x:c r="Z283" s="6" t="n">
        <x:f>R283*'固定基底'!$B$4/1000</x:f>
        <x:v>5585.2</x:v>
      </x:c>
      <x:c r="AA283" s="2" t="n">
        <x:f>'固定基底'!$C$7</x:f>
        <x:v>92796.92267241378</x:v>
      </x:c>
      <x:c r="AB283" s="2" t="n">
        <x:f>'固定基底'!$C$8</x:f>
        <x:v>104175.5097553192</x:v>
      </x:c>
      <x:c r="AC283" s="2" t="n">
        <x:f>'固定基底'!$E$7</x:f>
        <x:v>1855.9384534482756</x:v>
      </x:c>
      <x:c r="AD283" s="2" t="n">
        <x:f>'固定基底'!$E$8</x:f>
        <x:v>2083.510195106384</x:v>
      </x:c>
    </x:row>
    <x:row r="284" ht="25" customHeight="1">
      <x:c r="A284" s="5" t="str">
        <x:v>G11-05</x:v>
      </x:c>
      <x:c r="B284" s="5" t="str">
        <x:v>G11</x:v>
      </x:c>
      <x:c r="C284" s="5" t="str">
        <x:v>2^4全因子</x:v>
      </x:c>
      <x:c r="D284" s="5" t="str">
        <x:v>拟合</x:v>
      </x:c>
      <x:c r="E284" s="5" t="str">
        <x:v>全因子</x:v>
      </x:c>
      <x:c r="F284" s="5" t="str"/>
      <x:c r="G284" s="5" t="str">
        <x:v>乙酸</x:v>
      </x:c>
      <x:c r="H284" s="5" t="str">
        <x:v>丁酸</x:v>
      </x:c>
      <x:c r="I284" s="5" t="str">
        <x:v>异丁酸</x:v>
      </x:c>
      <x:c r="J284" s="5" t="str">
        <x:v>异丁醇</x:v>
      </x:c>
      <x:c r="K284" s="5" t="str">
        <x:v>M</x:v>
      </x:c>
      <x:c r="L284" s="5" t="str">
        <x:v>H</x:v>
      </x:c>
      <x:c r="M284" s="5" t="str">
        <x:v>M</x:v>
      </x:c>
      <x:c r="N284" s="5" t="str">
        <x:v>M</x:v>
      </x:c>
      <x:c r="O284" s="6" t="n">
        <x:f>'浓度水平'!G6</x:f>
        <x:v>3158</x:v>
      </x:c>
      <x:c r="P284" s="6" t="n">
        <x:f>'浓度水平'!H22</x:f>
        <x:v>295816</x:v>
      </x:c>
      <x:c r="Q284" s="6" t="n">
        <x:f>'浓度水平'!G12</x:f>
        <x:v>16.76</x:v>
      </x:c>
      <x:c r="R284" s="6" t="n">
        <x:f>'浓度水平'!G10</x:f>
        <x:v>3650</x:v>
      </x:c>
      <x:c r="S284" s="6" t="n">
        <x:f>O284/'浓度水平'!E6</x:f>
        <x:v>0.0197375</x:v>
      </x:c>
      <x:c r="T284" s="6" t="n">
        <x:f>P284/'浓度水平'!E22</x:f>
        <x:v>306.54507772020725</x:v>
      </x:c>
      <x:c r="U284" s="6" t="n">
        <x:f>Q284/'浓度水平'!E12</x:f>
        <x:v>0.010607594936708861</x:v>
      </x:c>
      <x:c r="V284" s="6" t="n">
        <x:f>R284/'浓度水平'!E10</x:f>
        <x:v>0.12897526501766785</x:v>
      </x:c>
      <x:c r="W284" s="6" t="n">
        <x:f>O284*'固定基底'!$B$4/1000</x:f>
        <x:v>63.16</x:v>
      </x:c>
      <x:c r="X284" s="6" t="n">
        <x:f>P284*'固定基底'!$B$4/1000</x:f>
        <x:v>5916.32</x:v>
      </x:c>
      <x:c r="Y284" s="6" t="n">
        <x:f>Q284*'固定基底'!$B$4/1000</x:f>
        <x:v>0.33520000000000005</x:v>
      </x:c>
      <x:c r="Z284" s="6" t="n">
        <x:f>R284*'固定基底'!$B$4/1000</x:f>
        <x:v>73</x:v>
      </x:c>
      <x:c r="AA284" s="2" t="n">
        <x:f>'固定基底'!$C$7</x:f>
        <x:v>92796.92267241378</x:v>
      </x:c>
      <x:c r="AB284" s="2" t="n">
        <x:f>'固定基底'!$C$8</x:f>
        <x:v>104175.5097553192</x:v>
      </x:c>
      <x:c r="AC284" s="2" t="n">
        <x:f>'固定基底'!$E$7</x:f>
        <x:v>1855.9384534482756</x:v>
      </x:c>
      <x:c r="AD284" s="2" t="n">
        <x:f>'固定基底'!$E$8</x:f>
        <x:v>2083.510195106384</x:v>
      </x:c>
    </x:row>
    <x:row r="285" ht="25" customHeight="1">
      <x:c r="A285" s="5" t="str">
        <x:v>G11-06</x:v>
      </x:c>
      <x:c r="B285" s="5" t="str">
        <x:v>G11</x:v>
      </x:c>
      <x:c r="C285" s="5" t="str">
        <x:v>2^4全因子</x:v>
      </x:c>
      <x:c r="D285" s="5" t="str">
        <x:v>拟合</x:v>
      </x:c>
      <x:c r="E285" s="5" t="str">
        <x:v>全因子</x:v>
      </x:c>
      <x:c r="F285" s="5" t="str"/>
      <x:c r="G285" s="5" t="str">
        <x:v>乙酸</x:v>
      </x:c>
      <x:c r="H285" s="5" t="str">
        <x:v>丁酸</x:v>
      </x:c>
      <x:c r="I285" s="5" t="str">
        <x:v>异丁酸</x:v>
      </x:c>
      <x:c r="J285" s="5" t="str">
        <x:v>异丁醇</x:v>
      </x:c>
      <x:c r="K285" s="5" t="str">
        <x:v>M</x:v>
      </x:c>
      <x:c r="L285" s="5" t="str">
        <x:v>H</x:v>
      </x:c>
      <x:c r="M285" s="5" t="str">
        <x:v>M</x:v>
      </x:c>
      <x:c r="N285" s="5" t="str">
        <x:v>H</x:v>
      </x:c>
      <x:c r="O285" s="6" t="n">
        <x:f>'浓度水平'!G6</x:f>
        <x:v>3158</x:v>
      </x:c>
      <x:c r="P285" s="6" t="n">
        <x:f>'浓度水平'!H22</x:f>
        <x:v>295816</x:v>
      </x:c>
      <x:c r="Q285" s="6" t="n">
        <x:f>'浓度水平'!G12</x:f>
        <x:v>16.76</x:v>
      </x:c>
      <x:c r="R285" s="6" t="n">
        <x:f>'浓度水平'!H10</x:f>
        <x:v>279260</x:v>
      </x:c>
      <x:c r="S285" s="6" t="n">
        <x:f>O285/'浓度水平'!E6</x:f>
        <x:v>0.0197375</x:v>
      </x:c>
      <x:c r="T285" s="6" t="n">
        <x:f>P285/'浓度水平'!E22</x:f>
        <x:v>306.54507772020725</x:v>
      </x:c>
      <x:c r="U285" s="6" t="n">
        <x:f>Q285/'浓度水平'!E12</x:f>
        <x:v>0.010607594936708861</x:v>
      </x:c>
      <x:c r="V285" s="6" t="n">
        <x:f>R285/'浓度水平'!E10</x:f>
        <x:v>9.867844522968198</x:v>
      </x:c>
      <x:c r="W285" s="6" t="n">
        <x:f>O285*'固定基底'!$B$4/1000</x:f>
        <x:v>63.16</x:v>
      </x:c>
      <x:c r="X285" s="6" t="n">
        <x:f>P285*'固定基底'!$B$4/1000</x:f>
        <x:v>5916.32</x:v>
      </x:c>
      <x:c r="Y285" s="6" t="n">
        <x:f>Q285*'固定基底'!$B$4/1000</x:f>
        <x:v>0.33520000000000005</x:v>
      </x:c>
      <x:c r="Z285" s="6" t="n">
        <x:f>R285*'固定基底'!$B$4/1000</x:f>
        <x:v>5585.2</x:v>
      </x:c>
      <x:c r="AA285" s="2" t="n">
        <x:f>'固定基底'!$C$7</x:f>
        <x:v>92796.92267241378</x:v>
      </x:c>
      <x:c r="AB285" s="2" t="n">
        <x:f>'固定基底'!$C$8</x:f>
        <x:v>104175.5097553192</x:v>
      </x:c>
      <x:c r="AC285" s="2" t="n">
        <x:f>'固定基底'!$E$7</x:f>
        <x:v>1855.9384534482756</x:v>
      </x:c>
      <x:c r="AD285" s="2" t="n">
        <x:f>'固定基底'!$E$8</x:f>
        <x:v>2083.510195106384</x:v>
      </x:c>
    </x:row>
    <x:row r="286" ht="25" customHeight="1">
      <x:c r="A286" s="5" t="str">
        <x:v>G11-07</x:v>
      </x:c>
      <x:c r="B286" s="5" t="str">
        <x:v>G11</x:v>
      </x:c>
      <x:c r="C286" s="5" t="str">
        <x:v>2^4全因子</x:v>
      </x:c>
      <x:c r="D286" s="5" t="str">
        <x:v>拟合</x:v>
      </x:c>
      <x:c r="E286" s="5" t="str">
        <x:v>全因子</x:v>
      </x:c>
      <x:c r="F286" s="5" t="str"/>
      <x:c r="G286" s="5" t="str">
        <x:v>乙酸</x:v>
      </x:c>
      <x:c r="H286" s="5" t="str">
        <x:v>丁酸</x:v>
      </x:c>
      <x:c r="I286" s="5" t="str">
        <x:v>异丁酸</x:v>
      </x:c>
      <x:c r="J286" s="5" t="str">
        <x:v>异丁醇</x:v>
      </x:c>
      <x:c r="K286" s="5" t="str">
        <x:v>M</x:v>
      </x:c>
      <x:c r="L286" s="5" t="str">
        <x:v>H</x:v>
      </x:c>
      <x:c r="M286" s="5" t="str">
        <x:v>H</x:v>
      </x:c>
      <x:c r="N286" s="5" t="str">
        <x:v>M</x:v>
      </x:c>
      <x:c r="O286" s="6" t="n">
        <x:f>'浓度水平'!G6</x:f>
        <x:v>3158</x:v>
      </x:c>
      <x:c r="P286" s="6" t="n">
        <x:f>'浓度水平'!H22</x:f>
        <x:v>295816</x:v>
      </x:c>
      <x:c r="Q286" s="6" t="n">
        <x:f>'浓度水平'!H12</x:f>
        <x:v>11637.33</x:v>
      </x:c>
      <x:c r="R286" s="6" t="n">
        <x:f>'浓度水平'!G10</x:f>
        <x:v>3650</x:v>
      </x:c>
      <x:c r="S286" s="6" t="n">
        <x:f>O286/'浓度水平'!E6</x:f>
        <x:v>0.0197375</x:v>
      </x:c>
      <x:c r="T286" s="6" t="n">
        <x:f>P286/'浓度水平'!E22</x:f>
        <x:v>306.54507772020725</x:v>
      </x:c>
      <x:c r="U286" s="6" t="n">
        <x:f>Q286/'浓度水平'!E12</x:f>
        <x:v>7.365398734177215</x:v>
      </x:c>
      <x:c r="V286" s="6" t="n">
        <x:f>R286/'浓度水平'!E10</x:f>
        <x:v>0.12897526501766785</x:v>
      </x:c>
      <x:c r="W286" s="6" t="n">
        <x:f>O286*'固定基底'!$B$4/1000</x:f>
        <x:v>63.16</x:v>
      </x:c>
      <x:c r="X286" s="6" t="n">
        <x:f>P286*'固定基底'!$B$4/1000</x:f>
        <x:v>5916.32</x:v>
      </x:c>
      <x:c r="Y286" s="6" t="n">
        <x:f>Q286*'固定基底'!$B$4/1000</x:f>
        <x:v>232.7466</x:v>
      </x:c>
      <x:c r="Z286" s="6" t="n">
        <x:f>R286*'固定基底'!$B$4/1000</x:f>
        <x:v>73</x:v>
      </x:c>
      <x:c r="AA286" s="2" t="n">
        <x:f>'固定基底'!$C$7</x:f>
        <x:v>92796.92267241378</x:v>
      </x:c>
      <x:c r="AB286" s="2" t="n">
        <x:f>'固定基底'!$C$8</x:f>
        <x:v>104175.5097553192</x:v>
      </x:c>
      <x:c r="AC286" s="2" t="n">
        <x:f>'固定基底'!$E$7</x:f>
        <x:v>1855.9384534482756</x:v>
      </x:c>
      <x:c r="AD286" s="2" t="n">
        <x:f>'固定基底'!$E$8</x:f>
        <x:v>2083.510195106384</x:v>
      </x:c>
    </x:row>
    <x:row r="287" ht="25" customHeight="1">
      <x:c r="A287" s="5" t="str">
        <x:v>G11-08</x:v>
      </x:c>
      <x:c r="B287" s="5" t="str">
        <x:v>G11</x:v>
      </x:c>
      <x:c r="C287" s="5" t="str">
        <x:v>2^4全因子</x:v>
      </x:c>
      <x:c r="D287" s="5" t="str">
        <x:v>拟合</x:v>
      </x:c>
      <x:c r="E287" s="5" t="str">
        <x:v>全因子</x:v>
      </x:c>
      <x:c r="F287" s="5" t="str"/>
      <x:c r="G287" s="5" t="str">
        <x:v>乙酸</x:v>
      </x:c>
      <x:c r="H287" s="5" t="str">
        <x:v>丁酸</x:v>
      </x:c>
      <x:c r="I287" s="5" t="str">
        <x:v>异丁酸</x:v>
      </x:c>
      <x:c r="J287" s="5" t="str">
        <x:v>异丁醇</x:v>
      </x:c>
      <x:c r="K287" s="5" t="str">
        <x:v>M</x:v>
      </x:c>
      <x:c r="L287" s="5" t="str">
        <x:v>H</x:v>
      </x:c>
      <x:c r="M287" s="5" t="str">
        <x:v>H</x:v>
      </x:c>
      <x:c r="N287" s="5" t="str">
        <x:v>H</x:v>
      </x:c>
      <x:c r="O287" s="6" t="n">
        <x:f>'浓度水平'!G6</x:f>
        <x:v>3158</x:v>
      </x:c>
      <x:c r="P287" s="6" t="n">
        <x:f>'浓度水平'!H22</x:f>
        <x:v>295816</x:v>
      </x:c>
      <x:c r="Q287" s="6" t="n">
        <x:f>'浓度水平'!H12</x:f>
        <x:v>11637.33</x:v>
      </x:c>
      <x:c r="R287" s="6" t="n">
        <x:f>'浓度水平'!H10</x:f>
        <x:v>279260</x:v>
      </x:c>
      <x:c r="S287" s="6" t="n">
        <x:f>O287/'浓度水平'!E6</x:f>
        <x:v>0.0197375</x:v>
      </x:c>
      <x:c r="T287" s="6" t="n">
        <x:f>P287/'浓度水平'!E22</x:f>
        <x:v>306.54507772020725</x:v>
      </x:c>
      <x:c r="U287" s="6" t="n">
        <x:f>Q287/'浓度水平'!E12</x:f>
        <x:v>7.365398734177215</x:v>
      </x:c>
      <x:c r="V287" s="6" t="n">
        <x:f>R287/'浓度水平'!E10</x:f>
        <x:v>9.867844522968198</x:v>
      </x:c>
      <x:c r="W287" s="6" t="n">
        <x:f>O287*'固定基底'!$B$4/1000</x:f>
        <x:v>63.16</x:v>
      </x:c>
      <x:c r="X287" s="6" t="n">
        <x:f>P287*'固定基底'!$B$4/1000</x:f>
        <x:v>5916.32</x:v>
      </x:c>
      <x:c r="Y287" s="6" t="n">
        <x:f>Q287*'固定基底'!$B$4/1000</x:f>
        <x:v>232.7466</x:v>
      </x:c>
      <x:c r="Z287" s="6" t="n">
        <x:f>R287*'固定基底'!$B$4/1000</x:f>
        <x:v>5585.2</x:v>
      </x:c>
      <x:c r="AA287" s="2" t="n">
        <x:f>'固定基底'!$C$7</x:f>
        <x:v>92796.92267241378</x:v>
      </x:c>
      <x:c r="AB287" s="2" t="n">
        <x:f>'固定基底'!$C$8</x:f>
        <x:v>104175.5097553192</x:v>
      </x:c>
      <x:c r="AC287" s="2" t="n">
        <x:f>'固定基底'!$E$7</x:f>
        <x:v>1855.9384534482756</x:v>
      </x:c>
      <x:c r="AD287" s="2" t="n">
        <x:f>'固定基底'!$E$8</x:f>
        <x:v>2083.510195106384</x:v>
      </x:c>
    </x:row>
    <x:row r="288" ht="25" customHeight="1">
      <x:c r="A288" s="5" t="str">
        <x:v>G11-09</x:v>
      </x:c>
      <x:c r="B288" s="5" t="str">
        <x:v>G11</x:v>
      </x:c>
      <x:c r="C288" s="5" t="str">
        <x:v>2^4全因子</x:v>
      </x:c>
      <x:c r="D288" s="5" t="str">
        <x:v>拟合</x:v>
      </x:c>
      <x:c r="E288" s="5" t="str">
        <x:v>全因子</x:v>
      </x:c>
      <x:c r="F288" s="5" t="str"/>
      <x:c r="G288" s="5" t="str">
        <x:v>乙酸</x:v>
      </x:c>
      <x:c r="H288" s="5" t="str">
        <x:v>丁酸</x:v>
      </x:c>
      <x:c r="I288" s="5" t="str">
        <x:v>异丁酸</x:v>
      </x:c>
      <x:c r="J288" s="5" t="str">
        <x:v>异丁醇</x:v>
      </x:c>
      <x:c r="K288" s="5" t="str">
        <x:v>H</x:v>
      </x:c>
      <x:c r="L288" s="5" t="str">
        <x:v>M</x:v>
      </x:c>
      <x:c r="M288" s="5" t="str">
        <x:v>M</x:v>
      </x:c>
      <x:c r="N288" s="5" t="str">
        <x:v>M</x:v>
      </x:c>
      <x:c r="O288" s="6" t="n">
        <x:f>'浓度水平'!H6</x:f>
        <x:v>1800500</x:v>
      </x:c>
      <x:c r="P288" s="6" t="n">
        <x:f>'浓度水平'!G22</x:f>
        <x:v>803.5</x:v>
      </x:c>
      <x:c r="Q288" s="6" t="n">
        <x:f>'浓度水平'!G12</x:f>
        <x:v>16.76</x:v>
      </x:c>
      <x:c r="R288" s="6" t="n">
        <x:f>'浓度水平'!G10</x:f>
        <x:v>3650</x:v>
      </x:c>
      <x:c r="S288" s="6" t="n">
        <x:f>O288/'浓度水平'!E6</x:f>
        <x:v>11.253125</x:v>
      </x:c>
      <x:c r="T288" s="6" t="n">
        <x:f>P288/'浓度水平'!E22</x:f>
        <x:v>0.8326424870466321</x:v>
      </x:c>
      <x:c r="U288" s="6" t="n">
        <x:f>Q288/'浓度水平'!E12</x:f>
        <x:v>0.010607594936708861</x:v>
      </x:c>
      <x:c r="V288" s="6" t="n">
        <x:f>R288/'浓度水平'!E10</x:f>
        <x:v>0.12897526501766785</x:v>
      </x:c>
      <x:c r="W288" s="6" t="n">
        <x:f>O288*'固定基底'!$B$4/1000</x:f>
        <x:v>36010</x:v>
      </x:c>
      <x:c r="X288" s="6" t="n">
        <x:f>P288*'固定基底'!$B$4/1000</x:f>
        <x:v>16.07</x:v>
      </x:c>
      <x:c r="Y288" s="6" t="n">
        <x:f>Q288*'固定基底'!$B$4/1000</x:f>
        <x:v>0.33520000000000005</x:v>
      </x:c>
      <x:c r="Z288" s="6" t="n">
        <x:f>R288*'固定基底'!$B$4/1000</x:f>
        <x:v>73</x:v>
      </x:c>
      <x:c r="AA288" s="2" t="n">
        <x:f>'固定基底'!$C$7</x:f>
        <x:v>92796.92267241378</x:v>
      </x:c>
      <x:c r="AB288" s="2" t="n">
        <x:f>'固定基底'!$C$8</x:f>
        <x:v>104175.5097553192</x:v>
      </x:c>
      <x:c r="AC288" s="2" t="n">
        <x:f>'固定基底'!$E$7</x:f>
        <x:v>1855.9384534482756</x:v>
      </x:c>
      <x:c r="AD288" s="2" t="n">
        <x:f>'固定基底'!$E$8</x:f>
        <x:v>2083.510195106384</x:v>
      </x:c>
    </x:row>
    <x:row r="289" ht="25" customHeight="1">
      <x:c r="A289" s="5" t="str">
        <x:v>G11-10</x:v>
      </x:c>
      <x:c r="B289" s="5" t="str">
        <x:v>G11</x:v>
      </x:c>
      <x:c r="C289" s="5" t="str">
        <x:v>2^4全因子</x:v>
      </x:c>
      <x:c r="D289" s="5" t="str">
        <x:v>拟合</x:v>
      </x:c>
      <x:c r="E289" s="5" t="str">
        <x:v>全因子</x:v>
      </x:c>
      <x:c r="F289" s="5" t="str"/>
      <x:c r="G289" s="5" t="str">
        <x:v>乙酸</x:v>
      </x:c>
      <x:c r="H289" s="5" t="str">
        <x:v>丁酸</x:v>
      </x:c>
      <x:c r="I289" s="5" t="str">
        <x:v>异丁酸</x:v>
      </x:c>
      <x:c r="J289" s="5" t="str">
        <x:v>异丁醇</x:v>
      </x:c>
      <x:c r="K289" s="5" t="str">
        <x:v>H</x:v>
      </x:c>
      <x:c r="L289" s="5" t="str">
        <x:v>M</x:v>
      </x:c>
      <x:c r="M289" s="5" t="str">
        <x:v>M</x:v>
      </x:c>
      <x:c r="N289" s="5" t="str">
        <x:v>H</x:v>
      </x:c>
      <x:c r="O289" s="6" t="n">
        <x:f>'浓度水平'!H6</x:f>
        <x:v>1800500</x:v>
      </x:c>
      <x:c r="P289" s="6" t="n">
        <x:f>'浓度水平'!G22</x:f>
        <x:v>803.5</x:v>
      </x:c>
      <x:c r="Q289" s="6" t="n">
        <x:f>'浓度水平'!G12</x:f>
        <x:v>16.76</x:v>
      </x:c>
      <x:c r="R289" s="6" t="n">
        <x:f>'浓度水平'!H10</x:f>
        <x:v>279260</x:v>
      </x:c>
      <x:c r="S289" s="6" t="n">
        <x:f>O289/'浓度水平'!E6</x:f>
        <x:v>11.253125</x:v>
      </x:c>
      <x:c r="T289" s="6" t="n">
        <x:f>P289/'浓度水平'!E22</x:f>
        <x:v>0.8326424870466321</x:v>
      </x:c>
      <x:c r="U289" s="6" t="n">
        <x:f>Q289/'浓度水平'!E12</x:f>
        <x:v>0.010607594936708861</x:v>
      </x:c>
      <x:c r="V289" s="6" t="n">
        <x:f>R289/'浓度水平'!E10</x:f>
        <x:v>9.867844522968198</x:v>
      </x:c>
      <x:c r="W289" s="6" t="n">
        <x:f>O289*'固定基底'!$B$4/1000</x:f>
        <x:v>36010</x:v>
      </x:c>
      <x:c r="X289" s="6" t="n">
        <x:f>P289*'固定基底'!$B$4/1000</x:f>
        <x:v>16.07</x:v>
      </x:c>
      <x:c r="Y289" s="6" t="n">
        <x:f>Q289*'固定基底'!$B$4/1000</x:f>
        <x:v>0.33520000000000005</x:v>
      </x:c>
      <x:c r="Z289" s="6" t="n">
        <x:f>R289*'固定基底'!$B$4/1000</x:f>
        <x:v>5585.2</x:v>
      </x:c>
      <x:c r="AA289" s="2" t="n">
        <x:f>'固定基底'!$C$7</x:f>
        <x:v>92796.92267241378</x:v>
      </x:c>
      <x:c r="AB289" s="2" t="n">
        <x:f>'固定基底'!$C$8</x:f>
        <x:v>104175.5097553192</x:v>
      </x:c>
      <x:c r="AC289" s="2" t="n">
        <x:f>'固定基底'!$E$7</x:f>
        <x:v>1855.9384534482756</x:v>
      </x:c>
      <x:c r="AD289" s="2" t="n">
        <x:f>'固定基底'!$E$8</x:f>
        <x:v>2083.510195106384</x:v>
      </x:c>
    </x:row>
    <x:row r="290" ht="25" customHeight="1">
      <x:c r="A290" s="5" t="str">
        <x:v>G11-11</x:v>
      </x:c>
      <x:c r="B290" s="5" t="str">
        <x:v>G11</x:v>
      </x:c>
      <x:c r="C290" s="5" t="str">
        <x:v>2^4全因子</x:v>
      </x:c>
      <x:c r="D290" s="5" t="str">
        <x:v>拟合</x:v>
      </x:c>
      <x:c r="E290" s="5" t="str">
        <x:v>全因子</x:v>
      </x:c>
      <x:c r="F290" s="5" t="str"/>
      <x:c r="G290" s="5" t="str">
        <x:v>乙酸</x:v>
      </x:c>
      <x:c r="H290" s="5" t="str">
        <x:v>丁酸</x:v>
      </x:c>
      <x:c r="I290" s="5" t="str">
        <x:v>异丁酸</x:v>
      </x:c>
      <x:c r="J290" s="5" t="str">
        <x:v>异丁醇</x:v>
      </x:c>
      <x:c r="K290" s="5" t="str">
        <x:v>H</x:v>
      </x:c>
      <x:c r="L290" s="5" t="str">
        <x:v>M</x:v>
      </x:c>
      <x:c r="M290" s="5" t="str">
        <x:v>H</x:v>
      </x:c>
      <x:c r="N290" s="5" t="str">
        <x:v>M</x:v>
      </x:c>
      <x:c r="O290" s="6" t="n">
        <x:f>'浓度水平'!H6</x:f>
        <x:v>1800500</x:v>
      </x:c>
      <x:c r="P290" s="6" t="n">
        <x:f>'浓度水平'!G22</x:f>
        <x:v>803.5</x:v>
      </x:c>
      <x:c r="Q290" s="6" t="n">
        <x:f>'浓度水平'!H12</x:f>
        <x:v>11637.33</x:v>
      </x:c>
      <x:c r="R290" s="6" t="n">
        <x:f>'浓度水平'!G10</x:f>
        <x:v>3650</x:v>
      </x:c>
      <x:c r="S290" s="6" t="n">
        <x:f>O290/'浓度水平'!E6</x:f>
        <x:v>11.253125</x:v>
      </x:c>
      <x:c r="T290" s="6" t="n">
        <x:f>P290/'浓度水平'!E22</x:f>
        <x:v>0.8326424870466321</x:v>
      </x:c>
      <x:c r="U290" s="6" t="n">
        <x:f>Q290/'浓度水平'!E12</x:f>
        <x:v>7.365398734177215</x:v>
      </x:c>
      <x:c r="V290" s="6" t="n">
        <x:f>R290/'浓度水平'!E10</x:f>
        <x:v>0.12897526501766785</x:v>
      </x:c>
      <x:c r="W290" s="6" t="n">
        <x:f>O290*'固定基底'!$B$4/1000</x:f>
        <x:v>36010</x:v>
      </x:c>
      <x:c r="X290" s="6" t="n">
        <x:f>P290*'固定基底'!$B$4/1000</x:f>
        <x:v>16.07</x:v>
      </x:c>
      <x:c r="Y290" s="6" t="n">
        <x:f>Q290*'固定基底'!$B$4/1000</x:f>
        <x:v>232.7466</x:v>
      </x:c>
      <x:c r="Z290" s="6" t="n">
        <x:f>R290*'固定基底'!$B$4/1000</x:f>
        <x:v>73</x:v>
      </x:c>
      <x:c r="AA290" s="2" t="n">
        <x:f>'固定基底'!$C$7</x:f>
        <x:v>92796.92267241378</x:v>
      </x:c>
      <x:c r="AB290" s="2" t="n">
        <x:f>'固定基底'!$C$8</x:f>
        <x:v>104175.5097553192</x:v>
      </x:c>
      <x:c r="AC290" s="2" t="n">
        <x:f>'固定基底'!$E$7</x:f>
        <x:v>1855.9384534482756</x:v>
      </x:c>
      <x:c r="AD290" s="2" t="n">
        <x:f>'固定基底'!$E$8</x:f>
        <x:v>2083.510195106384</x:v>
      </x:c>
    </x:row>
    <x:row r="291" ht="25" customHeight="1">
      <x:c r="A291" s="5" t="str">
        <x:v>G11-12</x:v>
      </x:c>
      <x:c r="B291" s="5" t="str">
        <x:v>G11</x:v>
      </x:c>
      <x:c r="C291" s="5" t="str">
        <x:v>2^4全因子</x:v>
      </x:c>
      <x:c r="D291" s="5" t="str">
        <x:v>拟合</x:v>
      </x:c>
      <x:c r="E291" s="5" t="str">
        <x:v>全因子</x:v>
      </x:c>
      <x:c r="F291" s="5" t="str"/>
      <x:c r="G291" s="5" t="str">
        <x:v>乙酸</x:v>
      </x:c>
      <x:c r="H291" s="5" t="str">
        <x:v>丁酸</x:v>
      </x:c>
      <x:c r="I291" s="5" t="str">
        <x:v>异丁酸</x:v>
      </x:c>
      <x:c r="J291" s="5" t="str">
        <x:v>异丁醇</x:v>
      </x:c>
      <x:c r="K291" s="5" t="str">
        <x:v>H</x:v>
      </x:c>
      <x:c r="L291" s="5" t="str">
        <x:v>M</x:v>
      </x:c>
      <x:c r="M291" s="5" t="str">
        <x:v>H</x:v>
      </x:c>
      <x:c r="N291" s="5" t="str">
        <x:v>H</x:v>
      </x:c>
      <x:c r="O291" s="6" t="n">
        <x:f>'浓度水平'!H6</x:f>
        <x:v>1800500</x:v>
      </x:c>
      <x:c r="P291" s="6" t="n">
        <x:f>'浓度水平'!G22</x:f>
        <x:v>803.5</x:v>
      </x:c>
      <x:c r="Q291" s="6" t="n">
        <x:f>'浓度水平'!H12</x:f>
        <x:v>11637.33</x:v>
      </x:c>
      <x:c r="R291" s="6" t="n">
        <x:f>'浓度水平'!H10</x:f>
        <x:v>279260</x:v>
      </x:c>
      <x:c r="S291" s="6" t="n">
        <x:f>O291/'浓度水平'!E6</x:f>
        <x:v>11.253125</x:v>
      </x:c>
      <x:c r="T291" s="6" t="n">
        <x:f>P291/'浓度水平'!E22</x:f>
        <x:v>0.8326424870466321</x:v>
      </x:c>
      <x:c r="U291" s="6" t="n">
        <x:f>Q291/'浓度水平'!E12</x:f>
        <x:v>7.365398734177215</x:v>
      </x:c>
      <x:c r="V291" s="6" t="n">
        <x:f>R291/'浓度水平'!E10</x:f>
        <x:v>9.867844522968198</x:v>
      </x:c>
      <x:c r="W291" s="6" t="n">
        <x:f>O291*'固定基底'!$B$4/1000</x:f>
        <x:v>36010</x:v>
      </x:c>
      <x:c r="X291" s="6" t="n">
        <x:f>P291*'固定基底'!$B$4/1000</x:f>
        <x:v>16.07</x:v>
      </x:c>
      <x:c r="Y291" s="6" t="n">
        <x:f>Q291*'固定基底'!$B$4/1000</x:f>
        <x:v>232.7466</x:v>
      </x:c>
      <x:c r="Z291" s="6" t="n">
        <x:f>R291*'固定基底'!$B$4/1000</x:f>
        <x:v>5585.2</x:v>
      </x:c>
      <x:c r="AA291" s="2" t="n">
        <x:f>'固定基底'!$C$7</x:f>
        <x:v>92796.92267241378</x:v>
      </x:c>
      <x:c r="AB291" s="2" t="n">
        <x:f>'固定基底'!$C$8</x:f>
        <x:v>104175.5097553192</x:v>
      </x:c>
      <x:c r="AC291" s="2" t="n">
        <x:f>'固定基底'!$E$7</x:f>
        <x:v>1855.9384534482756</x:v>
      </x:c>
      <x:c r="AD291" s="2" t="n">
        <x:f>'固定基底'!$E$8</x:f>
        <x:v>2083.510195106384</x:v>
      </x:c>
    </x:row>
    <x:row r="292" ht="25" customHeight="1">
      <x:c r="A292" s="5" t="str">
        <x:v>G11-13</x:v>
      </x:c>
      <x:c r="B292" s="5" t="str">
        <x:v>G11</x:v>
      </x:c>
      <x:c r="C292" s="5" t="str">
        <x:v>2^4全因子</x:v>
      </x:c>
      <x:c r="D292" s="5" t="str">
        <x:v>拟合</x:v>
      </x:c>
      <x:c r="E292" s="5" t="str">
        <x:v>全因子</x:v>
      </x:c>
      <x:c r="F292" s="5" t="str"/>
      <x:c r="G292" s="5" t="str">
        <x:v>乙酸</x:v>
      </x:c>
      <x:c r="H292" s="5" t="str">
        <x:v>丁酸</x:v>
      </x:c>
      <x:c r="I292" s="5" t="str">
        <x:v>异丁酸</x:v>
      </x:c>
      <x:c r="J292" s="5" t="str">
        <x:v>异丁醇</x:v>
      </x:c>
      <x:c r="K292" s="5" t="str">
        <x:v>H</x:v>
      </x:c>
      <x:c r="L292" s="5" t="str">
        <x:v>H</x:v>
      </x:c>
      <x:c r="M292" s="5" t="str">
        <x:v>M</x:v>
      </x:c>
      <x:c r="N292" s="5" t="str">
        <x:v>M</x:v>
      </x:c>
      <x:c r="O292" s="6" t="n">
        <x:f>'浓度水平'!H6</x:f>
        <x:v>1800500</x:v>
      </x:c>
      <x:c r="P292" s="6" t="n">
        <x:f>'浓度水平'!H22</x:f>
        <x:v>295816</x:v>
      </x:c>
      <x:c r="Q292" s="6" t="n">
        <x:f>'浓度水平'!G12</x:f>
        <x:v>16.76</x:v>
      </x:c>
      <x:c r="R292" s="6" t="n">
        <x:f>'浓度水平'!G10</x:f>
        <x:v>3650</x:v>
      </x:c>
      <x:c r="S292" s="6" t="n">
        <x:f>O292/'浓度水平'!E6</x:f>
        <x:v>11.253125</x:v>
      </x:c>
      <x:c r="T292" s="6" t="n">
        <x:f>P292/'浓度水平'!E22</x:f>
        <x:v>306.54507772020725</x:v>
      </x:c>
      <x:c r="U292" s="6" t="n">
        <x:f>Q292/'浓度水平'!E12</x:f>
        <x:v>0.010607594936708861</x:v>
      </x:c>
      <x:c r="V292" s="6" t="n">
        <x:f>R292/'浓度水平'!E10</x:f>
        <x:v>0.12897526501766785</x:v>
      </x:c>
      <x:c r="W292" s="6" t="n">
        <x:f>O292*'固定基底'!$B$4/1000</x:f>
        <x:v>36010</x:v>
      </x:c>
      <x:c r="X292" s="6" t="n">
        <x:f>P292*'固定基底'!$B$4/1000</x:f>
        <x:v>5916.32</x:v>
      </x:c>
      <x:c r="Y292" s="6" t="n">
        <x:f>Q292*'固定基底'!$B$4/1000</x:f>
        <x:v>0.33520000000000005</x:v>
      </x:c>
      <x:c r="Z292" s="6" t="n">
        <x:f>R292*'固定基底'!$B$4/1000</x:f>
        <x:v>73</x:v>
      </x:c>
      <x:c r="AA292" s="2" t="n">
        <x:f>'固定基底'!$C$7</x:f>
        <x:v>92796.92267241378</x:v>
      </x:c>
      <x:c r="AB292" s="2" t="n">
        <x:f>'固定基底'!$C$8</x:f>
        <x:v>104175.5097553192</x:v>
      </x:c>
      <x:c r="AC292" s="2" t="n">
        <x:f>'固定基底'!$E$7</x:f>
        <x:v>1855.9384534482756</x:v>
      </x:c>
      <x:c r="AD292" s="2" t="n">
        <x:f>'固定基底'!$E$8</x:f>
        <x:v>2083.510195106384</x:v>
      </x:c>
    </x:row>
    <x:row r="293" ht="25" customHeight="1">
      <x:c r="A293" s="5" t="str">
        <x:v>G11-14</x:v>
      </x:c>
      <x:c r="B293" s="5" t="str">
        <x:v>G11</x:v>
      </x:c>
      <x:c r="C293" s="5" t="str">
        <x:v>2^4全因子</x:v>
      </x:c>
      <x:c r="D293" s="5" t="str">
        <x:v>拟合</x:v>
      </x:c>
      <x:c r="E293" s="5" t="str">
        <x:v>全因子</x:v>
      </x:c>
      <x:c r="F293" s="5" t="str"/>
      <x:c r="G293" s="5" t="str">
        <x:v>乙酸</x:v>
      </x:c>
      <x:c r="H293" s="5" t="str">
        <x:v>丁酸</x:v>
      </x:c>
      <x:c r="I293" s="5" t="str">
        <x:v>异丁酸</x:v>
      </x:c>
      <x:c r="J293" s="5" t="str">
        <x:v>异丁醇</x:v>
      </x:c>
      <x:c r="K293" s="5" t="str">
        <x:v>H</x:v>
      </x:c>
      <x:c r="L293" s="5" t="str">
        <x:v>H</x:v>
      </x:c>
      <x:c r="M293" s="5" t="str">
        <x:v>M</x:v>
      </x:c>
      <x:c r="N293" s="5" t="str">
        <x:v>H</x:v>
      </x:c>
      <x:c r="O293" s="6" t="n">
        <x:f>'浓度水平'!H6</x:f>
        <x:v>1800500</x:v>
      </x:c>
      <x:c r="P293" s="6" t="n">
        <x:f>'浓度水平'!H22</x:f>
        <x:v>295816</x:v>
      </x:c>
      <x:c r="Q293" s="6" t="n">
        <x:f>'浓度水平'!G12</x:f>
        <x:v>16.76</x:v>
      </x:c>
      <x:c r="R293" s="6" t="n">
        <x:f>'浓度水平'!H10</x:f>
        <x:v>279260</x:v>
      </x:c>
      <x:c r="S293" s="6" t="n">
        <x:f>O293/'浓度水平'!E6</x:f>
        <x:v>11.253125</x:v>
      </x:c>
      <x:c r="T293" s="6" t="n">
        <x:f>P293/'浓度水平'!E22</x:f>
        <x:v>306.54507772020725</x:v>
      </x:c>
      <x:c r="U293" s="6" t="n">
        <x:f>Q293/'浓度水平'!E12</x:f>
        <x:v>0.010607594936708861</x:v>
      </x:c>
      <x:c r="V293" s="6" t="n">
        <x:f>R293/'浓度水平'!E10</x:f>
        <x:v>9.867844522968198</x:v>
      </x:c>
      <x:c r="W293" s="6" t="n">
        <x:f>O293*'固定基底'!$B$4/1000</x:f>
        <x:v>36010</x:v>
      </x:c>
      <x:c r="X293" s="6" t="n">
        <x:f>P293*'固定基底'!$B$4/1000</x:f>
        <x:v>5916.32</x:v>
      </x:c>
      <x:c r="Y293" s="6" t="n">
        <x:f>Q293*'固定基底'!$B$4/1000</x:f>
        <x:v>0.33520000000000005</x:v>
      </x:c>
      <x:c r="Z293" s="6" t="n">
        <x:f>R293*'固定基底'!$B$4/1000</x:f>
        <x:v>5585.2</x:v>
      </x:c>
      <x:c r="AA293" s="2" t="n">
        <x:f>'固定基底'!$C$7</x:f>
        <x:v>92796.92267241378</x:v>
      </x:c>
      <x:c r="AB293" s="2" t="n">
        <x:f>'固定基底'!$C$8</x:f>
        <x:v>104175.5097553192</x:v>
      </x:c>
      <x:c r="AC293" s="2" t="n">
        <x:f>'固定基底'!$E$7</x:f>
        <x:v>1855.9384534482756</x:v>
      </x:c>
      <x:c r="AD293" s="2" t="n">
        <x:f>'固定基底'!$E$8</x:f>
        <x:v>2083.510195106384</x:v>
      </x:c>
    </x:row>
    <x:row r="294" ht="25" customHeight="1">
      <x:c r="A294" s="5" t="str">
        <x:v>G11-15</x:v>
      </x:c>
      <x:c r="B294" s="5" t="str">
        <x:v>G11</x:v>
      </x:c>
      <x:c r="C294" s="5" t="str">
        <x:v>2^4全因子</x:v>
      </x:c>
      <x:c r="D294" s="5" t="str">
        <x:v>拟合</x:v>
      </x:c>
      <x:c r="E294" s="5" t="str">
        <x:v>全因子</x:v>
      </x:c>
      <x:c r="F294" s="5" t="str"/>
      <x:c r="G294" s="5" t="str">
        <x:v>乙酸</x:v>
      </x:c>
      <x:c r="H294" s="5" t="str">
        <x:v>丁酸</x:v>
      </x:c>
      <x:c r="I294" s="5" t="str">
        <x:v>异丁酸</x:v>
      </x:c>
      <x:c r="J294" s="5" t="str">
        <x:v>异丁醇</x:v>
      </x:c>
      <x:c r="K294" s="5" t="str">
        <x:v>H</x:v>
      </x:c>
      <x:c r="L294" s="5" t="str">
        <x:v>H</x:v>
      </x:c>
      <x:c r="M294" s="5" t="str">
        <x:v>H</x:v>
      </x:c>
      <x:c r="N294" s="5" t="str">
        <x:v>M</x:v>
      </x:c>
      <x:c r="O294" s="6" t="n">
        <x:f>'浓度水平'!H6</x:f>
        <x:v>1800500</x:v>
      </x:c>
      <x:c r="P294" s="6" t="n">
        <x:f>'浓度水平'!H22</x:f>
        <x:v>295816</x:v>
      </x:c>
      <x:c r="Q294" s="6" t="n">
        <x:f>'浓度水平'!H12</x:f>
        <x:v>11637.33</x:v>
      </x:c>
      <x:c r="R294" s="6" t="n">
        <x:f>'浓度水平'!G10</x:f>
        <x:v>3650</x:v>
      </x:c>
      <x:c r="S294" s="6" t="n">
        <x:f>O294/'浓度水平'!E6</x:f>
        <x:v>11.253125</x:v>
      </x:c>
      <x:c r="T294" s="6" t="n">
        <x:f>P294/'浓度水平'!E22</x:f>
        <x:v>306.54507772020725</x:v>
      </x:c>
      <x:c r="U294" s="6" t="n">
        <x:f>Q294/'浓度水平'!E12</x:f>
        <x:v>7.365398734177215</x:v>
      </x:c>
      <x:c r="V294" s="6" t="n">
        <x:f>R294/'浓度水平'!E10</x:f>
        <x:v>0.12897526501766785</x:v>
      </x:c>
      <x:c r="W294" s="6" t="n">
        <x:f>O294*'固定基底'!$B$4/1000</x:f>
        <x:v>36010</x:v>
      </x:c>
      <x:c r="X294" s="6" t="n">
        <x:f>P294*'固定基底'!$B$4/1000</x:f>
        <x:v>5916.32</x:v>
      </x:c>
      <x:c r="Y294" s="6" t="n">
        <x:f>Q294*'固定基底'!$B$4/1000</x:f>
        <x:v>232.7466</x:v>
      </x:c>
      <x:c r="Z294" s="6" t="n">
        <x:f>R294*'固定基底'!$B$4/1000</x:f>
        <x:v>73</x:v>
      </x:c>
      <x:c r="AA294" s="2" t="n">
        <x:f>'固定基底'!$C$7</x:f>
        <x:v>92796.92267241378</x:v>
      </x:c>
      <x:c r="AB294" s="2" t="n">
        <x:f>'固定基底'!$C$8</x:f>
        <x:v>104175.5097553192</x:v>
      </x:c>
      <x:c r="AC294" s="2" t="n">
        <x:f>'固定基底'!$E$7</x:f>
        <x:v>1855.9384534482756</x:v>
      </x:c>
      <x:c r="AD294" s="2" t="n">
        <x:f>'固定基底'!$E$8</x:f>
        <x:v>2083.510195106384</x:v>
      </x:c>
    </x:row>
    <x:row r="295" ht="25" customHeight="1">
      <x:c r="A295" s="5" t="str">
        <x:v>G11-16</x:v>
      </x:c>
      <x:c r="B295" s="5" t="str">
        <x:v>G11</x:v>
      </x:c>
      <x:c r="C295" s="5" t="str">
        <x:v>2^4全因子</x:v>
      </x:c>
      <x:c r="D295" s="5" t="str">
        <x:v>拟合</x:v>
      </x:c>
      <x:c r="E295" s="5" t="str">
        <x:v>全因子</x:v>
      </x:c>
      <x:c r="F295" s="5" t="str"/>
      <x:c r="G295" s="5" t="str">
        <x:v>乙酸</x:v>
      </x:c>
      <x:c r="H295" s="5" t="str">
        <x:v>丁酸</x:v>
      </x:c>
      <x:c r="I295" s="5" t="str">
        <x:v>异丁酸</x:v>
      </x:c>
      <x:c r="J295" s="5" t="str">
        <x:v>异丁醇</x:v>
      </x:c>
      <x:c r="K295" s="5" t="str">
        <x:v>H</x:v>
      </x:c>
      <x:c r="L295" s="5" t="str">
        <x:v>H</x:v>
      </x:c>
      <x:c r="M295" s="5" t="str">
        <x:v>H</x:v>
      </x:c>
      <x:c r="N295" s="5" t="str">
        <x:v>H</x:v>
      </x:c>
      <x:c r="O295" s="6" t="n">
        <x:f>'浓度水平'!H6</x:f>
        <x:v>1800500</x:v>
      </x:c>
      <x:c r="P295" s="6" t="n">
        <x:f>'浓度水平'!H22</x:f>
        <x:v>295816</x:v>
      </x:c>
      <x:c r="Q295" s="6" t="n">
        <x:f>'浓度水平'!H12</x:f>
        <x:v>11637.33</x:v>
      </x:c>
      <x:c r="R295" s="6" t="n">
        <x:f>'浓度水平'!H10</x:f>
        <x:v>279260</x:v>
      </x:c>
      <x:c r="S295" s="6" t="n">
        <x:f>O295/'浓度水平'!E6</x:f>
        <x:v>11.253125</x:v>
      </x:c>
      <x:c r="T295" s="6" t="n">
        <x:f>P295/'浓度水平'!E22</x:f>
        <x:v>306.54507772020725</x:v>
      </x:c>
      <x:c r="U295" s="6" t="n">
        <x:f>Q295/'浓度水平'!E12</x:f>
        <x:v>7.365398734177215</x:v>
      </x:c>
      <x:c r="V295" s="6" t="n">
        <x:f>R295/'浓度水平'!E10</x:f>
        <x:v>9.867844522968198</x:v>
      </x:c>
      <x:c r="W295" s="6" t="n">
        <x:f>O295*'固定基底'!$B$4/1000</x:f>
        <x:v>36010</x:v>
      </x:c>
      <x:c r="X295" s="6" t="n">
        <x:f>P295*'固定基底'!$B$4/1000</x:f>
        <x:v>5916.32</x:v>
      </x:c>
      <x:c r="Y295" s="6" t="n">
        <x:f>Q295*'固定基底'!$B$4/1000</x:f>
        <x:v>232.7466</x:v>
      </x:c>
      <x:c r="Z295" s="6" t="n">
        <x:f>R295*'固定基底'!$B$4/1000</x:f>
        <x:v>5585.2</x:v>
      </x:c>
      <x:c r="AA295" s="2" t="n">
        <x:f>'固定基底'!$C$7</x:f>
        <x:v>92796.92267241378</x:v>
      </x:c>
      <x:c r="AB295" s="2" t="n">
        <x:f>'固定基底'!$C$8</x:f>
        <x:v>104175.5097553192</x:v>
      </x:c>
      <x:c r="AC295" s="2" t="n">
        <x:f>'固定基底'!$E$7</x:f>
        <x:v>1855.9384534482756</x:v>
      </x:c>
      <x:c r="AD295" s="2" t="n">
        <x:f>'固定基底'!$E$8</x:f>
        <x:v>2083.510195106384</x:v>
      </x:c>
    </x:row>
    <x:row r="296" ht="25" customHeight="1">
      <x:c r="A296" s="5" t="str">
        <x:v>G11-17</x:v>
      </x:c>
      <x:c r="B296" s="5" t="str">
        <x:v>G11</x:v>
      </x:c>
      <x:c r="C296" s="5" t="str">
        <x:v>2^4全因子</x:v>
      </x:c>
      <x:c r="D296" s="5" t="str">
        <x:v>拟合</x:v>
      </x:c>
      <x:c r="E296" s="5" t="str">
        <x:v>参考配方独立重复</x:v>
      </x:c>
      <x:c r="F296" s="5" t="str">
        <x:v>G11-01</x:v>
      </x:c>
      <x:c r="G296" s="5" t="str">
        <x:v>乙酸</x:v>
      </x:c>
      <x:c r="H296" s="5" t="str">
        <x:v>丁酸</x:v>
      </x:c>
      <x:c r="I296" s="5" t="str">
        <x:v>异丁酸</x:v>
      </x:c>
      <x:c r="J296" s="5" t="str">
        <x:v>异丁醇</x:v>
      </x:c>
      <x:c r="K296" s="5" t="str">
        <x:v>M</x:v>
      </x:c>
      <x:c r="L296" s="5" t="str">
        <x:v>M</x:v>
      </x:c>
      <x:c r="M296" s="5" t="str">
        <x:v>M</x:v>
      </x:c>
      <x:c r="N296" s="5" t="str">
        <x:v>M</x:v>
      </x:c>
      <x:c r="O296" s="6" t="n">
        <x:f>'浓度水平'!G6</x:f>
        <x:v>3158</x:v>
      </x:c>
      <x:c r="P296" s="6" t="n">
        <x:f>'浓度水平'!G22</x:f>
        <x:v>803.5</x:v>
      </x:c>
      <x:c r="Q296" s="6" t="n">
        <x:f>'浓度水平'!G12</x:f>
        <x:v>16.76</x:v>
      </x:c>
      <x:c r="R296" s="6" t="n">
        <x:f>'浓度水平'!G10</x:f>
        <x:v>3650</x:v>
      </x:c>
      <x:c r="S296" s="6" t="n">
        <x:f>O296/'浓度水平'!E6</x:f>
        <x:v>0.0197375</x:v>
      </x:c>
      <x:c r="T296" s="6" t="n">
        <x:f>P296/'浓度水平'!E22</x:f>
        <x:v>0.8326424870466321</x:v>
      </x:c>
      <x:c r="U296" s="6" t="n">
        <x:f>Q296/'浓度水平'!E12</x:f>
        <x:v>0.010607594936708861</x:v>
      </x:c>
      <x:c r="V296" s="6" t="n">
        <x:f>R296/'浓度水平'!E10</x:f>
        <x:v>0.12897526501766785</x:v>
      </x:c>
      <x:c r="W296" s="6" t="n">
        <x:f>O296*'固定基底'!$B$4/1000</x:f>
        <x:v>63.16</x:v>
      </x:c>
      <x:c r="X296" s="6" t="n">
        <x:f>P296*'固定基底'!$B$4/1000</x:f>
        <x:v>16.07</x:v>
      </x:c>
      <x:c r="Y296" s="6" t="n">
        <x:f>Q296*'固定基底'!$B$4/1000</x:f>
        <x:v>0.33520000000000005</x:v>
      </x:c>
      <x:c r="Z296" s="6" t="n">
        <x:f>R296*'固定基底'!$B$4/1000</x:f>
        <x:v>73</x:v>
      </x:c>
      <x:c r="AA296" s="2" t="n">
        <x:f>'固定基底'!$C$7</x:f>
        <x:v>92796.92267241378</x:v>
      </x:c>
      <x:c r="AB296" s="2" t="n">
        <x:f>'固定基底'!$C$8</x:f>
        <x:v>104175.5097553192</x:v>
      </x:c>
      <x:c r="AC296" s="2" t="n">
        <x:f>'固定基底'!$E$7</x:f>
        <x:v>1855.9384534482756</x:v>
      </x:c>
      <x:c r="AD296" s="2" t="n">
        <x:f>'固定基底'!$E$8</x:f>
        <x:v>2083.510195106384</x:v>
      </x:c>
    </x:row>
    <x:row r="297" ht="25" customHeight="1">
      <x:c r="A297" s="5" t="str">
        <x:v>G11-18</x:v>
      </x:c>
      <x:c r="B297" s="5" t="str">
        <x:v>G11</x:v>
      </x:c>
      <x:c r="C297" s="5" t="str">
        <x:v>2^4全因子</x:v>
      </x:c>
      <x:c r="D297" s="5" t="str">
        <x:v>拟合</x:v>
      </x:c>
      <x:c r="E297" s="5" t="str">
        <x:v>参考配方独立重复</x:v>
      </x:c>
      <x:c r="F297" s="5" t="str">
        <x:v>G11-16</x:v>
      </x:c>
      <x:c r="G297" s="5" t="str">
        <x:v>乙酸</x:v>
      </x:c>
      <x:c r="H297" s="5" t="str">
        <x:v>丁酸</x:v>
      </x:c>
      <x:c r="I297" s="5" t="str">
        <x:v>异丁酸</x:v>
      </x:c>
      <x:c r="J297" s="5" t="str">
        <x:v>异丁醇</x:v>
      </x:c>
      <x:c r="K297" s="5" t="str">
        <x:v>H</x:v>
      </x:c>
      <x:c r="L297" s="5" t="str">
        <x:v>H</x:v>
      </x:c>
      <x:c r="M297" s="5" t="str">
        <x:v>H</x:v>
      </x:c>
      <x:c r="N297" s="5" t="str">
        <x:v>H</x:v>
      </x:c>
      <x:c r="O297" s="6" t="n">
        <x:f>'浓度水平'!H6</x:f>
        <x:v>1800500</x:v>
      </x:c>
      <x:c r="P297" s="6" t="n">
        <x:f>'浓度水平'!H22</x:f>
        <x:v>295816</x:v>
      </x:c>
      <x:c r="Q297" s="6" t="n">
        <x:f>'浓度水平'!H12</x:f>
        <x:v>11637.33</x:v>
      </x:c>
      <x:c r="R297" s="6" t="n">
        <x:f>'浓度水平'!H10</x:f>
        <x:v>279260</x:v>
      </x:c>
      <x:c r="S297" s="6" t="n">
        <x:f>O297/'浓度水平'!E6</x:f>
        <x:v>11.253125</x:v>
      </x:c>
      <x:c r="T297" s="6" t="n">
        <x:f>P297/'浓度水平'!E22</x:f>
        <x:v>306.54507772020725</x:v>
      </x:c>
      <x:c r="U297" s="6" t="n">
        <x:f>Q297/'浓度水平'!E12</x:f>
        <x:v>7.365398734177215</x:v>
      </x:c>
      <x:c r="V297" s="6" t="n">
        <x:f>R297/'浓度水平'!E10</x:f>
        <x:v>9.867844522968198</x:v>
      </x:c>
      <x:c r="W297" s="6" t="n">
        <x:f>O297*'固定基底'!$B$4/1000</x:f>
        <x:v>36010</x:v>
      </x:c>
      <x:c r="X297" s="6" t="n">
        <x:f>P297*'固定基底'!$B$4/1000</x:f>
        <x:v>5916.32</x:v>
      </x:c>
      <x:c r="Y297" s="6" t="n">
        <x:f>Q297*'固定基底'!$B$4/1000</x:f>
        <x:v>232.7466</x:v>
      </x:c>
      <x:c r="Z297" s="6" t="n">
        <x:f>R297*'固定基底'!$B$4/1000</x:f>
        <x:v>5585.2</x:v>
      </x:c>
      <x:c r="AA297" s="2" t="n">
        <x:f>'固定基底'!$C$7</x:f>
        <x:v>92796.92267241378</x:v>
      </x:c>
      <x:c r="AB297" s="2" t="n">
        <x:f>'固定基底'!$C$8</x:f>
        <x:v>104175.5097553192</x:v>
      </x:c>
      <x:c r="AC297" s="2" t="n">
        <x:f>'固定基底'!$E$7</x:f>
        <x:v>1855.9384534482756</x:v>
      </x:c>
      <x:c r="AD297" s="2" t="n">
        <x:f>'固定基底'!$E$8</x:f>
        <x:v>2083.510195106384</x:v>
      </x:c>
    </x:row>
    <x:row r="298" ht="25" customHeight="1">
      <x:c r="A298" s="5" t="str">
        <x:v>G12-01</x:v>
      </x:c>
      <x:c r="B298" s="5" t="str">
        <x:v>G12</x:v>
      </x:c>
      <x:c r="C298" s="5" t="str">
        <x:v>2^4全因子</x:v>
      </x:c>
      <x:c r="D298" s="5" t="str">
        <x:v>拟合</x:v>
      </x:c>
      <x:c r="E298" s="5" t="str">
        <x:v>全因子</x:v>
      </x:c>
      <x:c r="F298" s="5" t="str"/>
      <x:c r="G298" s="5" t="str">
        <x:v>乙酸</x:v>
      </x:c>
      <x:c r="H298" s="5" t="str">
        <x:v>异丁醇</x:v>
      </x:c>
      <x:c r="I298" s="5" t="str">
        <x:v>1-己醇</x:v>
      </x:c>
      <x:c r="J298" s="5" t="str">
        <x:v>1-辛醇</x:v>
      </x:c>
      <x:c r="K298" s="5" t="str">
        <x:v>M</x:v>
      </x:c>
      <x:c r="L298" s="5" t="str">
        <x:v>M</x:v>
      </x:c>
      <x:c r="M298" s="5" t="str">
        <x:v>M</x:v>
      </x:c>
      <x:c r="N298" s="5" t="str">
        <x:v>M</x:v>
      </x:c>
      <x:c r="O298" s="6" t="n">
        <x:f>'浓度水平'!G6</x:f>
        <x:v>3158</x:v>
      </x:c>
      <x:c r="P298" s="6" t="n">
        <x:f>'浓度水平'!G10</x:f>
        <x:v>3650</x:v>
      </x:c>
      <x:c r="Q298" s="6" t="n">
        <x:f>'浓度水平'!G26</x:f>
        <x:v>3900</x:v>
      </x:c>
      <x:c r="R298" s="6" t="n">
        <x:f>'浓度水平'!G27</x:f>
        <x:v>1232.25</x:v>
      </x:c>
      <x:c r="S298" s="6" t="n">
        <x:f>O298/'浓度水平'!E6</x:f>
        <x:v>0.0197375</x:v>
      </x:c>
      <x:c r="T298" s="6" t="n">
        <x:f>P298/'浓度水平'!E10</x:f>
        <x:v>0.12897526501766785</x:v>
      </x:c>
      <x:c r="U298" s="6" t="n">
        <x:f>Q298/'浓度水平'!E26</x:f>
        <x:v>0.7262569832402235</x:v>
      </x:c>
      <x:c r="V298" s="6" t="n">
        <x:f>R298/'浓度水平'!E27</x:f>
        <x:v>1.1202272727272726</x:v>
      </x:c>
      <x:c r="W298" s="6" t="n">
        <x:f>O298*'固定基底'!$B$4/1000</x:f>
        <x:v>63.16</x:v>
      </x:c>
      <x:c r="X298" s="6" t="n">
        <x:f>P298*'固定基底'!$B$4/1000</x:f>
        <x:v>73</x:v>
      </x:c>
      <x:c r="Y298" s="6" t="n">
        <x:f>Q298*'固定基底'!$B$4/1000</x:f>
        <x:v>78</x:v>
      </x:c>
      <x:c r="Z298" s="6" t="n">
        <x:f>R298*'固定基底'!$B$4/1000</x:f>
        <x:v>24.645</x:v>
      </x:c>
      <x:c r="AA298" s="2" t="n">
        <x:f>'固定基底'!$C$7</x:f>
        <x:v>92796.92267241378</x:v>
      </x:c>
      <x:c r="AB298" s="2" t="n">
        <x:f>'固定基底'!$C$8</x:f>
        <x:v>104175.5097553192</x:v>
      </x:c>
      <x:c r="AC298" s="2" t="n">
        <x:f>'固定基底'!$E$7</x:f>
        <x:v>1855.9384534482756</x:v>
      </x:c>
      <x:c r="AD298" s="2" t="n">
        <x:f>'固定基底'!$E$8</x:f>
        <x:v>2083.510195106384</x:v>
      </x:c>
    </x:row>
    <x:row r="299" ht="25" customHeight="1">
      <x:c r="A299" s="5" t="str">
        <x:v>G12-02</x:v>
      </x:c>
      <x:c r="B299" s="5" t="str">
        <x:v>G12</x:v>
      </x:c>
      <x:c r="C299" s="5" t="str">
        <x:v>2^4全因子</x:v>
      </x:c>
      <x:c r="D299" s="5" t="str">
        <x:v>拟合</x:v>
      </x:c>
      <x:c r="E299" s="5" t="str">
        <x:v>全因子</x:v>
      </x:c>
      <x:c r="F299" s="5" t="str"/>
      <x:c r="G299" s="5" t="str">
        <x:v>乙酸</x:v>
      </x:c>
      <x:c r="H299" s="5" t="str">
        <x:v>异丁醇</x:v>
      </x:c>
      <x:c r="I299" s="5" t="str">
        <x:v>1-己醇</x:v>
      </x:c>
      <x:c r="J299" s="5" t="str">
        <x:v>1-辛醇</x:v>
      </x:c>
      <x:c r="K299" s="5" t="str">
        <x:v>M</x:v>
      </x:c>
      <x:c r="L299" s="5" t="str">
        <x:v>M</x:v>
      </x:c>
      <x:c r="M299" s="5" t="str">
        <x:v>M</x:v>
      </x:c>
      <x:c r="N299" s="5" t="str">
        <x:v>H</x:v>
      </x:c>
      <x:c r="O299" s="6" t="n">
        <x:f>'浓度水平'!G6</x:f>
        <x:v>3158</x:v>
      </x:c>
      <x:c r="P299" s="6" t="n">
        <x:f>'浓度水平'!G10</x:f>
        <x:v>3650</x:v>
      </x:c>
      <x:c r="Q299" s="6" t="n">
        <x:f>'浓度水平'!G26</x:f>
        <x:v>3900</x:v>
      </x:c>
      <x:c r="R299" s="6" t="n">
        <x:f>'浓度水平'!H27</x:f>
        <x:v>25642.45</x:v>
      </x:c>
      <x:c r="S299" s="6" t="n">
        <x:f>O299/'浓度水平'!E6</x:f>
        <x:v>0.0197375</x:v>
      </x:c>
      <x:c r="T299" s="6" t="n">
        <x:f>P299/'浓度水平'!E10</x:f>
        <x:v>0.12897526501766785</x:v>
      </x:c>
      <x:c r="U299" s="6" t="n">
        <x:f>Q299/'浓度水平'!E26</x:f>
        <x:v>0.7262569832402235</x:v>
      </x:c>
      <x:c r="V299" s="6" t="n">
        <x:f>R299/'浓度水平'!E27</x:f>
        <x:v>23.311318181818184</x:v>
      </x:c>
      <x:c r="W299" s="6" t="n">
        <x:f>O299*'固定基底'!$B$4/1000</x:f>
        <x:v>63.16</x:v>
      </x:c>
      <x:c r="X299" s="6" t="n">
        <x:f>P299*'固定基底'!$B$4/1000</x:f>
        <x:v>73</x:v>
      </x:c>
      <x:c r="Y299" s="6" t="n">
        <x:f>Q299*'固定基底'!$B$4/1000</x:f>
        <x:v>78</x:v>
      </x:c>
      <x:c r="Z299" s="6" t="n">
        <x:f>R299*'固定基底'!$B$4/1000</x:f>
        <x:v>512.849</x:v>
      </x:c>
      <x:c r="AA299" s="2" t="n">
        <x:f>'固定基底'!$C$7</x:f>
        <x:v>92796.92267241378</x:v>
      </x:c>
      <x:c r="AB299" s="2" t="n">
        <x:f>'固定基底'!$C$8</x:f>
        <x:v>104175.5097553192</x:v>
      </x:c>
      <x:c r="AC299" s="2" t="n">
        <x:f>'固定基底'!$E$7</x:f>
        <x:v>1855.9384534482756</x:v>
      </x:c>
      <x:c r="AD299" s="2" t="n">
        <x:f>'固定基底'!$E$8</x:f>
        <x:v>2083.510195106384</x:v>
      </x:c>
    </x:row>
    <x:row r="300" ht="25" customHeight="1">
      <x:c r="A300" s="5" t="str">
        <x:v>G12-03</x:v>
      </x:c>
      <x:c r="B300" s="5" t="str">
        <x:v>G12</x:v>
      </x:c>
      <x:c r="C300" s="5" t="str">
        <x:v>2^4全因子</x:v>
      </x:c>
      <x:c r="D300" s="5" t="str">
        <x:v>拟合</x:v>
      </x:c>
      <x:c r="E300" s="5" t="str">
        <x:v>全因子</x:v>
      </x:c>
      <x:c r="F300" s="5" t="str"/>
      <x:c r="G300" s="5" t="str">
        <x:v>乙酸</x:v>
      </x:c>
      <x:c r="H300" s="5" t="str">
        <x:v>异丁醇</x:v>
      </x:c>
      <x:c r="I300" s="5" t="str">
        <x:v>1-己醇</x:v>
      </x:c>
      <x:c r="J300" s="5" t="str">
        <x:v>1-辛醇</x:v>
      </x:c>
      <x:c r="K300" s="5" t="str">
        <x:v>M</x:v>
      </x:c>
      <x:c r="L300" s="5" t="str">
        <x:v>M</x:v>
      </x:c>
      <x:c r="M300" s="5" t="str">
        <x:v>H</x:v>
      </x:c>
      <x:c r="N300" s="5" t="str">
        <x:v>M</x:v>
      </x:c>
      <x:c r="O300" s="6" t="n">
        <x:f>'浓度水平'!G6</x:f>
        <x:v>3158</x:v>
      </x:c>
      <x:c r="P300" s="6" t="n">
        <x:f>'浓度水平'!G10</x:f>
        <x:v>3650</x:v>
      </x:c>
      <x:c r="Q300" s="6" t="n">
        <x:f>'浓度水平'!H26</x:f>
        <x:v>1869000</x:v>
      </x:c>
      <x:c r="R300" s="6" t="n">
        <x:f>'浓度水平'!G27</x:f>
        <x:v>1232.25</x:v>
      </x:c>
      <x:c r="S300" s="6" t="n">
        <x:f>O300/'浓度水平'!E6</x:f>
        <x:v>0.0197375</x:v>
      </x:c>
      <x:c r="T300" s="6" t="n">
        <x:f>P300/'浓度水平'!E10</x:f>
        <x:v>0.12897526501766785</x:v>
      </x:c>
      <x:c r="U300" s="6" t="n">
        <x:f>Q300/'浓度水平'!E26</x:f>
        <x:v>348.0446927374302</x:v>
      </x:c>
      <x:c r="V300" s="6" t="n">
        <x:f>R300/'浓度水平'!E27</x:f>
        <x:v>1.1202272727272726</x:v>
      </x:c>
      <x:c r="W300" s="6" t="n">
        <x:f>O300*'固定基底'!$B$4/1000</x:f>
        <x:v>63.16</x:v>
      </x:c>
      <x:c r="X300" s="6" t="n">
        <x:f>P300*'固定基底'!$B$4/1000</x:f>
        <x:v>73</x:v>
      </x:c>
      <x:c r="Y300" s="6" t="n">
        <x:f>Q300*'固定基底'!$B$4/1000</x:f>
        <x:v>37380</x:v>
      </x:c>
      <x:c r="Z300" s="6" t="n">
        <x:f>R300*'固定基底'!$B$4/1000</x:f>
        <x:v>24.645</x:v>
      </x:c>
      <x:c r="AA300" s="2" t="n">
        <x:f>'固定基底'!$C$7</x:f>
        <x:v>92796.92267241378</x:v>
      </x:c>
      <x:c r="AB300" s="2" t="n">
        <x:f>'固定基底'!$C$8</x:f>
        <x:v>104175.5097553192</x:v>
      </x:c>
      <x:c r="AC300" s="2" t="n">
        <x:f>'固定基底'!$E$7</x:f>
        <x:v>1855.9384534482756</x:v>
      </x:c>
      <x:c r="AD300" s="2" t="n">
        <x:f>'固定基底'!$E$8</x:f>
        <x:v>2083.510195106384</x:v>
      </x:c>
    </x:row>
    <x:row r="301" ht="25" customHeight="1">
      <x:c r="A301" s="5" t="str">
        <x:v>G12-04</x:v>
      </x:c>
      <x:c r="B301" s="5" t="str">
        <x:v>G12</x:v>
      </x:c>
      <x:c r="C301" s="5" t="str">
        <x:v>2^4全因子</x:v>
      </x:c>
      <x:c r="D301" s="5" t="str">
        <x:v>拟合</x:v>
      </x:c>
      <x:c r="E301" s="5" t="str">
        <x:v>全因子</x:v>
      </x:c>
      <x:c r="F301" s="5" t="str"/>
      <x:c r="G301" s="5" t="str">
        <x:v>乙酸</x:v>
      </x:c>
      <x:c r="H301" s="5" t="str">
        <x:v>异丁醇</x:v>
      </x:c>
      <x:c r="I301" s="5" t="str">
        <x:v>1-己醇</x:v>
      </x:c>
      <x:c r="J301" s="5" t="str">
        <x:v>1-辛醇</x:v>
      </x:c>
      <x:c r="K301" s="5" t="str">
        <x:v>M</x:v>
      </x:c>
      <x:c r="L301" s="5" t="str">
        <x:v>M</x:v>
      </x:c>
      <x:c r="M301" s="5" t="str">
        <x:v>H</x:v>
      </x:c>
      <x:c r="N301" s="5" t="str">
        <x:v>H</x:v>
      </x:c>
      <x:c r="O301" s="6" t="n">
        <x:f>'浓度水平'!G6</x:f>
        <x:v>3158</x:v>
      </x:c>
      <x:c r="P301" s="6" t="n">
        <x:f>'浓度水平'!G10</x:f>
        <x:v>3650</x:v>
      </x:c>
      <x:c r="Q301" s="6" t="n">
        <x:f>'浓度水平'!H26</x:f>
        <x:v>1869000</x:v>
      </x:c>
      <x:c r="R301" s="6" t="n">
        <x:f>'浓度水平'!H27</x:f>
        <x:v>25642.45</x:v>
      </x:c>
      <x:c r="S301" s="6" t="n">
        <x:f>O301/'浓度水平'!E6</x:f>
        <x:v>0.0197375</x:v>
      </x:c>
      <x:c r="T301" s="6" t="n">
        <x:f>P301/'浓度水平'!E10</x:f>
        <x:v>0.12897526501766785</x:v>
      </x:c>
      <x:c r="U301" s="6" t="n">
        <x:f>Q301/'浓度水平'!E26</x:f>
        <x:v>348.0446927374302</x:v>
      </x:c>
      <x:c r="V301" s="6" t="n">
        <x:f>R301/'浓度水平'!E27</x:f>
        <x:v>23.311318181818184</x:v>
      </x:c>
      <x:c r="W301" s="6" t="n">
        <x:f>O301*'固定基底'!$B$4/1000</x:f>
        <x:v>63.16</x:v>
      </x:c>
      <x:c r="X301" s="6" t="n">
        <x:f>P301*'固定基底'!$B$4/1000</x:f>
        <x:v>73</x:v>
      </x:c>
      <x:c r="Y301" s="6" t="n">
        <x:f>Q301*'固定基底'!$B$4/1000</x:f>
        <x:v>37380</x:v>
      </x:c>
      <x:c r="Z301" s="6" t="n">
        <x:f>R301*'固定基底'!$B$4/1000</x:f>
        <x:v>512.849</x:v>
      </x:c>
      <x:c r="AA301" s="2" t="n">
        <x:f>'固定基底'!$C$7</x:f>
        <x:v>92796.92267241378</x:v>
      </x:c>
      <x:c r="AB301" s="2" t="n">
        <x:f>'固定基底'!$C$8</x:f>
        <x:v>104175.5097553192</x:v>
      </x:c>
      <x:c r="AC301" s="2" t="n">
        <x:f>'固定基底'!$E$7</x:f>
        <x:v>1855.9384534482756</x:v>
      </x:c>
      <x:c r="AD301" s="2" t="n">
        <x:f>'固定基底'!$E$8</x:f>
        <x:v>2083.510195106384</x:v>
      </x:c>
    </x:row>
    <x:row r="302" ht="25" customHeight="1">
      <x:c r="A302" s="5" t="str">
        <x:v>G12-05</x:v>
      </x:c>
      <x:c r="B302" s="5" t="str">
        <x:v>G12</x:v>
      </x:c>
      <x:c r="C302" s="5" t="str">
        <x:v>2^4全因子</x:v>
      </x:c>
      <x:c r="D302" s="5" t="str">
        <x:v>拟合</x:v>
      </x:c>
      <x:c r="E302" s="5" t="str">
        <x:v>全因子</x:v>
      </x:c>
      <x:c r="F302" s="5" t="str"/>
      <x:c r="G302" s="5" t="str">
        <x:v>乙酸</x:v>
      </x:c>
      <x:c r="H302" s="5" t="str">
        <x:v>异丁醇</x:v>
      </x:c>
      <x:c r="I302" s="5" t="str">
        <x:v>1-己醇</x:v>
      </x:c>
      <x:c r="J302" s="5" t="str">
        <x:v>1-辛醇</x:v>
      </x:c>
      <x:c r="K302" s="5" t="str">
        <x:v>M</x:v>
      </x:c>
      <x:c r="L302" s="5" t="str">
        <x:v>H</x:v>
      </x:c>
      <x:c r="M302" s="5" t="str">
        <x:v>M</x:v>
      </x:c>
      <x:c r="N302" s="5" t="str">
        <x:v>M</x:v>
      </x:c>
      <x:c r="O302" s="6" t="n">
        <x:f>'浓度水平'!G6</x:f>
        <x:v>3158</x:v>
      </x:c>
      <x:c r="P302" s="6" t="n">
        <x:f>'浓度水平'!H10</x:f>
        <x:v>279260</x:v>
      </x:c>
      <x:c r="Q302" s="6" t="n">
        <x:f>'浓度水平'!G26</x:f>
        <x:v>3900</x:v>
      </x:c>
      <x:c r="R302" s="6" t="n">
        <x:f>'浓度水平'!G27</x:f>
        <x:v>1232.25</x:v>
      </x:c>
      <x:c r="S302" s="6" t="n">
        <x:f>O302/'浓度水平'!E6</x:f>
        <x:v>0.0197375</x:v>
      </x:c>
      <x:c r="T302" s="6" t="n">
        <x:f>P302/'浓度水平'!E10</x:f>
        <x:v>9.867844522968198</x:v>
      </x:c>
      <x:c r="U302" s="6" t="n">
        <x:f>Q302/'浓度水平'!E26</x:f>
        <x:v>0.7262569832402235</x:v>
      </x:c>
      <x:c r="V302" s="6" t="n">
        <x:f>R302/'浓度水平'!E27</x:f>
        <x:v>1.1202272727272726</x:v>
      </x:c>
      <x:c r="W302" s="6" t="n">
        <x:f>O302*'固定基底'!$B$4/1000</x:f>
        <x:v>63.16</x:v>
      </x:c>
      <x:c r="X302" s="6" t="n">
        <x:f>P302*'固定基底'!$B$4/1000</x:f>
        <x:v>5585.2</x:v>
      </x:c>
      <x:c r="Y302" s="6" t="n">
        <x:f>Q302*'固定基底'!$B$4/1000</x:f>
        <x:v>78</x:v>
      </x:c>
      <x:c r="Z302" s="6" t="n">
        <x:f>R302*'固定基底'!$B$4/1000</x:f>
        <x:v>24.645</x:v>
      </x:c>
      <x:c r="AA302" s="2" t="n">
        <x:f>'固定基底'!$C$7</x:f>
        <x:v>92796.92267241378</x:v>
      </x:c>
      <x:c r="AB302" s="2" t="n">
        <x:f>'固定基底'!$C$8</x:f>
        <x:v>104175.5097553192</x:v>
      </x:c>
      <x:c r="AC302" s="2" t="n">
        <x:f>'固定基底'!$E$7</x:f>
        <x:v>1855.9384534482756</x:v>
      </x:c>
      <x:c r="AD302" s="2" t="n">
        <x:f>'固定基底'!$E$8</x:f>
        <x:v>2083.510195106384</x:v>
      </x:c>
    </x:row>
    <x:row r="303" ht="25" customHeight="1">
      <x:c r="A303" s="5" t="str">
        <x:v>G12-06</x:v>
      </x:c>
      <x:c r="B303" s="5" t="str">
        <x:v>G12</x:v>
      </x:c>
      <x:c r="C303" s="5" t="str">
        <x:v>2^4全因子</x:v>
      </x:c>
      <x:c r="D303" s="5" t="str">
        <x:v>拟合</x:v>
      </x:c>
      <x:c r="E303" s="5" t="str">
        <x:v>全因子</x:v>
      </x:c>
      <x:c r="F303" s="5" t="str"/>
      <x:c r="G303" s="5" t="str">
        <x:v>乙酸</x:v>
      </x:c>
      <x:c r="H303" s="5" t="str">
        <x:v>异丁醇</x:v>
      </x:c>
      <x:c r="I303" s="5" t="str">
        <x:v>1-己醇</x:v>
      </x:c>
      <x:c r="J303" s="5" t="str">
        <x:v>1-辛醇</x:v>
      </x:c>
      <x:c r="K303" s="5" t="str">
        <x:v>M</x:v>
      </x:c>
      <x:c r="L303" s="5" t="str">
        <x:v>H</x:v>
      </x:c>
      <x:c r="M303" s="5" t="str">
        <x:v>M</x:v>
      </x:c>
      <x:c r="N303" s="5" t="str">
        <x:v>H</x:v>
      </x:c>
      <x:c r="O303" s="6" t="n">
        <x:f>'浓度水平'!G6</x:f>
        <x:v>3158</x:v>
      </x:c>
      <x:c r="P303" s="6" t="n">
        <x:f>'浓度水平'!H10</x:f>
        <x:v>279260</x:v>
      </x:c>
      <x:c r="Q303" s="6" t="n">
        <x:f>'浓度水平'!G26</x:f>
        <x:v>3900</x:v>
      </x:c>
      <x:c r="R303" s="6" t="n">
        <x:f>'浓度水平'!H27</x:f>
        <x:v>25642.45</x:v>
      </x:c>
      <x:c r="S303" s="6" t="n">
        <x:f>O303/'浓度水平'!E6</x:f>
        <x:v>0.0197375</x:v>
      </x:c>
      <x:c r="T303" s="6" t="n">
        <x:f>P303/'浓度水平'!E10</x:f>
        <x:v>9.867844522968198</x:v>
      </x:c>
      <x:c r="U303" s="6" t="n">
        <x:f>Q303/'浓度水平'!E26</x:f>
        <x:v>0.7262569832402235</x:v>
      </x:c>
      <x:c r="V303" s="6" t="n">
        <x:f>R303/'浓度水平'!E27</x:f>
        <x:v>23.311318181818184</x:v>
      </x:c>
      <x:c r="W303" s="6" t="n">
        <x:f>O303*'固定基底'!$B$4/1000</x:f>
        <x:v>63.16</x:v>
      </x:c>
      <x:c r="X303" s="6" t="n">
        <x:f>P303*'固定基底'!$B$4/1000</x:f>
        <x:v>5585.2</x:v>
      </x:c>
      <x:c r="Y303" s="6" t="n">
        <x:f>Q303*'固定基底'!$B$4/1000</x:f>
        <x:v>78</x:v>
      </x:c>
      <x:c r="Z303" s="6" t="n">
        <x:f>R303*'固定基底'!$B$4/1000</x:f>
        <x:v>512.849</x:v>
      </x:c>
      <x:c r="AA303" s="2" t="n">
        <x:f>'固定基底'!$C$7</x:f>
        <x:v>92796.92267241378</x:v>
      </x:c>
      <x:c r="AB303" s="2" t="n">
        <x:f>'固定基底'!$C$8</x:f>
        <x:v>104175.5097553192</x:v>
      </x:c>
      <x:c r="AC303" s="2" t="n">
        <x:f>'固定基底'!$E$7</x:f>
        <x:v>1855.9384534482756</x:v>
      </x:c>
      <x:c r="AD303" s="2" t="n">
        <x:f>'固定基底'!$E$8</x:f>
        <x:v>2083.510195106384</x:v>
      </x:c>
    </x:row>
    <x:row r="304" ht="25" customHeight="1">
      <x:c r="A304" s="5" t="str">
        <x:v>G12-07</x:v>
      </x:c>
      <x:c r="B304" s="5" t="str">
        <x:v>G12</x:v>
      </x:c>
      <x:c r="C304" s="5" t="str">
        <x:v>2^4全因子</x:v>
      </x:c>
      <x:c r="D304" s="5" t="str">
        <x:v>拟合</x:v>
      </x:c>
      <x:c r="E304" s="5" t="str">
        <x:v>全因子</x:v>
      </x:c>
      <x:c r="F304" s="5" t="str"/>
      <x:c r="G304" s="5" t="str">
        <x:v>乙酸</x:v>
      </x:c>
      <x:c r="H304" s="5" t="str">
        <x:v>异丁醇</x:v>
      </x:c>
      <x:c r="I304" s="5" t="str">
        <x:v>1-己醇</x:v>
      </x:c>
      <x:c r="J304" s="5" t="str">
        <x:v>1-辛醇</x:v>
      </x:c>
      <x:c r="K304" s="5" t="str">
        <x:v>M</x:v>
      </x:c>
      <x:c r="L304" s="5" t="str">
        <x:v>H</x:v>
      </x:c>
      <x:c r="M304" s="5" t="str">
        <x:v>H</x:v>
      </x:c>
      <x:c r="N304" s="5" t="str">
        <x:v>M</x:v>
      </x:c>
      <x:c r="O304" s="6" t="n">
        <x:f>'浓度水平'!G6</x:f>
        <x:v>3158</x:v>
      </x:c>
      <x:c r="P304" s="6" t="n">
        <x:f>'浓度水平'!H10</x:f>
        <x:v>279260</x:v>
      </x:c>
      <x:c r="Q304" s="6" t="n">
        <x:f>'浓度水平'!H26</x:f>
        <x:v>1869000</x:v>
      </x:c>
      <x:c r="R304" s="6" t="n">
        <x:f>'浓度水平'!G27</x:f>
        <x:v>1232.25</x:v>
      </x:c>
      <x:c r="S304" s="6" t="n">
        <x:f>O304/'浓度水平'!E6</x:f>
        <x:v>0.0197375</x:v>
      </x:c>
      <x:c r="T304" s="6" t="n">
        <x:f>P304/'浓度水平'!E10</x:f>
        <x:v>9.867844522968198</x:v>
      </x:c>
      <x:c r="U304" s="6" t="n">
        <x:f>Q304/'浓度水平'!E26</x:f>
        <x:v>348.0446927374302</x:v>
      </x:c>
      <x:c r="V304" s="6" t="n">
        <x:f>R304/'浓度水平'!E27</x:f>
        <x:v>1.1202272727272726</x:v>
      </x:c>
      <x:c r="W304" s="6" t="n">
        <x:f>O304*'固定基底'!$B$4/1000</x:f>
        <x:v>63.16</x:v>
      </x:c>
      <x:c r="X304" s="6" t="n">
        <x:f>P304*'固定基底'!$B$4/1000</x:f>
        <x:v>5585.2</x:v>
      </x:c>
      <x:c r="Y304" s="6" t="n">
        <x:f>Q304*'固定基底'!$B$4/1000</x:f>
        <x:v>37380</x:v>
      </x:c>
      <x:c r="Z304" s="6" t="n">
        <x:f>R304*'固定基底'!$B$4/1000</x:f>
        <x:v>24.645</x:v>
      </x:c>
      <x:c r="AA304" s="2" t="n">
        <x:f>'固定基底'!$C$7</x:f>
        <x:v>92796.92267241378</x:v>
      </x:c>
      <x:c r="AB304" s="2" t="n">
        <x:f>'固定基底'!$C$8</x:f>
        <x:v>104175.5097553192</x:v>
      </x:c>
      <x:c r="AC304" s="2" t="n">
        <x:f>'固定基底'!$E$7</x:f>
        <x:v>1855.9384534482756</x:v>
      </x:c>
      <x:c r="AD304" s="2" t="n">
        <x:f>'固定基底'!$E$8</x:f>
        <x:v>2083.510195106384</x:v>
      </x:c>
    </x:row>
    <x:row r="305" ht="25" customHeight="1">
      <x:c r="A305" s="5" t="str">
        <x:v>G12-08</x:v>
      </x:c>
      <x:c r="B305" s="5" t="str">
        <x:v>G12</x:v>
      </x:c>
      <x:c r="C305" s="5" t="str">
        <x:v>2^4全因子</x:v>
      </x:c>
      <x:c r="D305" s="5" t="str">
        <x:v>拟合</x:v>
      </x:c>
      <x:c r="E305" s="5" t="str">
        <x:v>全因子</x:v>
      </x:c>
      <x:c r="F305" s="5" t="str"/>
      <x:c r="G305" s="5" t="str">
        <x:v>乙酸</x:v>
      </x:c>
      <x:c r="H305" s="5" t="str">
        <x:v>异丁醇</x:v>
      </x:c>
      <x:c r="I305" s="5" t="str">
        <x:v>1-己醇</x:v>
      </x:c>
      <x:c r="J305" s="5" t="str">
        <x:v>1-辛醇</x:v>
      </x:c>
      <x:c r="K305" s="5" t="str">
        <x:v>M</x:v>
      </x:c>
      <x:c r="L305" s="5" t="str">
        <x:v>H</x:v>
      </x:c>
      <x:c r="M305" s="5" t="str">
        <x:v>H</x:v>
      </x:c>
      <x:c r="N305" s="5" t="str">
        <x:v>H</x:v>
      </x:c>
      <x:c r="O305" s="6" t="n">
        <x:f>'浓度水平'!G6</x:f>
        <x:v>3158</x:v>
      </x:c>
      <x:c r="P305" s="6" t="n">
        <x:f>'浓度水平'!H10</x:f>
        <x:v>279260</x:v>
      </x:c>
      <x:c r="Q305" s="6" t="n">
        <x:f>'浓度水平'!H26</x:f>
        <x:v>1869000</x:v>
      </x:c>
      <x:c r="R305" s="6" t="n">
        <x:f>'浓度水平'!H27</x:f>
        <x:v>25642.45</x:v>
      </x:c>
      <x:c r="S305" s="6" t="n">
        <x:f>O305/'浓度水平'!E6</x:f>
        <x:v>0.0197375</x:v>
      </x:c>
      <x:c r="T305" s="6" t="n">
        <x:f>P305/'浓度水平'!E10</x:f>
        <x:v>9.867844522968198</x:v>
      </x:c>
      <x:c r="U305" s="6" t="n">
        <x:f>Q305/'浓度水平'!E26</x:f>
        <x:v>348.0446927374302</x:v>
      </x:c>
      <x:c r="V305" s="6" t="n">
        <x:f>R305/'浓度水平'!E27</x:f>
        <x:v>23.311318181818184</x:v>
      </x:c>
      <x:c r="W305" s="6" t="n">
        <x:f>O305*'固定基底'!$B$4/1000</x:f>
        <x:v>63.16</x:v>
      </x:c>
      <x:c r="X305" s="6" t="n">
        <x:f>P305*'固定基底'!$B$4/1000</x:f>
        <x:v>5585.2</x:v>
      </x:c>
      <x:c r="Y305" s="6" t="n">
        <x:f>Q305*'固定基底'!$B$4/1000</x:f>
        <x:v>37380</x:v>
      </x:c>
      <x:c r="Z305" s="6" t="n">
        <x:f>R305*'固定基底'!$B$4/1000</x:f>
        <x:v>512.849</x:v>
      </x:c>
      <x:c r="AA305" s="2" t="n">
        <x:f>'固定基底'!$C$7</x:f>
        <x:v>92796.92267241378</x:v>
      </x:c>
      <x:c r="AB305" s="2" t="n">
        <x:f>'固定基底'!$C$8</x:f>
        <x:v>104175.5097553192</x:v>
      </x:c>
      <x:c r="AC305" s="2" t="n">
        <x:f>'固定基底'!$E$7</x:f>
        <x:v>1855.9384534482756</x:v>
      </x:c>
      <x:c r="AD305" s="2" t="n">
        <x:f>'固定基底'!$E$8</x:f>
        <x:v>2083.510195106384</x:v>
      </x:c>
    </x:row>
    <x:row r="306" ht="25" customHeight="1">
      <x:c r="A306" s="5" t="str">
        <x:v>G12-09</x:v>
      </x:c>
      <x:c r="B306" s="5" t="str">
        <x:v>G12</x:v>
      </x:c>
      <x:c r="C306" s="5" t="str">
        <x:v>2^4全因子</x:v>
      </x:c>
      <x:c r="D306" s="5" t="str">
        <x:v>拟合</x:v>
      </x:c>
      <x:c r="E306" s="5" t="str">
        <x:v>全因子</x:v>
      </x:c>
      <x:c r="F306" s="5" t="str"/>
      <x:c r="G306" s="5" t="str">
        <x:v>乙酸</x:v>
      </x:c>
      <x:c r="H306" s="5" t="str">
        <x:v>异丁醇</x:v>
      </x:c>
      <x:c r="I306" s="5" t="str">
        <x:v>1-己醇</x:v>
      </x:c>
      <x:c r="J306" s="5" t="str">
        <x:v>1-辛醇</x:v>
      </x:c>
      <x:c r="K306" s="5" t="str">
        <x:v>H</x:v>
      </x:c>
      <x:c r="L306" s="5" t="str">
        <x:v>M</x:v>
      </x:c>
      <x:c r="M306" s="5" t="str">
        <x:v>M</x:v>
      </x:c>
      <x:c r="N306" s="5" t="str">
        <x:v>M</x:v>
      </x:c>
      <x:c r="O306" s="6" t="n">
        <x:f>'浓度水平'!H6</x:f>
        <x:v>1800500</x:v>
      </x:c>
      <x:c r="P306" s="6" t="n">
        <x:f>'浓度水平'!G10</x:f>
        <x:v>3650</x:v>
      </x:c>
      <x:c r="Q306" s="6" t="n">
        <x:f>'浓度水平'!G26</x:f>
        <x:v>3900</x:v>
      </x:c>
      <x:c r="R306" s="6" t="n">
        <x:f>'浓度水平'!G27</x:f>
        <x:v>1232.25</x:v>
      </x:c>
      <x:c r="S306" s="6" t="n">
        <x:f>O306/'浓度水平'!E6</x:f>
        <x:v>11.253125</x:v>
      </x:c>
      <x:c r="T306" s="6" t="n">
        <x:f>P306/'浓度水平'!E10</x:f>
        <x:v>0.12897526501766785</x:v>
      </x:c>
      <x:c r="U306" s="6" t="n">
        <x:f>Q306/'浓度水平'!E26</x:f>
        <x:v>0.7262569832402235</x:v>
      </x:c>
      <x:c r="V306" s="6" t="n">
        <x:f>R306/'浓度水平'!E27</x:f>
        <x:v>1.1202272727272726</x:v>
      </x:c>
      <x:c r="W306" s="6" t="n">
        <x:f>O306*'固定基底'!$B$4/1000</x:f>
        <x:v>36010</x:v>
      </x:c>
      <x:c r="X306" s="6" t="n">
        <x:f>P306*'固定基底'!$B$4/1000</x:f>
        <x:v>73</x:v>
      </x:c>
      <x:c r="Y306" s="6" t="n">
        <x:f>Q306*'固定基底'!$B$4/1000</x:f>
        <x:v>78</x:v>
      </x:c>
      <x:c r="Z306" s="6" t="n">
        <x:f>R306*'固定基底'!$B$4/1000</x:f>
        <x:v>24.645</x:v>
      </x:c>
      <x:c r="AA306" s="2" t="n">
        <x:f>'固定基底'!$C$7</x:f>
        <x:v>92796.92267241378</x:v>
      </x:c>
      <x:c r="AB306" s="2" t="n">
        <x:f>'固定基底'!$C$8</x:f>
        <x:v>104175.5097553192</x:v>
      </x:c>
      <x:c r="AC306" s="2" t="n">
        <x:f>'固定基底'!$E$7</x:f>
        <x:v>1855.9384534482756</x:v>
      </x:c>
      <x:c r="AD306" s="2" t="n">
        <x:f>'固定基底'!$E$8</x:f>
        <x:v>2083.510195106384</x:v>
      </x:c>
    </x:row>
    <x:row r="307" ht="25" customHeight="1">
      <x:c r="A307" s="5" t="str">
        <x:v>G12-10</x:v>
      </x:c>
      <x:c r="B307" s="5" t="str">
        <x:v>G12</x:v>
      </x:c>
      <x:c r="C307" s="5" t="str">
        <x:v>2^4全因子</x:v>
      </x:c>
      <x:c r="D307" s="5" t="str">
        <x:v>拟合</x:v>
      </x:c>
      <x:c r="E307" s="5" t="str">
        <x:v>全因子</x:v>
      </x:c>
      <x:c r="F307" s="5" t="str"/>
      <x:c r="G307" s="5" t="str">
        <x:v>乙酸</x:v>
      </x:c>
      <x:c r="H307" s="5" t="str">
        <x:v>异丁醇</x:v>
      </x:c>
      <x:c r="I307" s="5" t="str">
        <x:v>1-己醇</x:v>
      </x:c>
      <x:c r="J307" s="5" t="str">
        <x:v>1-辛醇</x:v>
      </x:c>
      <x:c r="K307" s="5" t="str">
        <x:v>H</x:v>
      </x:c>
      <x:c r="L307" s="5" t="str">
        <x:v>M</x:v>
      </x:c>
      <x:c r="M307" s="5" t="str">
        <x:v>M</x:v>
      </x:c>
      <x:c r="N307" s="5" t="str">
        <x:v>H</x:v>
      </x:c>
      <x:c r="O307" s="6" t="n">
        <x:f>'浓度水平'!H6</x:f>
        <x:v>1800500</x:v>
      </x:c>
      <x:c r="P307" s="6" t="n">
        <x:f>'浓度水平'!G10</x:f>
        <x:v>3650</x:v>
      </x:c>
      <x:c r="Q307" s="6" t="n">
        <x:f>'浓度水平'!G26</x:f>
        <x:v>3900</x:v>
      </x:c>
      <x:c r="R307" s="6" t="n">
        <x:f>'浓度水平'!H27</x:f>
        <x:v>25642.45</x:v>
      </x:c>
      <x:c r="S307" s="6" t="n">
        <x:f>O307/'浓度水平'!E6</x:f>
        <x:v>11.253125</x:v>
      </x:c>
      <x:c r="T307" s="6" t="n">
        <x:f>P307/'浓度水平'!E10</x:f>
        <x:v>0.12897526501766785</x:v>
      </x:c>
      <x:c r="U307" s="6" t="n">
        <x:f>Q307/'浓度水平'!E26</x:f>
        <x:v>0.7262569832402235</x:v>
      </x:c>
      <x:c r="V307" s="6" t="n">
        <x:f>R307/'浓度水平'!E27</x:f>
        <x:v>23.311318181818184</x:v>
      </x:c>
      <x:c r="W307" s="6" t="n">
        <x:f>O307*'固定基底'!$B$4/1000</x:f>
        <x:v>36010</x:v>
      </x:c>
      <x:c r="X307" s="6" t="n">
        <x:f>P307*'固定基底'!$B$4/1000</x:f>
        <x:v>73</x:v>
      </x:c>
      <x:c r="Y307" s="6" t="n">
        <x:f>Q307*'固定基底'!$B$4/1000</x:f>
        <x:v>78</x:v>
      </x:c>
      <x:c r="Z307" s="6" t="n">
        <x:f>R307*'固定基底'!$B$4/1000</x:f>
        <x:v>512.849</x:v>
      </x:c>
      <x:c r="AA307" s="2" t="n">
        <x:f>'固定基底'!$C$7</x:f>
        <x:v>92796.92267241378</x:v>
      </x:c>
      <x:c r="AB307" s="2" t="n">
        <x:f>'固定基底'!$C$8</x:f>
        <x:v>104175.5097553192</x:v>
      </x:c>
      <x:c r="AC307" s="2" t="n">
        <x:f>'固定基底'!$E$7</x:f>
        <x:v>1855.9384534482756</x:v>
      </x:c>
      <x:c r="AD307" s="2" t="n">
        <x:f>'固定基底'!$E$8</x:f>
        <x:v>2083.510195106384</x:v>
      </x:c>
    </x:row>
    <x:row r="308" ht="25" customHeight="1">
      <x:c r="A308" s="5" t="str">
        <x:v>G12-11</x:v>
      </x:c>
      <x:c r="B308" s="5" t="str">
        <x:v>G12</x:v>
      </x:c>
      <x:c r="C308" s="5" t="str">
        <x:v>2^4全因子</x:v>
      </x:c>
      <x:c r="D308" s="5" t="str">
        <x:v>拟合</x:v>
      </x:c>
      <x:c r="E308" s="5" t="str">
        <x:v>全因子</x:v>
      </x:c>
      <x:c r="F308" s="5" t="str"/>
      <x:c r="G308" s="5" t="str">
        <x:v>乙酸</x:v>
      </x:c>
      <x:c r="H308" s="5" t="str">
        <x:v>异丁醇</x:v>
      </x:c>
      <x:c r="I308" s="5" t="str">
        <x:v>1-己醇</x:v>
      </x:c>
      <x:c r="J308" s="5" t="str">
        <x:v>1-辛醇</x:v>
      </x:c>
      <x:c r="K308" s="5" t="str">
        <x:v>H</x:v>
      </x:c>
      <x:c r="L308" s="5" t="str">
        <x:v>M</x:v>
      </x:c>
      <x:c r="M308" s="5" t="str">
        <x:v>H</x:v>
      </x:c>
      <x:c r="N308" s="5" t="str">
        <x:v>M</x:v>
      </x:c>
      <x:c r="O308" s="6" t="n">
        <x:f>'浓度水平'!H6</x:f>
        <x:v>1800500</x:v>
      </x:c>
      <x:c r="P308" s="6" t="n">
        <x:f>'浓度水平'!G10</x:f>
        <x:v>3650</x:v>
      </x:c>
      <x:c r="Q308" s="6" t="n">
        <x:f>'浓度水平'!H26</x:f>
        <x:v>1869000</x:v>
      </x:c>
      <x:c r="R308" s="6" t="n">
        <x:f>'浓度水平'!G27</x:f>
        <x:v>1232.25</x:v>
      </x:c>
      <x:c r="S308" s="6" t="n">
        <x:f>O308/'浓度水平'!E6</x:f>
        <x:v>11.253125</x:v>
      </x:c>
      <x:c r="T308" s="6" t="n">
        <x:f>P308/'浓度水平'!E10</x:f>
        <x:v>0.12897526501766785</x:v>
      </x:c>
      <x:c r="U308" s="6" t="n">
        <x:f>Q308/'浓度水平'!E26</x:f>
        <x:v>348.0446927374302</x:v>
      </x:c>
      <x:c r="V308" s="6" t="n">
        <x:f>R308/'浓度水平'!E27</x:f>
        <x:v>1.1202272727272726</x:v>
      </x:c>
      <x:c r="W308" s="6" t="n">
        <x:f>O308*'固定基底'!$B$4/1000</x:f>
        <x:v>36010</x:v>
      </x:c>
      <x:c r="X308" s="6" t="n">
        <x:f>P308*'固定基底'!$B$4/1000</x:f>
        <x:v>73</x:v>
      </x:c>
      <x:c r="Y308" s="6" t="n">
        <x:f>Q308*'固定基底'!$B$4/1000</x:f>
        <x:v>37380</x:v>
      </x:c>
      <x:c r="Z308" s="6" t="n">
        <x:f>R308*'固定基底'!$B$4/1000</x:f>
        <x:v>24.645</x:v>
      </x:c>
      <x:c r="AA308" s="2" t="n">
        <x:f>'固定基底'!$C$7</x:f>
        <x:v>92796.92267241378</x:v>
      </x:c>
      <x:c r="AB308" s="2" t="n">
        <x:f>'固定基底'!$C$8</x:f>
        <x:v>104175.5097553192</x:v>
      </x:c>
      <x:c r="AC308" s="2" t="n">
        <x:f>'固定基底'!$E$7</x:f>
        <x:v>1855.9384534482756</x:v>
      </x:c>
      <x:c r="AD308" s="2" t="n">
        <x:f>'固定基底'!$E$8</x:f>
        <x:v>2083.510195106384</x:v>
      </x:c>
    </x:row>
    <x:row r="309" ht="25" customHeight="1">
      <x:c r="A309" s="5" t="str">
        <x:v>G12-12</x:v>
      </x:c>
      <x:c r="B309" s="5" t="str">
        <x:v>G12</x:v>
      </x:c>
      <x:c r="C309" s="5" t="str">
        <x:v>2^4全因子</x:v>
      </x:c>
      <x:c r="D309" s="5" t="str">
        <x:v>拟合</x:v>
      </x:c>
      <x:c r="E309" s="5" t="str">
        <x:v>全因子</x:v>
      </x:c>
      <x:c r="F309" s="5" t="str"/>
      <x:c r="G309" s="5" t="str">
        <x:v>乙酸</x:v>
      </x:c>
      <x:c r="H309" s="5" t="str">
        <x:v>异丁醇</x:v>
      </x:c>
      <x:c r="I309" s="5" t="str">
        <x:v>1-己醇</x:v>
      </x:c>
      <x:c r="J309" s="5" t="str">
        <x:v>1-辛醇</x:v>
      </x:c>
      <x:c r="K309" s="5" t="str">
        <x:v>H</x:v>
      </x:c>
      <x:c r="L309" s="5" t="str">
        <x:v>M</x:v>
      </x:c>
      <x:c r="M309" s="5" t="str">
        <x:v>H</x:v>
      </x:c>
      <x:c r="N309" s="5" t="str">
        <x:v>H</x:v>
      </x:c>
      <x:c r="O309" s="6" t="n">
        <x:f>'浓度水平'!H6</x:f>
        <x:v>1800500</x:v>
      </x:c>
      <x:c r="P309" s="6" t="n">
        <x:f>'浓度水平'!G10</x:f>
        <x:v>3650</x:v>
      </x:c>
      <x:c r="Q309" s="6" t="n">
        <x:f>'浓度水平'!H26</x:f>
        <x:v>1869000</x:v>
      </x:c>
      <x:c r="R309" s="6" t="n">
        <x:f>'浓度水平'!H27</x:f>
        <x:v>25642.45</x:v>
      </x:c>
      <x:c r="S309" s="6" t="n">
        <x:f>O309/'浓度水平'!E6</x:f>
        <x:v>11.253125</x:v>
      </x:c>
      <x:c r="T309" s="6" t="n">
        <x:f>P309/'浓度水平'!E10</x:f>
        <x:v>0.12897526501766785</x:v>
      </x:c>
      <x:c r="U309" s="6" t="n">
        <x:f>Q309/'浓度水平'!E26</x:f>
        <x:v>348.0446927374302</x:v>
      </x:c>
      <x:c r="V309" s="6" t="n">
        <x:f>R309/'浓度水平'!E27</x:f>
        <x:v>23.311318181818184</x:v>
      </x:c>
      <x:c r="W309" s="6" t="n">
        <x:f>O309*'固定基底'!$B$4/1000</x:f>
        <x:v>36010</x:v>
      </x:c>
      <x:c r="X309" s="6" t="n">
        <x:f>P309*'固定基底'!$B$4/1000</x:f>
        <x:v>73</x:v>
      </x:c>
      <x:c r="Y309" s="6" t="n">
        <x:f>Q309*'固定基底'!$B$4/1000</x:f>
        <x:v>37380</x:v>
      </x:c>
      <x:c r="Z309" s="6" t="n">
        <x:f>R309*'固定基底'!$B$4/1000</x:f>
        <x:v>512.849</x:v>
      </x:c>
      <x:c r="AA309" s="2" t="n">
        <x:f>'固定基底'!$C$7</x:f>
        <x:v>92796.92267241378</x:v>
      </x:c>
      <x:c r="AB309" s="2" t="n">
        <x:f>'固定基底'!$C$8</x:f>
        <x:v>104175.5097553192</x:v>
      </x:c>
      <x:c r="AC309" s="2" t="n">
        <x:f>'固定基底'!$E$7</x:f>
        <x:v>1855.9384534482756</x:v>
      </x:c>
      <x:c r="AD309" s="2" t="n">
        <x:f>'固定基底'!$E$8</x:f>
        <x:v>2083.510195106384</x:v>
      </x:c>
    </x:row>
    <x:row r="310" ht="25" customHeight="1">
      <x:c r="A310" s="5" t="str">
        <x:v>G12-13</x:v>
      </x:c>
      <x:c r="B310" s="5" t="str">
        <x:v>G12</x:v>
      </x:c>
      <x:c r="C310" s="5" t="str">
        <x:v>2^4全因子</x:v>
      </x:c>
      <x:c r="D310" s="5" t="str">
        <x:v>拟合</x:v>
      </x:c>
      <x:c r="E310" s="5" t="str">
        <x:v>全因子</x:v>
      </x:c>
      <x:c r="F310" s="5" t="str"/>
      <x:c r="G310" s="5" t="str">
        <x:v>乙酸</x:v>
      </x:c>
      <x:c r="H310" s="5" t="str">
        <x:v>异丁醇</x:v>
      </x:c>
      <x:c r="I310" s="5" t="str">
        <x:v>1-己醇</x:v>
      </x:c>
      <x:c r="J310" s="5" t="str">
        <x:v>1-辛醇</x:v>
      </x:c>
      <x:c r="K310" s="5" t="str">
        <x:v>H</x:v>
      </x:c>
      <x:c r="L310" s="5" t="str">
        <x:v>H</x:v>
      </x:c>
      <x:c r="M310" s="5" t="str">
        <x:v>M</x:v>
      </x:c>
      <x:c r="N310" s="5" t="str">
        <x:v>M</x:v>
      </x:c>
      <x:c r="O310" s="6" t="n">
        <x:f>'浓度水平'!H6</x:f>
        <x:v>1800500</x:v>
      </x:c>
      <x:c r="P310" s="6" t="n">
        <x:f>'浓度水平'!H10</x:f>
        <x:v>279260</x:v>
      </x:c>
      <x:c r="Q310" s="6" t="n">
        <x:f>'浓度水平'!G26</x:f>
        <x:v>3900</x:v>
      </x:c>
      <x:c r="R310" s="6" t="n">
        <x:f>'浓度水平'!G27</x:f>
        <x:v>1232.25</x:v>
      </x:c>
      <x:c r="S310" s="6" t="n">
        <x:f>O310/'浓度水平'!E6</x:f>
        <x:v>11.253125</x:v>
      </x:c>
      <x:c r="T310" s="6" t="n">
        <x:f>P310/'浓度水平'!E10</x:f>
        <x:v>9.867844522968198</x:v>
      </x:c>
      <x:c r="U310" s="6" t="n">
        <x:f>Q310/'浓度水平'!E26</x:f>
        <x:v>0.7262569832402235</x:v>
      </x:c>
      <x:c r="V310" s="6" t="n">
        <x:f>R310/'浓度水平'!E27</x:f>
        <x:v>1.1202272727272726</x:v>
      </x:c>
      <x:c r="W310" s="6" t="n">
        <x:f>O310*'固定基底'!$B$4/1000</x:f>
        <x:v>36010</x:v>
      </x:c>
      <x:c r="X310" s="6" t="n">
        <x:f>P310*'固定基底'!$B$4/1000</x:f>
        <x:v>5585.2</x:v>
      </x:c>
      <x:c r="Y310" s="6" t="n">
        <x:f>Q310*'固定基底'!$B$4/1000</x:f>
        <x:v>78</x:v>
      </x:c>
      <x:c r="Z310" s="6" t="n">
        <x:f>R310*'固定基底'!$B$4/1000</x:f>
        <x:v>24.645</x:v>
      </x:c>
      <x:c r="AA310" s="2" t="n">
        <x:f>'固定基底'!$C$7</x:f>
        <x:v>92796.92267241378</x:v>
      </x:c>
      <x:c r="AB310" s="2" t="n">
        <x:f>'固定基底'!$C$8</x:f>
        <x:v>104175.5097553192</x:v>
      </x:c>
      <x:c r="AC310" s="2" t="n">
        <x:f>'固定基底'!$E$7</x:f>
        <x:v>1855.9384534482756</x:v>
      </x:c>
      <x:c r="AD310" s="2" t="n">
        <x:f>'固定基底'!$E$8</x:f>
        <x:v>2083.510195106384</x:v>
      </x:c>
    </x:row>
    <x:row r="311" ht="25" customHeight="1">
      <x:c r="A311" s="5" t="str">
        <x:v>G12-14</x:v>
      </x:c>
      <x:c r="B311" s="5" t="str">
        <x:v>G12</x:v>
      </x:c>
      <x:c r="C311" s="5" t="str">
        <x:v>2^4全因子</x:v>
      </x:c>
      <x:c r="D311" s="5" t="str">
        <x:v>拟合</x:v>
      </x:c>
      <x:c r="E311" s="5" t="str">
        <x:v>全因子</x:v>
      </x:c>
      <x:c r="F311" s="5" t="str"/>
      <x:c r="G311" s="5" t="str">
        <x:v>乙酸</x:v>
      </x:c>
      <x:c r="H311" s="5" t="str">
        <x:v>异丁醇</x:v>
      </x:c>
      <x:c r="I311" s="5" t="str">
        <x:v>1-己醇</x:v>
      </x:c>
      <x:c r="J311" s="5" t="str">
        <x:v>1-辛醇</x:v>
      </x:c>
      <x:c r="K311" s="5" t="str">
        <x:v>H</x:v>
      </x:c>
      <x:c r="L311" s="5" t="str">
        <x:v>H</x:v>
      </x:c>
      <x:c r="M311" s="5" t="str">
        <x:v>M</x:v>
      </x:c>
      <x:c r="N311" s="5" t="str">
        <x:v>H</x:v>
      </x:c>
      <x:c r="O311" s="6" t="n">
        <x:f>'浓度水平'!H6</x:f>
        <x:v>1800500</x:v>
      </x:c>
      <x:c r="P311" s="6" t="n">
        <x:f>'浓度水平'!H10</x:f>
        <x:v>279260</x:v>
      </x:c>
      <x:c r="Q311" s="6" t="n">
        <x:f>'浓度水平'!G26</x:f>
        <x:v>3900</x:v>
      </x:c>
      <x:c r="R311" s="6" t="n">
        <x:f>'浓度水平'!H27</x:f>
        <x:v>25642.45</x:v>
      </x:c>
      <x:c r="S311" s="6" t="n">
        <x:f>O311/'浓度水平'!E6</x:f>
        <x:v>11.253125</x:v>
      </x:c>
      <x:c r="T311" s="6" t="n">
        <x:f>P311/'浓度水平'!E10</x:f>
        <x:v>9.867844522968198</x:v>
      </x:c>
      <x:c r="U311" s="6" t="n">
        <x:f>Q311/'浓度水平'!E26</x:f>
        <x:v>0.7262569832402235</x:v>
      </x:c>
      <x:c r="V311" s="6" t="n">
        <x:f>R311/'浓度水平'!E27</x:f>
        <x:v>23.311318181818184</x:v>
      </x:c>
      <x:c r="W311" s="6" t="n">
        <x:f>O311*'固定基底'!$B$4/1000</x:f>
        <x:v>36010</x:v>
      </x:c>
      <x:c r="X311" s="6" t="n">
        <x:f>P311*'固定基底'!$B$4/1000</x:f>
        <x:v>5585.2</x:v>
      </x:c>
      <x:c r="Y311" s="6" t="n">
        <x:f>Q311*'固定基底'!$B$4/1000</x:f>
        <x:v>78</x:v>
      </x:c>
      <x:c r="Z311" s="6" t="n">
        <x:f>R311*'固定基底'!$B$4/1000</x:f>
        <x:v>512.849</x:v>
      </x:c>
      <x:c r="AA311" s="2" t="n">
        <x:f>'固定基底'!$C$7</x:f>
        <x:v>92796.92267241378</x:v>
      </x:c>
      <x:c r="AB311" s="2" t="n">
        <x:f>'固定基底'!$C$8</x:f>
        <x:v>104175.5097553192</x:v>
      </x:c>
      <x:c r="AC311" s="2" t="n">
        <x:f>'固定基底'!$E$7</x:f>
        <x:v>1855.9384534482756</x:v>
      </x:c>
      <x:c r="AD311" s="2" t="n">
        <x:f>'固定基底'!$E$8</x:f>
        <x:v>2083.510195106384</x:v>
      </x:c>
    </x:row>
    <x:row r="312" ht="25" customHeight="1">
      <x:c r="A312" s="5" t="str">
        <x:v>G12-15</x:v>
      </x:c>
      <x:c r="B312" s="5" t="str">
        <x:v>G12</x:v>
      </x:c>
      <x:c r="C312" s="5" t="str">
        <x:v>2^4全因子</x:v>
      </x:c>
      <x:c r="D312" s="5" t="str">
        <x:v>拟合</x:v>
      </x:c>
      <x:c r="E312" s="5" t="str">
        <x:v>全因子</x:v>
      </x:c>
      <x:c r="F312" s="5" t="str"/>
      <x:c r="G312" s="5" t="str">
        <x:v>乙酸</x:v>
      </x:c>
      <x:c r="H312" s="5" t="str">
        <x:v>异丁醇</x:v>
      </x:c>
      <x:c r="I312" s="5" t="str">
        <x:v>1-己醇</x:v>
      </x:c>
      <x:c r="J312" s="5" t="str">
        <x:v>1-辛醇</x:v>
      </x:c>
      <x:c r="K312" s="5" t="str">
        <x:v>H</x:v>
      </x:c>
      <x:c r="L312" s="5" t="str">
        <x:v>H</x:v>
      </x:c>
      <x:c r="M312" s="5" t="str">
        <x:v>H</x:v>
      </x:c>
      <x:c r="N312" s="5" t="str">
        <x:v>M</x:v>
      </x:c>
      <x:c r="O312" s="6" t="n">
        <x:f>'浓度水平'!H6</x:f>
        <x:v>1800500</x:v>
      </x:c>
      <x:c r="P312" s="6" t="n">
        <x:f>'浓度水平'!H10</x:f>
        <x:v>279260</x:v>
      </x:c>
      <x:c r="Q312" s="6" t="n">
        <x:f>'浓度水平'!H26</x:f>
        <x:v>1869000</x:v>
      </x:c>
      <x:c r="R312" s="6" t="n">
        <x:f>'浓度水平'!G27</x:f>
        <x:v>1232.25</x:v>
      </x:c>
      <x:c r="S312" s="6" t="n">
        <x:f>O312/'浓度水平'!E6</x:f>
        <x:v>11.253125</x:v>
      </x:c>
      <x:c r="T312" s="6" t="n">
        <x:f>P312/'浓度水平'!E10</x:f>
        <x:v>9.867844522968198</x:v>
      </x:c>
      <x:c r="U312" s="6" t="n">
        <x:f>Q312/'浓度水平'!E26</x:f>
        <x:v>348.0446927374302</x:v>
      </x:c>
      <x:c r="V312" s="6" t="n">
        <x:f>R312/'浓度水平'!E27</x:f>
        <x:v>1.1202272727272726</x:v>
      </x:c>
      <x:c r="W312" s="6" t="n">
        <x:f>O312*'固定基底'!$B$4/1000</x:f>
        <x:v>36010</x:v>
      </x:c>
      <x:c r="X312" s="6" t="n">
        <x:f>P312*'固定基底'!$B$4/1000</x:f>
        <x:v>5585.2</x:v>
      </x:c>
      <x:c r="Y312" s="6" t="n">
        <x:f>Q312*'固定基底'!$B$4/1000</x:f>
        <x:v>37380</x:v>
      </x:c>
      <x:c r="Z312" s="6" t="n">
        <x:f>R312*'固定基底'!$B$4/1000</x:f>
        <x:v>24.645</x:v>
      </x:c>
      <x:c r="AA312" s="2" t="n">
        <x:f>'固定基底'!$C$7</x:f>
        <x:v>92796.92267241378</x:v>
      </x:c>
      <x:c r="AB312" s="2" t="n">
        <x:f>'固定基底'!$C$8</x:f>
        <x:v>104175.5097553192</x:v>
      </x:c>
      <x:c r="AC312" s="2" t="n">
        <x:f>'固定基底'!$E$7</x:f>
        <x:v>1855.9384534482756</x:v>
      </x:c>
      <x:c r="AD312" s="2" t="n">
        <x:f>'固定基底'!$E$8</x:f>
        <x:v>2083.510195106384</x:v>
      </x:c>
    </x:row>
    <x:row r="313" ht="25" customHeight="1">
      <x:c r="A313" s="5" t="str">
        <x:v>G12-16</x:v>
      </x:c>
      <x:c r="B313" s="5" t="str">
        <x:v>G12</x:v>
      </x:c>
      <x:c r="C313" s="5" t="str">
        <x:v>2^4全因子</x:v>
      </x:c>
      <x:c r="D313" s="5" t="str">
        <x:v>拟合</x:v>
      </x:c>
      <x:c r="E313" s="5" t="str">
        <x:v>全因子</x:v>
      </x:c>
      <x:c r="F313" s="5" t="str"/>
      <x:c r="G313" s="5" t="str">
        <x:v>乙酸</x:v>
      </x:c>
      <x:c r="H313" s="5" t="str">
        <x:v>异丁醇</x:v>
      </x:c>
      <x:c r="I313" s="5" t="str">
        <x:v>1-己醇</x:v>
      </x:c>
      <x:c r="J313" s="5" t="str">
        <x:v>1-辛醇</x:v>
      </x:c>
      <x:c r="K313" s="5" t="str">
        <x:v>H</x:v>
      </x:c>
      <x:c r="L313" s="5" t="str">
        <x:v>H</x:v>
      </x:c>
      <x:c r="M313" s="5" t="str">
        <x:v>H</x:v>
      </x:c>
      <x:c r="N313" s="5" t="str">
        <x:v>H</x:v>
      </x:c>
      <x:c r="O313" s="6" t="n">
        <x:f>'浓度水平'!H6</x:f>
        <x:v>1800500</x:v>
      </x:c>
      <x:c r="P313" s="6" t="n">
        <x:f>'浓度水平'!H10</x:f>
        <x:v>279260</x:v>
      </x:c>
      <x:c r="Q313" s="6" t="n">
        <x:f>'浓度水平'!H26</x:f>
        <x:v>1869000</x:v>
      </x:c>
      <x:c r="R313" s="6" t="n">
        <x:f>'浓度水平'!H27</x:f>
        <x:v>25642.45</x:v>
      </x:c>
      <x:c r="S313" s="6" t="n">
        <x:f>O313/'浓度水平'!E6</x:f>
        <x:v>11.253125</x:v>
      </x:c>
      <x:c r="T313" s="6" t="n">
        <x:f>P313/'浓度水平'!E10</x:f>
        <x:v>9.867844522968198</x:v>
      </x:c>
      <x:c r="U313" s="6" t="n">
        <x:f>Q313/'浓度水平'!E26</x:f>
        <x:v>348.0446927374302</x:v>
      </x:c>
      <x:c r="V313" s="6" t="n">
        <x:f>R313/'浓度水平'!E27</x:f>
        <x:v>23.311318181818184</x:v>
      </x:c>
      <x:c r="W313" s="6" t="n">
        <x:f>O313*'固定基底'!$B$4/1000</x:f>
        <x:v>36010</x:v>
      </x:c>
      <x:c r="X313" s="6" t="n">
        <x:f>P313*'固定基底'!$B$4/1000</x:f>
        <x:v>5585.2</x:v>
      </x:c>
      <x:c r="Y313" s="6" t="n">
        <x:f>Q313*'固定基底'!$B$4/1000</x:f>
        <x:v>37380</x:v>
      </x:c>
      <x:c r="Z313" s="6" t="n">
        <x:f>R313*'固定基底'!$B$4/1000</x:f>
        <x:v>512.849</x:v>
      </x:c>
      <x:c r="AA313" s="2" t="n">
        <x:f>'固定基底'!$C$7</x:f>
        <x:v>92796.92267241378</x:v>
      </x:c>
      <x:c r="AB313" s="2" t="n">
        <x:f>'固定基底'!$C$8</x:f>
        <x:v>104175.5097553192</x:v>
      </x:c>
      <x:c r="AC313" s="2" t="n">
        <x:f>'固定基底'!$E$7</x:f>
        <x:v>1855.9384534482756</x:v>
      </x:c>
      <x:c r="AD313" s="2" t="n">
        <x:f>'固定基底'!$E$8</x:f>
        <x:v>2083.510195106384</x:v>
      </x:c>
    </x:row>
    <x:row r="314" ht="25" customHeight="1">
      <x:c r="A314" s="5" t="str">
        <x:v>G12-17</x:v>
      </x:c>
      <x:c r="B314" s="5" t="str">
        <x:v>G12</x:v>
      </x:c>
      <x:c r="C314" s="5" t="str">
        <x:v>2^4全因子</x:v>
      </x:c>
      <x:c r="D314" s="5" t="str">
        <x:v>拟合</x:v>
      </x:c>
      <x:c r="E314" s="5" t="str">
        <x:v>参考配方独立重复</x:v>
      </x:c>
      <x:c r="F314" s="5" t="str">
        <x:v>G12-01</x:v>
      </x:c>
      <x:c r="G314" s="5" t="str">
        <x:v>乙酸</x:v>
      </x:c>
      <x:c r="H314" s="5" t="str">
        <x:v>异丁醇</x:v>
      </x:c>
      <x:c r="I314" s="5" t="str">
        <x:v>1-己醇</x:v>
      </x:c>
      <x:c r="J314" s="5" t="str">
        <x:v>1-辛醇</x:v>
      </x:c>
      <x:c r="K314" s="5" t="str">
        <x:v>M</x:v>
      </x:c>
      <x:c r="L314" s="5" t="str">
        <x:v>M</x:v>
      </x:c>
      <x:c r="M314" s="5" t="str">
        <x:v>M</x:v>
      </x:c>
      <x:c r="N314" s="5" t="str">
        <x:v>M</x:v>
      </x:c>
      <x:c r="O314" s="6" t="n">
        <x:f>'浓度水平'!G6</x:f>
        <x:v>3158</x:v>
      </x:c>
      <x:c r="P314" s="6" t="n">
        <x:f>'浓度水平'!G10</x:f>
        <x:v>3650</x:v>
      </x:c>
      <x:c r="Q314" s="6" t="n">
        <x:f>'浓度水平'!G26</x:f>
        <x:v>3900</x:v>
      </x:c>
      <x:c r="R314" s="6" t="n">
        <x:f>'浓度水平'!G27</x:f>
        <x:v>1232.25</x:v>
      </x:c>
      <x:c r="S314" s="6" t="n">
        <x:f>O314/'浓度水平'!E6</x:f>
        <x:v>0.0197375</x:v>
      </x:c>
      <x:c r="T314" s="6" t="n">
        <x:f>P314/'浓度水平'!E10</x:f>
        <x:v>0.12897526501766785</x:v>
      </x:c>
      <x:c r="U314" s="6" t="n">
        <x:f>Q314/'浓度水平'!E26</x:f>
        <x:v>0.7262569832402235</x:v>
      </x:c>
      <x:c r="V314" s="6" t="n">
        <x:f>R314/'浓度水平'!E27</x:f>
        <x:v>1.1202272727272726</x:v>
      </x:c>
      <x:c r="W314" s="6" t="n">
        <x:f>O314*'固定基底'!$B$4/1000</x:f>
        <x:v>63.16</x:v>
      </x:c>
      <x:c r="X314" s="6" t="n">
        <x:f>P314*'固定基底'!$B$4/1000</x:f>
        <x:v>73</x:v>
      </x:c>
      <x:c r="Y314" s="6" t="n">
        <x:f>Q314*'固定基底'!$B$4/1000</x:f>
        <x:v>78</x:v>
      </x:c>
      <x:c r="Z314" s="6" t="n">
        <x:f>R314*'固定基底'!$B$4/1000</x:f>
        <x:v>24.645</x:v>
      </x:c>
      <x:c r="AA314" s="2" t="n">
        <x:f>'固定基底'!$C$7</x:f>
        <x:v>92796.92267241378</x:v>
      </x:c>
      <x:c r="AB314" s="2" t="n">
        <x:f>'固定基底'!$C$8</x:f>
        <x:v>104175.5097553192</x:v>
      </x:c>
      <x:c r="AC314" s="2" t="n">
        <x:f>'固定基底'!$E$7</x:f>
        <x:v>1855.9384534482756</x:v>
      </x:c>
      <x:c r="AD314" s="2" t="n">
        <x:f>'固定基底'!$E$8</x:f>
        <x:v>2083.510195106384</x:v>
      </x:c>
    </x:row>
    <x:row r="315" ht="25" customHeight="1">
      <x:c r="A315" s="5" t="str">
        <x:v>G12-18</x:v>
      </x:c>
      <x:c r="B315" s="5" t="str">
        <x:v>G12</x:v>
      </x:c>
      <x:c r="C315" s="5" t="str">
        <x:v>2^4全因子</x:v>
      </x:c>
      <x:c r="D315" s="5" t="str">
        <x:v>拟合</x:v>
      </x:c>
      <x:c r="E315" s="5" t="str">
        <x:v>参考配方独立重复</x:v>
      </x:c>
      <x:c r="F315" s="5" t="str">
        <x:v>G12-16</x:v>
      </x:c>
      <x:c r="G315" s="5" t="str">
        <x:v>乙酸</x:v>
      </x:c>
      <x:c r="H315" s="5" t="str">
        <x:v>异丁醇</x:v>
      </x:c>
      <x:c r="I315" s="5" t="str">
        <x:v>1-己醇</x:v>
      </x:c>
      <x:c r="J315" s="5" t="str">
        <x:v>1-辛醇</x:v>
      </x:c>
      <x:c r="K315" s="5" t="str">
        <x:v>H</x:v>
      </x:c>
      <x:c r="L315" s="5" t="str">
        <x:v>H</x:v>
      </x:c>
      <x:c r="M315" s="5" t="str">
        <x:v>H</x:v>
      </x:c>
      <x:c r="N315" s="5" t="str">
        <x:v>H</x:v>
      </x:c>
      <x:c r="O315" s="6" t="n">
        <x:f>'浓度水平'!H6</x:f>
        <x:v>1800500</x:v>
      </x:c>
      <x:c r="P315" s="6" t="n">
        <x:f>'浓度水平'!H10</x:f>
        <x:v>279260</x:v>
      </x:c>
      <x:c r="Q315" s="6" t="n">
        <x:f>'浓度水平'!H26</x:f>
        <x:v>1869000</x:v>
      </x:c>
      <x:c r="R315" s="6" t="n">
        <x:f>'浓度水平'!H27</x:f>
        <x:v>25642.45</x:v>
      </x:c>
      <x:c r="S315" s="6" t="n">
        <x:f>O315/'浓度水平'!E6</x:f>
        <x:v>11.253125</x:v>
      </x:c>
      <x:c r="T315" s="6" t="n">
        <x:f>P315/'浓度水平'!E10</x:f>
        <x:v>9.867844522968198</x:v>
      </x:c>
      <x:c r="U315" s="6" t="n">
        <x:f>Q315/'浓度水平'!E26</x:f>
        <x:v>348.0446927374302</x:v>
      </x:c>
      <x:c r="V315" s="6" t="n">
        <x:f>R315/'浓度水平'!E27</x:f>
        <x:v>23.311318181818184</x:v>
      </x:c>
      <x:c r="W315" s="6" t="n">
        <x:f>O315*'固定基底'!$B$4/1000</x:f>
        <x:v>36010</x:v>
      </x:c>
      <x:c r="X315" s="6" t="n">
        <x:f>P315*'固定基底'!$B$4/1000</x:f>
        <x:v>5585.2</x:v>
      </x:c>
      <x:c r="Y315" s="6" t="n">
        <x:f>Q315*'固定基底'!$B$4/1000</x:f>
        <x:v>37380</x:v>
      </x:c>
      <x:c r="Z315" s="6" t="n">
        <x:f>R315*'固定基底'!$B$4/1000</x:f>
        <x:v>512.849</x:v>
      </x:c>
      <x:c r="AA315" s="2" t="n">
        <x:f>'固定基底'!$C$7</x:f>
        <x:v>92796.92267241378</x:v>
      </x:c>
      <x:c r="AB315" s="2" t="n">
        <x:f>'固定基底'!$C$8</x:f>
        <x:v>104175.5097553192</x:v>
      </x:c>
      <x:c r="AC315" s="2" t="n">
        <x:f>'固定基底'!$E$7</x:f>
        <x:v>1855.9384534482756</x:v>
      </x:c>
      <x:c r="AD315" s="2" t="n">
        <x:f>'固定基底'!$E$8</x:f>
        <x:v>2083.510195106384</x:v>
      </x:c>
    </x:row>
    <x:row r="316" ht="25" customHeight="1">
      <x:c r="A316" s="5" t="str">
        <x:v>G13-01</x:v>
      </x:c>
      <x:c r="B316" s="5" t="str">
        <x:v>G13</x:v>
      </x:c>
      <x:c r="C316" s="5" t="str">
        <x:v>2^4全因子</x:v>
      </x:c>
      <x:c r="D316" s="5" t="str">
        <x:v>拟合</x:v>
      </x:c>
      <x:c r="E316" s="5" t="str">
        <x:v>全因子</x:v>
      </x:c>
      <x:c r="F316" s="5" t="str"/>
      <x:c r="G316" s="5" t="str">
        <x:v>乙酸乙酯</x:v>
      </x:c>
      <x:c r="H316" s="5" t="str">
        <x:v>乙酸苯乙酯</x:v>
      </x:c>
      <x:c r="I316" s="5" t="str">
        <x:v>4-乙基苯酚</x:v>
      </x:c>
      <x:c r="J316" s="5" t="str">
        <x:v>乙酸丁酯</x:v>
      </x:c>
      <x:c r="K316" s="5" t="str">
        <x:v>M</x:v>
      </x:c>
      <x:c r="L316" s="5" t="str">
        <x:v>M</x:v>
      </x:c>
      <x:c r="M316" s="5" t="str">
        <x:v>M</x:v>
      </x:c>
      <x:c r="N316" s="5" t="str">
        <x:v>M</x:v>
      </x:c>
      <x:c r="O316" s="6" t="n">
        <x:f>'浓度水平'!G35</x:f>
        <x:v>11154</x:v>
      </x:c>
      <x:c r="P316" s="6" t="n">
        <x:f>'浓度水平'!G15</x:f>
        <x:v>290</x:v>
      </x:c>
      <x:c r="Q316" s="6" t="n">
        <x:f>'浓度水平'!G29</x:f>
        <x:v>73.175</x:v>
      </x:c>
      <x:c r="R316" s="6" t="n">
        <x:f>'浓度水平'!G32</x:f>
        <x:v>3147.945</x:v>
      </x:c>
      <x:c r="S316" s="6" t="n">
        <x:f>O316/'浓度水平'!E35</x:f>
        <x:v>0.3426517571884984</x:v>
      </x:c>
      <x:c r="T316" s="6" t="n">
        <x:f>P316/'浓度水平'!E15</x:f>
        <x:v>0.31903190319031904</x:v>
      </x:c>
      <x:c r="U316" s="6" t="n">
        <x:f>Q316/'浓度水平'!E29</x:f>
        <x:v>0.5949186991869918</x:v>
      </x:c>
      <x:c r="V316" s="6" t="n">
        <x:f>R316/'浓度水平'!E32</x:f>
        <x:v>1.7488583333333334</x:v>
      </x:c>
      <x:c r="W316" s="6" t="n">
        <x:f>O316*'固定基底'!$B$4/1000</x:f>
        <x:v>223.08</x:v>
      </x:c>
      <x:c r="X316" s="6" t="n">
        <x:f>P316*'固定基底'!$B$4/1000</x:f>
        <x:v>5.8</x:v>
      </x:c>
      <x:c r="Y316" s="6" t="n">
        <x:f>Q316*'固定基底'!$B$4/1000</x:f>
        <x:v>1.4635</x:v>
      </x:c>
      <x:c r="Z316" s="6" t="n">
        <x:f>R316*'固定基底'!$B$4/1000</x:f>
        <x:v>62.9589</x:v>
      </x:c>
      <x:c r="AA316" s="2" t="n">
        <x:f>'固定基底'!$C$7</x:f>
        <x:v>92796.92267241378</x:v>
      </x:c>
      <x:c r="AB316" s="2" t="n">
        <x:f>'固定基底'!$C$8</x:f>
        <x:v>104175.5097553192</x:v>
      </x:c>
      <x:c r="AC316" s="2" t="n">
        <x:f>'固定基底'!$E$7</x:f>
        <x:v>1855.9384534482756</x:v>
      </x:c>
      <x:c r="AD316" s="2" t="n">
        <x:f>'固定基底'!$E$8</x:f>
        <x:v>2083.510195106384</x:v>
      </x:c>
    </x:row>
    <x:row r="317" ht="25" customHeight="1">
      <x:c r="A317" s="5" t="str">
        <x:v>G13-02</x:v>
      </x:c>
      <x:c r="B317" s="5" t="str">
        <x:v>G13</x:v>
      </x:c>
      <x:c r="C317" s="5" t="str">
        <x:v>2^4全因子</x:v>
      </x:c>
      <x:c r="D317" s="5" t="str">
        <x:v>拟合</x:v>
      </x:c>
      <x:c r="E317" s="5" t="str">
        <x:v>全因子</x:v>
      </x:c>
      <x:c r="F317" s="5" t="str"/>
      <x:c r="G317" s="5" t="str">
        <x:v>乙酸乙酯</x:v>
      </x:c>
      <x:c r="H317" s="5" t="str">
        <x:v>乙酸苯乙酯</x:v>
      </x:c>
      <x:c r="I317" s="5" t="str">
        <x:v>4-乙基苯酚</x:v>
      </x:c>
      <x:c r="J317" s="5" t="str">
        <x:v>乙酸丁酯</x:v>
      </x:c>
      <x:c r="K317" s="5" t="str">
        <x:v>M</x:v>
      </x:c>
      <x:c r="L317" s="5" t="str">
        <x:v>M</x:v>
      </x:c>
      <x:c r="M317" s="5" t="str">
        <x:v>M</x:v>
      </x:c>
      <x:c r="N317" s="5" t="str">
        <x:v>H</x:v>
      </x:c>
      <x:c r="O317" s="6" t="n">
        <x:f>'浓度水平'!G35</x:f>
        <x:v>11154</x:v>
      </x:c>
      <x:c r="P317" s="6" t="n">
        <x:f>'浓度水平'!G15</x:f>
        <x:v>290</x:v>
      </x:c>
      <x:c r="Q317" s="6" t="n">
        <x:f>'浓度水平'!G29</x:f>
        <x:v>73.175</x:v>
      </x:c>
      <x:c r="R317" s="6" t="n">
        <x:f>'浓度水平'!H32</x:f>
        <x:v>47100</x:v>
      </x:c>
      <x:c r="S317" s="6" t="n">
        <x:f>O317/'浓度水平'!E35</x:f>
        <x:v>0.3426517571884984</x:v>
      </x:c>
      <x:c r="T317" s="6" t="n">
        <x:f>P317/'浓度水平'!E15</x:f>
        <x:v>0.31903190319031904</x:v>
      </x:c>
      <x:c r="U317" s="6" t="n">
        <x:f>Q317/'浓度水平'!E29</x:f>
        <x:v>0.5949186991869918</x:v>
      </x:c>
      <x:c r="V317" s="6" t="n">
        <x:f>R317/'浓度水平'!E32</x:f>
        <x:v>26.166666666666668</x:v>
      </x:c>
      <x:c r="W317" s="6" t="n">
        <x:f>O317*'固定基底'!$B$4/1000</x:f>
        <x:v>223.08</x:v>
      </x:c>
      <x:c r="X317" s="6" t="n">
        <x:f>P317*'固定基底'!$B$4/1000</x:f>
        <x:v>5.8</x:v>
      </x:c>
      <x:c r="Y317" s="6" t="n">
        <x:f>Q317*'固定基底'!$B$4/1000</x:f>
        <x:v>1.4635</x:v>
      </x:c>
      <x:c r="Z317" s="6" t="n">
        <x:f>R317*'固定基底'!$B$4/1000</x:f>
        <x:v>942</x:v>
      </x:c>
      <x:c r="AA317" s="2" t="n">
        <x:f>'固定基底'!$C$7</x:f>
        <x:v>92796.92267241378</x:v>
      </x:c>
      <x:c r="AB317" s="2" t="n">
        <x:f>'固定基底'!$C$8</x:f>
        <x:v>104175.5097553192</x:v>
      </x:c>
      <x:c r="AC317" s="2" t="n">
        <x:f>'固定基底'!$E$7</x:f>
        <x:v>1855.9384534482756</x:v>
      </x:c>
      <x:c r="AD317" s="2" t="n">
        <x:f>'固定基底'!$E$8</x:f>
        <x:v>2083.510195106384</x:v>
      </x:c>
    </x:row>
    <x:row r="318" ht="25" customHeight="1">
      <x:c r="A318" s="5" t="str">
        <x:v>G13-03</x:v>
      </x:c>
      <x:c r="B318" s="5" t="str">
        <x:v>G13</x:v>
      </x:c>
      <x:c r="C318" s="5" t="str">
        <x:v>2^4全因子</x:v>
      </x:c>
      <x:c r="D318" s="5" t="str">
        <x:v>拟合</x:v>
      </x:c>
      <x:c r="E318" s="5" t="str">
        <x:v>全因子</x:v>
      </x:c>
      <x:c r="F318" s="5" t="str"/>
      <x:c r="G318" s="5" t="str">
        <x:v>乙酸乙酯</x:v>
      </x:c>
      <x:c r="H318" s="5" t="str">
        <x:v>乙酸苯乙酯</x:v>
      </x:c>
      <x:c r="I318" s="5" t="str">
        <x:v>4-乙基苯酚</x:v>
      </x:c>
      <x:c r="J318" s="5" t="str">
        <x:v>乙酸丁酯</x:v>
      </x:c>
      <x:c r="K318" s="5" t="str">
        <x:v>M</x:v>
      </x:c>
      <x:c r="L318" s="5" t="str">
        <x:v>M</x:v>
      </x:c>
      <x:c r="M318" s="5" t="str">
        <x:v>H</x:v>
      </x:c>
      <x:c r="N318" s="5" t="str">
        <x:v>M</x:v>
      </x:c>
      <x:c r="O318" s="6" t="n">
        <x:f>'浓度水平'!G35</x:f>
        <x:v>11154</x:v>
      </x:c>
      <x:c r="P318" s="6" t="n">
        <x:f>'浓度水平'!G15</x:f>
        <x:v>290</x:v>
      </x:c>
      <x:c r="Q318" s="6" t="n">
        <x:f>'浓度水平'!H29</x:f>
        <x:v>2501.24</x:v>
      </x:c>
      <x:c r="R318" s="6" t="n">
        <x:f>'浓度水平'!G32</x:f>
        <x:v>3147.945</x:v>
      </x:c>
      <x:c r="S318" s="6" t="n">
        <x:f>O318/'浓度水平'!E35</x:f>
        <x:v>0.3426517571884984</x:v>
      </x:c>
      <x:c r="T318" s="6" t="n">
        <x:f>P318/'浓度水平'!E15</x:f>
        <x:v>0.31903190319031904</x:v>
      </x:c>
      <x:c r="U318" s="6" t="n">
        <x:f>Q318/'浓度水平'!E29</x:f>
        <x:v>20.335284552845525</x:v>
      </x:c>
      <x:c r="V318" s="6" t="n">
        <x:f>R318/'浓度水平'!E32</x:f>
        <x:v>1.7488583333333334</x:v>
      </x:c>
      <x:c r="W318" s="6" t="n">
        <x:f>O318*'固定基底'!$B$4/1000</x:f>
        <x:v>223.08</x:v>
      </x:c>
      <x:c r="X318" s="6" t="n">
        <x:f>P318*'固定基底'!$B$4/1000</x:f>
        <x:v>5.8</x:v>
      </x:c>
      <x:c r="Y318" s="6" t="n">
        <x:f>Q318*'固定基底'!$B$4/1000</x:f>
        <x:v>50.0248</x:v>
      </x:c>
      <x:c r="Z318" s="6" t="n">
        <x:f>R318*'固定基底'!$B$4/1000</x:f>
        <x:v>62.9589</x:v>
      </x:c>
      <x:c r="AA318" s="2" t="n">
        <x:f>'固定基底'!$C$7</x:f>
        <x:v>92796.92267241378</x:v>
      </x:c>
      <x:c r="AB318" s="2" t="n">
        <x:f>'固定基底'!$C$8</x:f>
        <x:v>104175.5097553192</x:v>
      </x:c>
      <x:c r="AC318" s="2" t="n">
        <x:f>'固定基底'!$E$7</x:f>
        <x:v>1855.9384534482756</x:v>
      </x:c>
      <x:c r="AD318" s="2" t="n">
        <x:f>'固定基底'!$E$8</x:f>
        <x:v>2083.510195106384</x:v>
      </x:c>
    </x:row>
    <x:row r="319" ht="25" customHeight="1">
      <x:c r="A319" s="5" t="str">
        <x:v>G13-04</x:v>
      </x:c>
      <x:c r="B319" s="5" t="str">
        <x:v>G13</x:v>
      </x:c>
      <x:c r="C319" s="5" t="str">
        <x:v>2^4全因子</x:v>
      </x:c>
      <x:c r="D319" s="5" t="str">
        <x:v>拟合</x:v>
      </x:c>
      <x:c r="E319" s="5" t="str">
        <x:v>全因子</x:v>
      </x:c>
      <x:c r="F319" s="5" t="str"/>
      <x:c r="G319" s="5" t="str">
        <x:v>乙酸乙酯</x:v>
      </x:c>
      <x:c r="H319" s="5" t="str">
        <x:v>乙酸苯乙酯</x:v>
      </x:c>
      <x:c r="I319" s="5" t="str">
        <x:v>4-乙基苯酚</x:v>
      </x:c>
      <x:c r="J319" s="5" t="str">
        <x:v>乙酸丁酯</x:v>
      </x:c>
      <x:c r="K319" s="5" t="str">
        <x:v>M</x:v>
      </x:c>
      <x:c r="L319" s="5" t="str">
        <x:v>M</x:v>
      </x:c>
      <x:c r="M319" s="5" t="str">
        <x:v>H</x:v>
      </x:c>
      <x:c r="N319" s="5" t="str">
        <x:v>H</x:v>
      </x:c>
      <x:c r="O319" s="6" t="n">
        <x:f>'浓度水平'!G35</x:f>
        <x:v>11154</x:v>
      </x:c>
      <x:c r="P319" s="6" t="n">
        <x:f>'浓度水平'!G15</x:f>
        <x:v>290</x:v>
      </x:c>
      <x:c r="Q319" s="6" t="n">
        <x:f>'浓度水平'!H29</x:f>
        <x:v>2501.24</x:v>
      </x:c>
      <x:c r="R319" s="6" t="n">
        <x:f>'浓度水平'!H32</x:f>
        <x:v>47100</x:v>
      </x:c>
      <x:c r="S319" s="6" t="n">
        <x:f>O319/'浓度水平'!E35</x:f>
        <x:v>0.3426517571884984</x:v>
      </x:c>
      <x:c r="T319" s="6" t="n">
        <x:f>P319/'浓度水平'!E15</x:f>
        <x:v>0.31903190319031904</x:v>
      </x:c>
      <x:c r="U319" s="6" t="n">
        <x:f>Q319/'浓度水平'!E29</x:f>
        <x:v>20.335284552845525</x:v>
      </x:c>
      <x:c r="V319" s="6" t="n">
        <x:f>R319/'浓度水平'!E32</x:f>
        <x:v>26.166666666666668</x:v>
      </x:c>
      <x:c r="W319" s="6" t="n">
        <x:f>O319*'固定基底'!$B$4/1000</x:f>
        <x:v>223.08</x:v>
      </x:c>
      <x:c r="X319" s="6" t="n">
        <x:f>P319*'固定基底'!$B$4/1000</x:f>
        <x:v>5.8</x:v>
      </x:c>
      <x:c r="Y319" s="6" t="n">
        <x:f>Q319*'固定基底'!$B$4/1000</x:f>
        <x:v>50.0248</x:v>
      </x:c>
      <x:c r="Z319" s="6" t="n">
        <x:f>R319*'固定基底'!$B$4/1000</x:f>
        <x:v>942</x:v>
      </x:c>
      <x:c r="AA319" s="2" t="n">
        <x:f>'固定基底'!$C$7</x:f>
        <x:v>92796.92267241378</x:v>
      </x:c>
      <x:c r="AB319" s="2" t="n">
        <x:f>'固定基底'!$C$8</x:f>
        <x:v>104175.5097553192</x:v>
      </x:c>
      <x:c r="AC319" s="2" t="n">
        <x:f>'固定基底'!$E$7</x:f>
        <x:v>1855.9384534482756</x:v>
      </x:c>
      <x:c r="AD319" s="2" t="n">
        <x:f>'固定基底'!$E$8</x:f>
        <x:v>2083.510195106384</x:v>
      </x:c>
    </x:row>
    <x:row r="320" ht="25" customHeight="1">
      <x:c r="A320" s="5" t="str">
        <x:v>G13-05</x:v>
      </x:c>
      <x:c r="B320" s="5" t="str">
        <x:v>G13</x:v>
      </x:c>
      <x:c r="C320" s="5" t="str">
        <x:v>2^4全因子</x:v>
      </x:c>
      <x:c r="D320" s="5" t="str">
        <x:v>拟合</x:v>
      </x:c>
      <x:c r="E320" s="5" t="str">
        <x:v>全因子</x:v>
      </x:c>
      <x:c r="F320" s="5" t="str"/>
      <x:c r="G320" s="5" t="str">
        <x:v>乙酸乙酯</x:v>
      </x:c>
      <x:c r="H320" s="5" t="str">
        <x:v>乙酸苯乙酯</x:v>
      </x:c>
      <x:c r="I320" s="5" t="str">
        <x:v>4-乙基苯酚</x:v>
      </x:c>
      <x:c r="J320" s="5" t="str">
        <x:v>乙酸丁酯</x:v>
      </x:c>
      <x:c r="K320" s="5" t="str">
        <x:v>M</x:v>
      </x:c>
      <x:c r="L320" s="5" t="str">
        <x:v>H</x:v>
      </x:c>
      <x:c r="M320" s="5" t="str">
        <x:v>M</x:v>
      </x:c>
      <x:c r="N320" s="5" t="str">
        <x:v>M</x:v>
      </x:c>
      <x:c r="O320" s="6" t="n">
        <x:f>'浓度水平'!G35</x:f>
        <x:v>11154</x:v>
      </x:c>
      <x:c r="P320" s="6" t="n">
        <x:f>'浓度水平'!H15</x:f>
        <x:v>94600</x:v>
      </x:c>
      <x:c r="Q320" s="6" t="n">
        <x:f>'浓度水平'!G29</x:f>
        <x:v>73.175</x:v>
      </x:c>
      <x:c r="R320" s="6" t="n">
        <x:f>'浓度水平'!G32</x:f>
        <x:v>3147.945</x:v>
      </x:c>
      <x:c r="S320" s="6" t="n">
        <x:f>O320/'浓度水平'!E35</x:f>
        <x:v>0.3426517571884984</x:v>
      </x:c>
      <x:c r="T320" s="6" t="n">
        <x:f>P320/'浓度水平'!E15</x:f>
        <x:v>104.07040704070407</x:v>
      </x:c>
      <x:c r="U320" s="6" t="n">
        <x:f>Q320/'浓度水平'!E29</x:f>
        <x:v>0.5949186991869918</x:v>
      </x:c>
      <x:c r="V320" s="6" t="n">
        <x:f>R320/'浓度水平'!E32</x:f>
        <x:v>1.7488583333333334</x:v>
      </x:c>
      <x:c r="W320" s="6" t="n">
        <x:f>O320*'固定基底'!$B$4/1000</x:f>
        <x:v>223.08</x:v>
      </x:c>
      <x:c r="X320" s="6" t="n">
        <x:f>P320*'固定基底'!$B$4/1000</x:f>
        <x:v>1892</x:v>
      </x:c>
      <x:c r="Y320" s="6" t="n">
        <x:f>Q320*'固定基底'!$B$4/1000</x:f>
        <x:v>1.4635</x:v>
      </x:c>
      <x:c r="Z320" s="6" t="n">
        <x:f>R320*'固定基底'!$B$4/1000</x:f>
        <x:v>62.9589</x:v>
      </x:c>
      <x:c r="AA320" s="2" t="n">
        <x:f>'固定基底'!$C$7</x:f>
        <x:v>92796.92267241378</x:v>
      </x:c>
      <x:c r="AB320" s="2" t="n">
        <x:f>'固定基底'!$C$8</x:f>
        <x:v>104175.5097553192</x:v>
      </x:c>
      <x:c r="AC320" s="2" t="n">
        <x:f>'固定基底'!$E$7</x:f>
        <x:v>1855.9384534482756</x:v>
      </x:c>
      <x:c r="AD320" s="2" t="n">
        <x:f>'固定基底'!$E$8</x:f>
        <x:v>2083.510195106384</x:v>
      </x:c>
    </x:row>
    <x:row r="321" ht="25" customHeight="1">
      <x:c r="A321" s="5" t="str">
        <x:v>G13-06</x:v>
      </x:c>
      <x:c r="B321" s="5" t="str">
        <x:v>G13</x:v>
      </x:c>
      <x:c r="C321" s="5" t="str">
        <x:v>2^4全因子</x:v>
      </x:c>
      <x:c r="D321" s="5" t="str">
        <x:v>拟合</x:v>
      </x:c>
      <x:c r="E321" s="5" t="str">
        <x:v>全因子</x:v>
      </x:c>
      <x:c r="F321" s="5" t="str"/>
      <x:c r="G321" s="5" t="str">
        <x:v>乙酸乙酯</x:v>
      </x:c>
      <x:c r="H321" s="5" t="str">
        <x:v>乙酸苯乙酯</x:v>
      </x:c>
      <x:c r="I321" s="5" t="str">
        <x:v>4-乙基苯酚</x:v>
      </x:c>
      <x:c r="J321" s="5" t="str">
        <x:v>乙酸丁酯</x:v>
      </x:c>
      <x:c r="K321" s="5" t="str">
        <x:v>M</x:v>
      </x:c>
      <x:c r="L321" s="5" t="str">
        <x:v>H</x:v>
      </x:c>
      <x:c r="M321" s="5" t="str">
        <x:v>M</x:v>
      </x:c>
      <x:c r="N321" s="5" t="str">
        <x:v>H</x:v>
      </x:c>
      <x:c r="O321" s="6" t="n">
        <x:f>'浓度水平'!G35</x:f>
        <x:v>11154</x:v>
      </x:c>
      <x:c r="P321" s="6" t="n">
        <x:f>'浓度水平'!H15</x:f>
        <x:v>94600</x:v>
      </x:c>
      <x:c r="Q321" s="6" t="n">
        <x:f>'浓度水平'!G29</x:f>
        <x:v>73.175</x:v>
      </x:c>
      <x:c r="R321" s="6" t="n">
        <x:f>'浓度水平'!H32</x:f>
        <x:v>47100</x:v>
      </x:c>
      <x:c r="S321" s="6" t="n">
        <x:f>O321/'浓度水平'!E35</x:f>
        <x:v>0.3426517571884984</x:v>
      </x:c>
      <x:c r="T321" s="6" t="n">
        <x:f>P321/'浓度水平'!E15</x:f>
        <x:v>104.07040704070407</x:v>
      </x:c>
      <x:c r="U321" s="6" t="n">
        <x:f>Q321/'浓度水平'!E29</x:f>
        <x:v>0.5949186991869918</x:v>
      </x:c>
      <x:c r="V321" s="6" t="n">
        <x:f>R321/'浓度水平'!E32</x:f>
        <x:v>26.166666666666668</x:v>
      </x:c>
      <x:c r="W321" s="6" t="n">
        <x:f>O321*'固定基底'!$B$4/1000</x:f>
        <x:v>223.08</x:v>
      </x:c>
      <x:c r="X321" s="6" t="n">
        <x:f>P321*'固定基底'!$B$4/1000</x:f>
        <x:v>1892</x:v>
      </x:c>
      <x:c r="Y321" s="6" t="n">
        <x:f>Q321*'固定基底'!$B$4/1000</x:f>
        <x:v>1.4635</x:v>
      </x:c>
      <x:c r="Z321" s="6" t="n">
        <x:f>R321*'固定基底'!$B$4/1000</x:f>
        <x:v>942</x:v>
      </x:c>
      <x:c r="AA321" s="2" t="n">
        <x:f>'固定基底'!$C$7</x:f>
        <x:v>92796.92267241378</x:v>
      </x:c>
      <x:c r="AB321" s="2" t="n">
        <x:f>'固定基底'!$C$8</x:f>
        <x:v>104175.5097553192</x:v>
      </x:c>
      <x:c r="AC321" s="2" t="n">
        <x:f>'固定基底'!$E$7</x:f>
        <x:v>1855.9384534482756</x:v>
      </x:c>
      <x:c r="AD321" s="2" t="n">
        <x:f>'固定基底'!$E$8</x:f>
        <x:v>2083.510195106384</x:v>
      </x:c>
    </x:row>
    <x:row r="322" ht="25" customHeight="1">
      <x:c r="A322" s="5" t="str">
        <x:v>G13-07</x:v>
      </x:c>
      <x:c r="B322" s="5" t="str">
        <x:v>G13</x:v>
      </x:c>
      <x:c r="C322" s="5" t="str">
        <x:v>2^4全因子</x:v>
      </x:c>
      <x:c r="D322" s="5" t="str">
        <x:v>拟合</x:v>
      </x:c>
      <x:c r="E322" s="5" t="str">
        <x:v>全因子</x:v>
      </x:c>
      <x:c r="F322" s="5" t="str"/>
      <x:c r="G322" s="5" t="str">
        <x:v>乙酸乙酯</x:v>
      </x:c>
      <x:c r="H322" s="5" t="str">
        <x:v>乙酸苯乙酯</x:v>
      </x:c>
      <x:c r="I322" s="5" t="str">
        <x:v>4-乙基苯酚</x:v>
      </x:c>
      <x:c r="J322" s="5" t="str">
        <x:v>乙酸丁酯</x:v>
      </x:c>
      <x:c r="K322" s="5" t="str">
        <x:v>M</x:v>
      </x:c>
      <x:c r="L322" s="5" t="str">
        <x:v>H</x:v>
      </x:c>
      <x:c r="M322" s="5" t="str">
        <x:v>H</x:v>
      </x:c>
      <x:c r="N322" s="5" t="str">
        <x:v>M</x:v>
      </x:c>
      <x:c r="O322" s="6" t="n">
        <x:f>'浓度水平'!G35</x:f>
        <x:v>11154</x:v>
      </x:c>
      <x:c r="P322" s="6" t="n">
        <x:f>'浓度水平'!H15</x:f>
        <x:v>94600</x:v>
      </x:c>
      <x:c r="Q322" s="6" t="n">
        <x:f>'浓度水平'!H29</x:f>
        <x:v>2501.24</x:v>
      </x:c>
      <x:c r="R322" s="6" t="n">
        <x:f>'浓度水平'!G32</x:f>
        <x:v>3147.945</x:v>
      </x:c>
      <x:c r="S322" s="6" t="n">
        <x:f>O322/'浓度水平'!E35</x:f>
        <x:v>0.3426517571884984</x:v>
      </x:c>
      <x:c r="T322" s="6" t="n">
        <x:f>P322/'浓度水平'!E15</x:f>
        <x:v>104.07040704070407</x:v>
      </x:c>
      <x:c r="U322" s="6" t="n">
        <x:f>Q322/'浓度水平'!E29</x:f>
        <x:v>20.335284552845525</x:v>
      </x:c>
      <x:c r="V322" s="6" t="n">
        <x:f>R322/'浓度水平'!E32</x:f>
        <x:v>1.7488583333333334</x:v>
      </x:c>
      <x:c r="W322" s="6" t="n">
        <x:f>O322*'固定基底'!$B$4/1000</x:f>
        <x:v>223.08</x:v>
      </x:c>
      <x:c r="X322" s="6" t="n">
        <x:f>P322*'固定基底'!$B$4/1000</x:f>
        <x:v>1892</x:v>
      </x:c>
      <x:c r="Y322" s="6" t="n">
        <x:f>Q322*'固定基底'!$B$4/1000</x:f>
        <x:v>50.0248</x:v>
      </x:c>
      <x:c r="Z322" s="6" t="n">
        <x:f>R322*'固定基底'!$B$4/1000</x:f>
        <x:v>62.9589</x:v>
      </x:c>
      <x:c r="AA322" s="2" t="n">
        <x:f>'固定基底'!$C$7</x:f>
        <x:v>92796.92267241378</x:v>
      </x:c>
      <x:c r="AB322" s="2" t="n">
        <x:f>'固定基底'!$C$8</x:f>
        <x:v>104175.5097553192</x:v>
      </x:c>
      <x:c r="AC322" s="2" t="n">
        <x:f>'固定基底'!$E$7</x:f>
        <x:v>1855.9384534482756</x:v>
      </x:c>
      <x:c r="AD322" s="2" t="n">
        <x:f>'固定基底'!$E$8</x:f>
        <x:v>2083.510195106384</x:v>
      </x:c>
    </x:row>
    <x:row r="323" ht="25" customHeight="1">
      <x:c r="A323" s="5" t="str">
        <x:v>G13-08</x:v>
      </x:c>
      <x:c r="B323" s="5" t="str">
        <x:v>G13</x:v>
      </x:c>
      <x:c r="C323" s="5" t="str">
        <x:v>2^4全因子</x:v>
      </x:c>
      <x:c r="D323" s="5" t="str">
        <x:v>拟合</x:v>
      </x:c>
      <x:c r="E323" s="5" t="str">
        <x:v>全因子</x:v>
      </x:c>
      <x:c r="F323" s="5" t="str"/>
      <x:c r="G323" s="5" t="str">
        <x:v>乙酸乙酯</x:v>
      </x:c>
      <x:c r="H323" s="5" t="str">
        <x:v>乙酸苯乙酯</x:v>
      </x:c>
      <x:c r="I323" s="5" t="str">
        <x:v>4-乙基苯酚</x:v>
      </x:c>
      <x:c r="J323" s="5" t="str">
        <x:v>乙酸丁酯</x:v>
      </x:c>
      <x:c r="K323" s="5" t="str">
        <x:v>M</x:v>
      </x:c>
      <x:c r="L323" s="5" t="str">
        <x:v>H</x:v>
      </x:c>
      <x:c r="M323" s="5" t="str">
        <x:v>H</x:v>
      </x:c>
      <x:c r="N323" s="5" t="str">
        <x:v>H</x:v>
      </x:c>
      <x:c r="O323" s="6" t="n">
        <x:f>'浓度水平'!G35</x:f>
        <x:v>11154</x:v>
      </x:c>
      <x:c r="P323" s="6" t="n">
        <x:f>'浓度水平'!H15</x:f>
        <x:v>94600</x:v>
      </x:c>
      <x:c r="Q323" s="6" t="n">
        <x:f>'浓度水平'!H29</x:f>
        <x:v>2501.24</x:v>
      </x:c>
      <x:c r="R323" s="6" t="n">
        <x:f>'浓度水平'!H32</x:f>
        <x:v>47100</x:v>
      </x:c>
      <x:c r="S323" s="6" t="n">
        <x:f>O323/'浓度水平'!E35</x:f>
        <x:v>0.3426517571884984</x:v>
      </x:c>
      <x:c r="T323" s="6" t="n">
        <x:f>P323/'浓度水平'!E15</x:f>
        <x:v>104.07040704070407</x:v>
      </x:c>
      <x:c r="U323" s="6" t="n">
        <x:f>Q323/'浓度水平'!E29</x:f>
        <x:v>20.335284552845525</x:v>
      </x:c>
      <x:c r="V323" s="6" t="n">
        <x:f>R323/'浓度水平'!E32</x:f>
        <x:v>26.166666666666668</x:v>
      </x:c>
      <x:c r="W323" s="6" t="n">
        <x:f>O323*'固定基底'!$B$4/1000</x:f>
        <x:v>223.08</x:v>
      </x:c>
      <x:c r="X323" s="6" t="n">
        <x:f>P323*'固定基底'!$B$4/1000</x:f>
        <x:v>1892</x:v>
      </x:c>
      <x:c r="Y323" s="6" t="n">
        <x:f>Q323*'固定基底'!$B$4/1000</x:f>
        <x:v>50.0248</x:v>
      </x:c>
      <x:c r="Z323" s="6" t="n">
        <x:f>R323*'固定基底'!$B$4/1000</x:f>
        <x:v>942</x:v>
      </x:c>
      <x:c r="AA323" s="2" t="n">
        <x:f>'固定基底'!$C$7</x:f>
        <x:v>92796.92267241378</x:v>
      </x:c>
      <x:c r="AB323" s="2" t="n">
        <x:f>'固定基底'!$C$8</x:f>
        <x:v>104175.5097553192</x:v>
      </x:c>
      <x:c r="AC323" s="2" t="n">
        <x:f>'固定基底'!$E$7</x:f>
        <x:v>1855.9384534482756</x:v>
      </x:c>
      <x:c r="AD323" s="2" t="n">
        <x:f>'固定基底'!$E$8</x:f>
        <x:v>2083.510195106384</x:v>
      </x:c>
    </x:row>
    <x:row r="324" ht="25" customHeight="1">
      <x:c r="A324" s="5" t="str">
        <x:v>G13-09</x:v>
      </x:c>
      <x:c r="B324" s="5" t="str">
        <x:v>G13</x:v>
      </x:c>
      <x:c r="C324" s="5" t="str">
        <x:v>2^4全因子</x:v>
      </x:c>
      <x:c r="D324" s="5" t="str">
        <x:v>拟合</x:v>
      </x:c>
      <x:c r="E324" s="5" t="str">
        <x:v>全因子</x:v>
      </x:c>
      <x:c r="F324" s="5" t="str"/>
      <x:c r="G324" s="5" t="str">
        <x:v>乙酸乙酯</x:v>
      </x:c>
      <x:c r="H324" s="5" t="str">
        <x:v>乙酸苯乙酯</x:v>
      </x:c>
      <x:c r="I324" s="5" t="str">
        <x:v>4-乙基苯酚</x:v>
      </x:c>
      <x:c r="J324" s="5" t="str">
        <x:v>乙酸丁酯</x:v>
      </x:c>
      <x:c r="K324" s="5" t="str">
        <x:v>H</x:v>
      </x:c>
      <x:c r="L324" s="5" t="str">
        <x:v>M</x:v>
      </x:c>
      <x:c r="M324" s="5" t="str">
        <x:v>M</x:v>
      </x:c>
      <x:c r="N324" s="5" t="str">
        <x:v>M</x:v>
      </x:c>
      <x:c r="O324" s="6" t="n">
        <x:f>'浓度水平'!H35</x:f>
        <x:v>4021850</x:v>
      </x:c>
      <x:c r="P324" s="6" t="n">
        <x:f>'浓度水平'!G15</x:f>
        <x:v>290</x:v>
      </x:c>
      <x:c r="Q324" s="6" t="n">
        <x:f>'浓度水平'!G29</x:f>
        <x:v>73.175</x:v>
      </x:c>
      <x:c r="R324" s="6" t="n">
        <x:f>'浓度水平'!G32</x:f>
        <x:v>3147.945</x:v>
      </x:c>
      <x:c r="S324" s="6" t="n">
        <x:f>O324/'浓度水平'!E35</x:f>
        <x:v>123.55154829196363</x:v>
      </x:c>
      <x:c r="T324" s="6" t="n">
        <x:f>P324/'浓度水平'!E15</x:f>
        <x:v>0.31903190319031904</x:v>
      </x:c>
      <x:c r="U324" s="6" t="n">
        <x:f>Q324/'浓度水平'!E29</x:f>
        <x:v>0.5949186991869918</x:v>
      </x:c>
      <x:c r="V324" s="6" t="n">
        <x:f>R324/'浓度水平'!E32</x:f>
        <x:v>1.7488583333333334</x:v>
      </x:c>
      <x:c r="W324" s="6" t="n">
        <x:f>O324*'固定基底'!$B$4/1000</x:f>
        <x:v>80437</x:v>
      </x:c>
      <x:c r="X324" s="6" t="n">
        <x:f>P324*'固定基底'!$B$4/1000</x:f>
        <x:v>5.8</x:v>
      </x:c>
      <x:c r="Y324" s="6" t="n">
        <x:f>Q324*'固定基底'!$B$4/1000</x:f>
        <x:v>1.4635</x:v>
      </x:c>
      <x:c r="Z324" s="6" t="n">
        <x:f>R324*'固定基底'!$B$4/1000</x:f>
        <x:v>62.9589</x:v>
      </x:c>
      <x:c r="AA324" s="2" t="n">
        <x:f>'固定基底'!$C$7</x:f>
        <x:v>92796.92267241378</x:v>
      </x:c>
      <x:c r="AB324" s="2" t="n">
        <x:f>'固定基底'!$C$8</x:f>
        <x:v>104175.5097553192</x:v>
      </x:c>
      <x:c r="AC324" s="2" t="n">
        <x:f>'固定基底'!$E$7</x:f>
        <x:v>1855.9384534482756</x:v>
      </x:c>
      <x:c r="AD324" s="2" t="n">
        <x:f>'固定基底'!$E$8</x:f>
        <x:v>2083.510195106384</x:v>
      </x:c>
    </x:row>
    <x:row r="325" ht="25" customHeight="1">
      <x:c r="A325" s="5" t="str">
        <x:v>G13-10</x:v>
      </x:c>
      <x:c r="B325" s="5" t="str">
        <x:v>G13</x:v>
      </x:c>
      <x:c r="C325" s="5" t="str">
        <x:v>2^4全因子</x:v>
      </x:c>
      <x:c r="D325" s="5" t="str">
        <x:v>拟合</x:v>
      </x:c>
      <x:c r="E325" s="5" t="str">
        <x:v>全因子</x:v>
      </x:c>
      <x:c r="F325" s="5" t="str"/>
      <x:c r="G325" s="5" t="str">
        <x:v>乙酸乙酯</x:v>
      </x:c>
      <x:c r="H325" s="5" t="str">
        <x:v>乙酸苯乙酯</x:v>
      </x:c>
      <x:c r="I325" s="5" t="str">
        <x:v>4-乙基苯酚</x:v>
      </x:c>
      <x:c r="J325" s="5" t="str">
        <x:v>乙酸丁酯</x:v>
      </x:c>
      <x:c r="K325" s="5" t="str">
        <x:v>H</x:v>
      </x:c>
      <x:c r="L325" s="5" t="str">
        <x:v>M</x:v>
      </x:c>
      <x:c r="M325" s="5" t="str">
        <x:v>M</x:v>
      </x:c>
      <x:c r="N325" s="5" t="str">
        <x:v>H</x:v>
      </x:c>
      <x:c r="O325" s="6" t="n">
        <x:f>'浓度水平'!H35</x:f>
        <x:v>4021850</x:v>
      </x:c>
      <x:c r="P325" s="6" t="n">
        <x:f>'浓度水平'!G15</x:f>
        <x:v>290</x:v>
      </x:c>
      <x:c r="Q325" s="6" t="n">
        <x:f>'浓度水平'!G29</x:f>
        <x:v>73.175</x:v>
      </x:c>
      <x:c r="R325" s="6" t="n">
        <x:f>'浓度水平'!H32</x:f>
        <x:v>47100</x:v>
      </x:c>
      <x:c r="S325" s="6" t="n">
        <x:f>O325/'浓度水平'!E35</x:f>
        <x:v>123.55154829196363</x:v>
      </x:c>
      <x:c r="T325" s="6" t="n">
        <x:f>P325/'浓度水平'!E15</x:f>
        <x:v>0.31903190319031904</x:v>
      </x:c>
      <x:c r="U325" s="6" t="n">
        <x:f>Q325/'浓度水平'!E29</x:f>
        <x:v>0.5949186991869918</x:v>
      </x:c>
      <x:c r="V325" s="6" t="n">
        <x:f>R325/'浓度水平'!E32</x:f>
        <x:v>26.166666666666668</x:v>
      </x:c>
      <x:c r="W325" s="6" t="n">
        <x:f>O325*'固定基底'!$B$4/1000</x:f>
        <x:v>80437</x:v>
      </x:c>
      <x:c r="X325" s="6" t="n">
        <x:f>P325*'固定基底'!$B$4/1000</x:f>
        <x:v>5.8</x:v>
      </x:c>
      <x:c r="Y325" s="6" t="n">
        <x:f>Q325*'固定基底'!$B$4/1000</x:f>
        <x:v>1.4635</x:v>
      </x:c>
      <x:c r="Z325" s="6" t="n">
        <x:f>R325*'固定基底'!$B$4/1000</x:f>
        <x:v>942</x:v>
      </x:c>
      <x:c r="AA325" s="2" t="n">
        <x:f>'固定基底'!$C$7</x:f>
        <x:v>92796.92267241378</x:v>
      </x:c>
      <x:c r="AB325" s="2" t="n">
        <x:f>'固定基底'!$C$8</x:f>
        <x:v>104175.5097553192</x:v>
      </x:c>
      <x:c r="AC325" s="2" t="n">
        <x:f>'固定基底'!$E$7</x:f>
        <x:v>1855.9384534482756</x:v>
      </x:c>
      <x:c r="AD325" s="2" t="n">
        <x:f>'固定基底'!$E$8</x:f>
        <x:v>2083.510195106384</x:v>
      </x:c>
    </x:row>
    <x:row r="326" ht="25" customHeight="1">
      <x:c r="A326" s="5" t="str">
        <x:v>G13-11</x:v>
      </x:c>
      <x:c r="B326" s="5" t="str">
        <x:v>G13</x:v>
      </x:c>
      <x:c r="C326" s="5" t="str">
        <x:v>2^4全因子</x:v>
      </x:c>
      <x:c r="D326" s="5" t="str">
        <x:v>拟合</x:v>
      </x:c>
      <x:c r="E326" s="5" t="str">
        <x:v>全因子</x:v>
      </x:c>
      <x:c r="F326" s="5" t="str"/>
      <x:c r="G326" s="5" t="str">
        <x:v>乙酸乙酯</x:v>
      </x:c>
      <x:c r="H326" s="5" t="str">
        <x:v>乙酸苯乙酯</x:v>
      </x:c>
      <x:c r="I326" s="5" t="str">
        <x:v>4-乙基苯酚</x:v>
      </x:c>
      <x:c r="J326" s="5" t="str">
        <x:v>乙酸丁酯</x:v>
      </x:c>
      <x:c r="K326" s="5" t="str">
        <x:v>H</x:v>
      </x:c>
      <x:c r="L326" s="5" t="str">
        <x:v>M</x:v>
      </x:c>
      <x:c r="M326" s="5" t="str">
        <x:v>H</x:v>
      </x:c>
      <x:c r="N326" s="5" t="str">
        <x:v>M</x:v>
      </x:c>
      <x:c r="O326" s="6" t="n">
        <x:f>'浓度水平'!H35</x:f>
        <x:v>4021850</x:v>
      </x:c>
      <x:c r="P326" s="6" t="n">
        <x:f>'浓度水平'!G15</x:f>
        <x:v>290</x:v>
      </x:c>
      <x:c r="Q326" s="6" t="n">
        <x:f>'浓度水平'!H29</x:f>
        <x:v>2501.24</x:v>
      </x:c>
      <x:c r="R326" s="6" t="n">
        <x:f>'浓度水平'!G32</x:f>
        <x:v>3147.945</x:v>
      </x:c>
      <x:c r="S326" s="6" t="n">
        <x:f>O326/'浓度水平'!E35</x:f>
        <x:v>123.55154829196363</x:v>
      </x:c>
      <x:c r="T326" s="6" t="n">
        <x:f>P326/'浓度水平'!E15</x:f>
        <x:v>0.31903190319031904</x:v>
      </x:c>
      <x:c r="U326" s="6" t="n">
        <x:f>Q326/'浓度水平'!E29</x:f>
        <x:v>20.335284552845525</x:v>
      </x:c>
      <x:c r="V326" s="6" t="n">
        <x:f>R326/'浓度水平'!E32</x:f>
        <x:v>1.7488583333333334</x:v>
      </x:c>
      <x:c r="W326" s="6" t="n">
        <x:f>O326*'固定基底'!$B$4/1000</x:f>
        <x:v>80437</x:v>
      </x:c>
      <x:c r="X326" s="6" t="n">
        <x:f>P326*'固定基底'!$B$4/1000</x:f>
        <x:v>5.8</x:v>
      </x:c>
      <x:c r="Y326" s="6" t="n">
        <x:f>Q326*'固定基底'!$B$4/1000</x:f>
        <x:v>50.0248</x:v>
      </x:c>
      <x:c r="Z326" s="6" t="n">
        <x:f>R326*'固定基底'!$B$4/1000</x:f>
        <x:v>62.9589</x:v>
      </x:c>
      <x:c r="AA326" s="2" t="n">
        <x:f>'固定基底'!$C$7</x:f>
        <x:v>92796.92267241378</x:v>
      </x:c>
      <x:c r="AB326" s="2" t="n">
        <x:f>'固定基底'!$C$8</x:f>
        <x:v>104175.5097553192</x:v>
      </x:c>
      <x:c r="AC326" s="2" t="n">
        <x:f>'固定基底'!$E$7</x:f>
        <x:v>1855.9384534482756</x:v>
      </x:c>
      <x:c r="AD326" s="2" t="n">
        <x:f>'固定基底'!$E$8</x:f>
        <x:v>2083.510195106384</x:v>
      </x:c>
    </x:row>
    <x:row r="327" ht="25" customHeight="1">
      <x:c r="A327" s="5" t="str">
        <x:v>G13-12</x:v>
      </x:c>
      <x:c r="B327" s="5" t="str">
        <x:v>G13</x:v>
      </x:c>
      <x:c r="C327" s="5" t="str">
        <x:v>2^4全因子</x:v>
      </x:c>
      <x:c r="D327" s="5" t="str">
        <x:v>拟合</x:v>
      </x:c>
      <x:c r="E327" s="5" t="str">
        <x:v>全因子</x:v>
      </x:c>
      <x:c r="F327" s="5" t="str"/>
      <x:c r="G327" s="5" t="str">
        <x:v>乙酸乙酯</x:v>
      </x:c>
      <x:c r="H327" s="5" t="str">
        <x:v>乙酸苯乙酯</x:v>
      </x:c>
      <x:c r="I327" s="5" t="str">
        <x:v>4-乙基苯酚</x:v>
      </x:c>
      <x:c r="J327" s="5" t="str">
        <x:v>乙酸丁酯</x:v>
      </x:c>
      <x:c r="K327" s="5" t="str">
        <x:v>H</x:v>
      </x:c>
      <x:c r="L327" s="5" t="str">
        <x:v>M</x:v>
      </x:c>
      <x:c r="M327" s="5" t="str">
        <x:v>H</x:v>
      </x:c>
      <x:c r="N327" s="5" t="str">
        <x:v>H</x:v>
      </x:c>
      <x:c r="O327" s="6" t="n">
        <x:f>'浓度水平'!H35</x:f>
        <x:v>4021850</x:v>
      </x:c>
      <x:c r="P327" s="6" t="n">
        <x:f>'浓度水平'!G15</x:f>
        <x:v>290</x:v>
      </x:c>
      <x:c r="Q327" s="6" t="n">
        <x:f>'浓度水平'!H29</x:f>
        <x:v>2501.24</x:v>
      </x:c>
      <x:c r="R327" s="6" t="n">
        <x:f>'浓度水平'!H32</x:f>
        <x:v>47100</x:v>
      </x:c>
      <x:c r="S327" s="6" t="n">
        <x:f>O327/'浓度水平'!E35</x:f>
        <x:v>123.55154829196363</x:v>
      </x:c>
      <x:c r="T327" s="6" t="n">
        <x:f>P327/'浓度水平'!E15</x:f>
        <x:v>0.31903190319031904</x:v>
      </x:c>
      <x:c r="U327" s="6" t="n">
        <x:f>Q327/'浓度水平'!E29</x:f>
        <x:v>20.335284552845525</x:v>
      </x:c>
      <x:c r="V327" s="6" t="n">
        <x:f>R327/'浓度水平'!E32</x:f>
        <x:v>26.166666666666668</x:v>
      </x:c>
      <x:c r="W327" s="6" t="n">
        <x:f>O327*'固定基底'!$B$4/1000</x:f>
        <x:v>80437</x:v>
      </x:c>
      <x:c r="X327" s="6" t="n">
        <x:f>P327*'固定基底'!$B$4/1000</x:f>
        <x:v>5.8</x:v>
      </x:c>
      <x:c r="Y327" s="6" t="n">
        <x:f>Q327*'固定基底'!$B$4/1000</x:f>
        <x:v>50.0248</x:v>
      </x:c>
      <x:c r="Z327" s="6" t="n">
        <x:f>R327*'固定基底'!$B$4/1000</x:f>
        <x:v>942</x:v>
      </x:c>
      <x:c r="AA327" s="2" t="n">
        <x:f>'固定基底'!$C$7</x:f>
        <x:v>92796.92267241378</x:v>
      </x:c>
      <x:c r="AB327" s="2" t="n">
        <x:f>'固定基底'!$C$8</x:f>
        <x:v>104175.5097553192</x:v>
      </x:c>
      <x:c r="AC327" s="2" t="n">
        <x:f>'固定基底'!$E$7</x:f>
        <x:v>1855.9384534482756</x:v>
      </x:c>
      <x:c r="AD327" s="2" t="n">
        <x:f>'固定基底'!$E$8</x:f>
        <x:v>2083.510195106384</x:v>
      </x:c>
    </x:row>
    <x:row r="328" ht="25" customHeight="1">
      <x:c r="A328" s="5" t="str">
        <x:v>G13-13</x:v>
      </x:c>
      <x:c r="B328" s="5" t="str">
        <x:v>G13</x:v>
      </x:c>
      <x:c r="C328" s="5" t="str">
        <x:v>2^4全因子</x:v>
      </x:c>
      <x:c r="D328" s="5" t="str">
        <x:v>拟合</x:v>
      </x:c>
      <x:c r="E328" s="5" t="str">
        <x:v>全因子</x:v>
      </x:c>
      <x:c r="F328" s="5" t="str"/>
      <x:c r="G328" s="5" t="str">
        <x:v>乙酸乙酯</x:v>
      </x:c>
      <x:c r="H328" s="5" t="str">
        <x:v>乙酸苯乙酯</x:v>
      </x:c>
      <x:c r="I328" s="5" t="str">
        <x:v>4-乙基苯酚</x:v>
      </x:c>
      <x:c r="J328" s="5" t="str">
        <x:v>乙酸丁酯</x:v>
      </x:c>
      <x:c r="K328" s="5" t="str">
        <x:v>H</x:v>
      </x:c>
      <x:c r="L328" s="5" t="str">
        <x:v>H</x:v>
      </x:c>
      <x:c r="M328" s="5" t="str">
        <x:v>M</x:v>
      </x:c>
      <x:c r="N328" s="5" t="str">
        <x:v>M</x:v>
      </x:c>
      <x:c r="O328" s="6" t="n">
        <x:f>'浓度水平'!H35</x:f>
        <x:v>4021850</x:v>
      </x:c>
      <x:c r="P328" s="6" t="n">
        <x:f>'浓度水平'!H15</x:f>
        <x:v>94600</x:v>
      </x:c>
      <x:c r="Q328" s="6" t="n">
        <x:f>'浓度水平'!G29</x:f>
        <x:v>73.175</x:v>
      </x:c>
      <x:c r="R328" s="6" t="n">
        <x:f>'浓度水平'!G32</x:f>
        <x:v>3147.945</x:v>
      </x:c>
      <x:c r="S328" s="6" t="n">
        <x:f>O328/'浓度水平'!E35</x:f>
        <x:v>123.55154829196363</x:v>
      </x:c>
      <x:c r="T328" s="6" t="n">
        <x:f>P328/'浓度水平'!E15</x:f>
        <x:v>104.07040704070407</x:v>
      </x:c>
      <x:c r="U328" s="6" t="n">
        <x:f>Q328/'浓度水平'!E29</x:f>
        <x:v>0.5949186991869918</x:v>
      </x:c>
      <x:c r="V328" s="6" t="n">
        <x:f>R328/'浓度水平'!E32</x:f>
        <x:v>1.7488583333333334</x:v>
      </x:c>
      <x:c r="W328" s="6" t="n">
        <x:f>O328*'固定基底'!$B$4/1000</x:f>
        <x:v>80437</x:v>
      </x:c>
      <x:c r="X328" s="6" t="n">
        <x:f>P328*'固定基底'!$B$4/1000</x:f>
        <x:v>1892</x:v>
      </x:c>
      <x:c r="Y328" s="6" t="n">
        <x:f>Q328*'固定基底'!$B$4/1000</x:f>
        <x:v>1.4635</x:v>
      </x:c>
      <x:c r="Z328" s="6" t="n">
        <x:f>R328*'固定基底'!$B$4/1000</x:f>
        <x:v>62.9589</x:v>
      </x:c>
      <x:c r="AA328" s="2" t="n">
        <x:f>'固定基底'!$C$7</x:f>
        <x:v>92796.92267241378</x:v>
      </x:c>
      <x:c r="AB328" s="2" t="n">
        <x:f>'固定基底'!$C$8</x:f>
        <x:v>104175.5097553192</x:v>
      </x:c>
      <x:c r="AC328" s="2" t="n">
        <x:f>'固定基底'!$E$7</x:f>
        <x:v>1855.9384534482756</x:v>
      </x:c>
      <x:c r="AD328" s="2" t="n">
        <x:f>'固定基底'!$E$8</x:f>
        <x:v>2083.510195106384</x:v>
      </x:c>
    </x:row>
    <x:row r="329" ht="25" customHeight="1">
      <x:c r="A329" s="5" t="str">
        <x:v>G13-14</x:v>
      </x:c>
      <x:c r="B329" s="5" t="str">
        <x:v>G13</x:v>
      </x:c>
      <x:c r="C329" s="5" t="str">
        <x:v>2^4全因子</x:v>
      </x:c>
      <x:c r="D329" s="5" t="str">
        <x:v>拟合</x:v>
      </x:c>
      <x:c r="E329" s="5" t="str">
        <x:v>全因子</x:v>
      </x:c>
      <x:c r="F329" s="5" t="str"/>
      <x:c r="G329" s="5" t="str">
        <x:v>乙酸乙酯</x:v>
      </x:c>
      <x:c r="H329" s="5" t="str">
        <x:v>乙酸苯乙酯</x:v>
      </x:c>
      <x:c r="I329" s="5" t="str">
        <x:v>4-乙基苯酚</x:v>
      </x:c>
      <x:c r="J329" s="5" t="str">
        <x:v>乙酸丁酯</x:v>
      </x:c>
      <x:c r="K329" s="5" t="str">
        <x:v>H</x:v>
      </x:c>
      <x:c r="L329" s="5" t="str">
        <x:v>H</x:v>
      </x:c>
      <x:c r="M329" s="5" t="str">
        <x:v>M</x:v>
      </x:c>
      <x:c r="N329" s="5" t="str">
        <x:v>H</x:v>
      </x:c>
      <x:c r="O329" s="6" t="n">
        <x:f>'浓度水平'!H35</x:f>
        <x:v>4021850</x:v>
      </x:c>
      <x:c r="P329" s="6" t="n">
        <x:f>'浓度水平'!H15</x:f>
        <x:v>94600</x:v>
      </x:c>
      <x:c r="Q329" s="6" t="n">
        <x:f>'浓度水平'!G29</x:f>
        <x:v>73.175</x:v>
      </x:c>
      <x:c r="R329" s="6" t="n">
        <x:f>'浓度水平'!H32</x:f>
        <x:v>47100</x:v>
      </x:c>
      <x:c r="S329" s="6" t="n">
        <x:f>O329/'浓度水平'!E35</x:f>
        <x:v>123.55154829196363</x:v>
      </x:c>
      <x:c r="T329" s="6" t="n">
        <x:f>P329/'浓度水平'!E15</x:f>
        <x:v>104.07040704070407</x:v>
      </x:c>
      <x:c r="U329" s="6" t="n">
        <x:f>Q329/'浓度水平'!E29</x:f>
        <x:v>0.5949186991869918</x:v>
      </x:c>
      <x:c r="V329" s="6" t="n">
        <x:f>R329/'浓度水平'!E32</x:f>
        <x:v>26.166666666666668</x:v>
      </x:c>
      <x:c r="W329" s="6" t="n">
        <x:f>O329*'固定基底'!$B$4/1000</x:f>
        <x:v>80437</x:v>
      </x:c>
      <x:c r="X329" s="6" t="n">
        <x:f>P329*'固定基底'!$B$4/1000</x:f>
        <x:v>1892</x:v>
      </x:c>
      <x:c r="Y329" s="6" t="n">
        <x:f>Q329*'固定基底'!$B$4/1000</x:f>
        <x:v>1.4635</x:v>
      </x:c>
      <x:c r="Z329" s="6" t="n">
        <x:f>R329*'固定基底'!$B$4/1000</x:f>
        <x:v>942</x:v>
      </x:c>
      <x:c r="AA329" s="2" t="n">
        <x:f>'固定基底'!$C$7</x:f>
        <x:v>92796.92267241378</x:v>
      </x:c>
      <x:c r="AB329" s="2" t="n">
        <x:f>'固定基底'!$C$8</x:f>
        <x:v>104175.5097553192</x:v>
      </x:c>
      <x:c r="AC329" s="2" t="n">
        <x:f>'固定基底'!$E$7</x:f>
        <x:v>1855.9384534482756</x:v>
      </x:c>
      <x:c r="AD329" s="2" t="n">
        <x:f>'固定基底'!$E$8</x:f>
        <x:v>2083.510195106384</x:v>
      </x:c>
    </x:row>
    <x:row r="330" ht="25" customHeight="1">
      <x:c r="A330" s="5" t="str">
        <x:v>G13-15</x:v>
      </x:c>
      <x:c r="B330" s="5" t="str">
        <x:v>G13</x:v>
      </x:c>
      <x:c r="C330" s="5" t="str">
        <x:v>2^4全因子</x:v>
      </x:c>
      <x:c r="D330" s="5" t="str">
        <x:v>拟合</x:v>
      </x:c>
      <x:c r="E330" s="5" t="str">
        <x:v>全因子</x:v>
      </x:c>
      <x:c r="F330" s="5" t="str"/>
      <x:c r="G330" s="5" t="str">
        <x:v>乙酸乙酯</x:v>
      </x:c>
      <x:c r="H330" s="5" t="str">
        <x:v>乙酸苯乙酯</x:v>
      </x:c>
      <x:c r="I330" s="5" t="str">
        <x:v>4-乙基苯酚</x:v>
      </x:c>
      <x:c r="J330" s="5" t="str">
        <x:v>乙酸丁酯</x:v>
      </x:c>
      <x:c r="K330" s="5" t="str">
        <x:v>H</x:v>
      </x:c>
      <x:c r="L330" s="5" t="str">
        <x:v>H</x:v>
      </x:c>
      <x:c r="M330" s="5" t="str">
        <x:v>H</x:v>
      </x:c>
      <x:c r="N330" s="5" t="str">
        <x:v>M</x:v>
      </x:c>
      <x:c r="O330" s="6" t="n">
        <x:f>'浓度水平'!H35</x:f>
        <x:v>4021850</x:v>
      </x:c>
      <x:c r="P330" s="6" t="n">
        <x:f>'浓度水平'!H15</x:f>
        <x:v>94600</x:v>
      </x:c>
      <x:c r="Q330" s="6" t="n">
        <x:f>'浓度水平'!H29</x:f>
        <x:v>2501.24</x:v>
      </x:c>
      <x:c r="R330" s="6" t="n">
        <x:f>'浓度水平'!G32</x:f>
        <x:v>3147.945</x:v>
      </x:c>
      <x:c r="S330" s="6" t="n">
        <x:f>O330/'浓度水平'!E35</x:f>
        <x:v>123.55154829196363</x:v>
      </x:c>
      <x:c r="T330" s="6" t="n">
        <x:f>P330/'浓度水平'!E15</x:f>
        <x:v>104.07040704070407</x:v>
      </x:c>
      <x:c r="U330" s="6" t="n">
        <x:f>Q330/'浓度水平'!E29</x:f>
        <x:v>20.335284552845525</x:v>
      </x:c>
      <x:c r="V330" s="6" t="n">
        <x:f>R330/'浓度水平'!E32</x:f>
        <x:v>1.7488583333333334</x:v>
      </x:c>
      <x:c r="W330" s="6" t="n">
        <x:f>O330*'固定基底'!$B$4/1000</x:f>
        <x:v>80437</x:v>
      </x:c>
      <x:c r="X330" s="6" t="n">
        <x:f>P330*'固定基底'!$B$4/1000</x:f>
        <x:v>1892</x:v>
      </x:c>
      <x:c r="Y330" s="6" t="n">
        <x:f>Q330*'固定基底'!$B$4/1000</x:f>
        <x:v>50.0248</x:v>
      </x:c>
      <x:c r="Z330" s="6" t="n">
        <x:f>R330*'固定基底'!$B$4/1000</x:f>
        <x:v>62.9589</x:v>
      </x:c>
      <x:c r="AA330" s="2" t="n">
        <x:f>'固定基底'!$C$7</x:f>
        <x:v>92796.92267241378</x:v>
      </x:c>
      <x:c r="AB330" s="2" t="n">
        <x:f>'固定基底'!$C$8</x:f>
        <x:v>104175.5097553192</x:v>
      </x:c>
      <x:c r="AC330" s="2" t="n">
        <x:f>'固定基底'!$E$7</x:f>
        <x:v>1855.9384534482756</x:v>
      </x:c>
      <x:c r="AD330" s="2" t="n">
        <x:f>'固定基底'!$E$8</x:f>
        <x:v>2083.510195106384</x:v>
      </x:c>
    </x:row>
    <x:row r="331" ht="25" customHeight="1">
      <x:c r="A331" s="5" t="str">
        <x:v>G13-16</x:v>
      </x:c>
      <x:c r="B331" s="5" t="str">
        <x:v>G13</x:v>
      </x:c>
      <x:c r="C331" s="5" t="str">
        <x:v>2^4全因子</x:v>
      </x:c>
      <x:c r="D331" s="5" t="str">
        <x:v>拟合</x:v>
      </x:c>
      <x:c r="E331" s="5" t="str">
        <x:v>全因子</x:v>
      </x:c>
      <x:c r="F331" s="5" t="str"/>
      <x:c r="G331" s="5" t="str">
        <x:v>乙酸乙酯</x:v>
      </x:c>
      <x:c r="H331" s="5" t="str">
        <x:v>乙酸苯乙酯</x:v>
      </x:c>
      <x:c r="I331" s="5" t="str">
        <x:v>4-乙基苯酚</x:v>
      </x:c>
      <x:c r="J331" s="5" t="str">
        <x:v>乙酸丁酯</x:v>
      </x:c>
      <x:c r="K331" s="5" t="str">
        <x:v>H</x:v>
      </x:c>
      <x:c r="L331" s="5" t="str">
        <x:v>H</x:v>
      </x:c>
      <x:c r="M331" s="5" t="str">
        <x:v>H</x:v>
      </x:c>
      <x:c r="N331" s="5" t="str">
        <x:v>H</x:v>
      </x:c>
      <x:c r="O331" s="6" t="n">
        <x:f>'浓度水平'!H35</x:f>
        <x:v>4021850</x:v>
      </x:c>
      <x:c r="P331" s="6" t="n">
        <x:f>'浓度水平'!H15</x:f>
        <x:v>94600</x:v>
      </x:c>
      <x:c r="Q331" s="6" t="n">
        <x:f>'浓度水平'!H29</x:f>
        <x:v>2501.24</x:v>
      </x:c>
      <x:c r="R331" s="6" t="n">
        <x:f>'浓度水平'!H32</x:f>
        <x:v>47100</x:v>
      </x:c>
      <x:c r="S331" s="6" t="n">
        <x:f>O331/'浓度水平'!E35</x:f>
        <x:v>123.55154829196363</x:v>
      </x:c>
      <x:c r="T331" s="6" t="n">
        <x:f>P331/'浓度水平'!E15</x:f>
        <x:v>104.07040704070407</x:v>
      </x:c>
      <x:c r="U331" s="6" t="n">
        <x:f>Q331/'浓度水平'!E29</x:f>
        <x:v>20.335284552845525</x:v>
      </x:c>
      <x:c r="V331" s="6" t="n">
        <x:f>R331/'浓度水平'!E32</x:f>
        <x:v>26.166666666666668</x:v>
      </x:c>
      <x:c r="W331" s="6" t="n">
        <x:f>O331*'固定基底'!$B$4/1000</x:f>
        <x:v>80437</x:v>
      </x:c>
      <x:c r="X331" s="6" t="n">
        <x:f>P331*'固定基底'!$B$4/1000</x:f>
        <x:v>1892</x:v>
      </x:c>
      <x:c r="Y331" s="6" t="n">
        <x:f>Q331*'固定基底'!$B$4/1000</x:f>
        <x:v>50.0248</x:v>
      </x:c>
      <x:c r="Z331" s="6" t="n">
        <x:f>R331*'固定基底'!$B$4/1000</x:f>
        <x:v>942</x:v>
      </x:c>
      <x:c r="AA331" s="2" t="n">
        <x:f>'固定基底'!$C$7</x:f>
        <x:v>92796.92267241378</x:v>
      </x:c>
      <x:c r="AB331" s="2" t="n">
        <x:f>'固定基底'!$C$8</x:f>
        <x:v>104175.5097553192</x:v>
      </x:c>
      <x:c r="AC331" s="2" t="n">
        <x:f>'固定基底'!$E$7</x:f>
        <x:v>1855.9384534482756</x:v>
      </x:c>
      <x:c r="AD331" s="2" t="n">
        <x:f>'固定基底'!$E$8</x:f>
        <x:v>2083.510195106384</x:v>
      </x:c>
    </x:row>
    <x:row r="332" ht="25" customHeight="1">
      <x:c r="A332" s="5" t="str">
        <x:v>G13-17</x:v>
      </x:c>
      <x:c r="B332" s="5" t="str">
        <x:v>G13</x:v>
      </x:c>
      <x:c r="C332" s="5" t="str">
        <x:v>2^4全因子</x:v>
      </x:c>
      <x:c r="D332" s="5" t="str">
        <x:v>拟合</x:v>
      </x:c>
      <x:c r="E332" s="5" t="str">
        <x:v>参考配方独立重复</x:v>
      </x:c>
      <x:c r="F332" s="5" t="str">
        <x:v>G13-01</x:v>
      </x:c>
      <x:c r="G332" s="5" t="str">
        <x:v>乙酸乙酯</x:v>
      </x:c>
      <x:c r="H332" s="5" t="str">
        <x:v>乙酸苯乙酯</x:v>
      </x:c>
      <x:c r="I332" s="5" t="str">
        <x:v>4-乙基苯酚</x:v>
      </x:c>
      <x:c r="J332" s="5" t="str">
        <x:v>乙酸丁酯</x:v>
      </x:c>
      <x:c r="K332" s="5" t="str">
        <x:v>M</x:v>
      </x:c>
      <x:c r="L332" s="5" t="str">
        <x:v>M</x:v>
      </x:c>
      <x:c r="M332" s="5" t="str">
        <x:v>M</x:v>
      </x:c>
      <x:c r="N332" s="5" t="str">
        <x:v>M</x:v>
      </x:c>
      <x:c r="O332" s="6" t="n">
        <x:f>'浓度水平'!G35</x:f>
        <x:v>11154</x:v>
      </x:c>
      <x:c r="P332" s="6" t="n">
        <x:f>'浓度水平'!G15</x:f>
        <x:v>290</x:v>
      </x:c>
      <x:c r="Q332" s="6" t="n">
        <x:f>'浓度水平'!G29</x:f>
        <x:v>73.175</x:v>
      </x:c>
      <x:c r="R332" s="6" t="n">
        <x:f>'浓度水平'!G32</x:f>
        <x:v>3147.945</x:v>
      </x:c>
      <x:c r="S332" s="6" t="n">
        <x:f>O332/'浓度水平'!E35</x:f>
        <x:v>0.3426517571884984</x:v>
      </x:c>
      <x:c r="T332" s="6" t="n">
        <x:f>P332/'浓度水平'!E15</x:f>
        <x:v>0.31903190319031904</x:v>
      </x:c>
      <x:c r="U332" s="6" t="n">
        <x:f>Q332/'浓度水平'!E29</x:f>
        <x:v>0.5949186991869918</x:v>
      </x:c>
      <x:c r="V332" s="6" t="n">
        <x:f>R332/'浓度水平'!E32</x:f>
        <x:v>1.7488583333333334</x:v>
      </x:c>
      <x:c r="W332" s="6" t="n">
        <x:f>O332*'固定基底'!$B$4/1000</x:f>
        <x:v>223.08</x:v>
      </x:c>
      <x:c r="X332" s="6" t="n">
        <x:f>P332*'固定基底'!$B$4/1000</x:f>
        <x:v>5.8</x:v>
      </x:c>
      <x:c r="Y332" s="6" t="n">
        <x:f>Q332*'固定基底'!$B$4/1000</x:f>
        <x:v>1.4635</x:v>
      </x:c>
      <x:c r="Z332" s="6" t="n">
        <x:f>R332*'固定基底'!$B$4/1000</x:f>
        <x:v>62.9589</x:v>
      </x:c>
      <x:c r="AA332" s="2" t="n">
        <x:f>'固定基底'!$C$7</x:f>
        <x:v>92796.92267241378</x:v>
      </x:c>
      <x:c r="AB332" s="2" t="n">
        <x:f>'固定基底'!$C$8</x:f>
        <x:v>104175.5097553192</x:v>
      </x:c>
      <x:c r="AC332" s="2" t="n">
        <x:f>'固定基底'!$E$7</x:f>
        <x:v>1855.9384534482756</x:v>
      </x:c>
      <x:c r="AD332" s="2" t="n">
        <x:f>'固定基底'!$E$8</x:f>
        <x:v>2083.510195106384</x:v>
      </x:c>
    </x:row>
    <x:row r="333" ht="25" customHeight="1">
      <x:c r="A333" s="5" t="str">
        <x:v>G13-18</x:v>
      </x:c>
      <x:c r="B333" s="5" t="str">
        <x:v>G13</x:v>
      </x:c>
      <x:c r="C333" s="5" t="str">
        <x:v>2^4全因子</x:v>
      </x:c>
      <x:c r="D333" s="5" t="str">
        <x:v>拟合</x:v>
      </x:c>
      <x:c r="E333" s="5" t="str">
        <x:v>参考配方独立重复</x:v>
      </x:c>
      <x:c r="F333" s="5" t="str">
        <x:v>G13-16</x:v>
      </x:c>
      <x:c r="G333" s="5" t="str">
        <x:v>乙酸乙酯</x:v>
      </x:c>
      <x:c r="H333" s="5" t="str">
        <x:v>乙酸苯乙酯</x:v>
      </x:c>
      <x:c r="I333" s="5" t="str">
        <x:v>4-乙基苯酚</x:v>
      </x:c>
      <x:c r="J333" s="5" t="str">
        <x:v>乙酸丁酯</x:v>
      </x:c>
      <x:c r="K333" s="5" t="str">
        <x:v>H</x:v>
      </x:c>
      <x:c r="L333" s="5" t="str">
        <x:v>H</x:v>
      </x:c>
      <x:c r="M333" s="5" t="str">
        <x:v>H</x:v>
      </x:c>
      <x:c r="N333" s="5" t="str">
        <x:v>H</x:v>
      </x:c>
      <x:c r="O333" s="6" t="n">
        <x:f>'浓度水平'!H35</x:f>
        <x:v>4021850</x:v>
      </x:c>
      <x:c r="P333" s="6" t="n">
        <x:f>'浓度水平'!H15</x:f>
        <x:v>94600</x:v>
      </x:c>
      <x:c r="Q333" s="6" t="n">
        <x:f>'浓度水平'!H29</x:f>
        <x:v>2501.24</x:v>
      </x:c>
      <x:c r="R333" s="6" t="n">
        <x:f>'浓度水平'!H32</x:f>
        <x:v>47100</x:v>
      </x:c>
      <x:c r="S333" s="6" t="n">
        <x:f>O333/'浓度水平'!E35</x:f>
        <x:v>123.55154829196363</x:v>
      </x:c>
      <x:c r="T333" s="6" t="n">
        <x:f>P333/'浓度水平'!E15</x:f>
        <x:v>104.07040704070407</x:v>
      </x:c>
      <x:c r="U333" s="6" t="n">
        <x:f>Q333/'浓度水平'!E29</x:f>
        <x:v>20.335284552845525</x:v>
      </x:c>
      <x:c r="V333" s="6" t="n">
        <x:f>R333/'浓度水平'!E32</x:f>
        <x:v>26.166666666666668</x:v>
      </x:c>
      <x:c r="W333" s="6" t="n">
        <x:f>O333*'固定基底'!$B$4/1000</x:f>
        <x:v>80437</x:v>
      </x:c>
      <x:c r="X333" s="6" t="n">
        <x:f>P333*'固定基底'!$B$4/1000</x:f>
        <x:v>1892</x:v>
      </x:c>
      <x:c r="Y333" s="6" t="n">
        <x:f>Q333*'固定基底'!$B$4/1000</x:f>
        <x:v>50.0248</x:v>
      </x:c>
      <x:c r="Z333" s="6" t="n">
        <x:f>R333*'固定基底'!$B$4/1000</x:f>
        <x:v>942</x:v>
      </x:c>
      <x:c r="AA333" s="2" t="n">
        <x:f>'固定基底'!$C$7</x:f>
        <x:v>92796.92267241378</x:v>
      </x:c>
      <x:c r="AB333" s="2" t="n">
        <x:f>'固定基底'!$C$8</x:f>
        <x:v>104175.5097553192</x:v>
      </x:c>
      <x:c r="AC333" s="2" t="n">
        <x:f>'固定基底'!$E$7</x:f>
        <x:v>1855.9384534482756</x:v>
      </x:c>
      <x:c r="AD333" s="2" t="n">
        <x:f>'固定基底'!$E$8</x:f>
        <x:v>2083.510195106384</x:v>
      </x:c>
    </x:row>
    <x:row r="334" ht="25" customHeight="1">
      <x:c r="A334" s="5" t="str">
        <x:v>G14-01</x:v>
      </x:c>
      <x:c r="B334" s="5" t="str">
        <x:v>G14</x:v>
      </x:c>
      <x:c r="C334" s="5" t="str">
        <x:v>2^4全因子</x:v>
      </x:c>
      <x:c r="D334" s="5" t="str">
        <x:v>拟合</x:v>
      </x:c>
      <x:c r="E334" s="5" t="str">
        <x:v>全因子</x:v>
      </x:c>
      <x:c r="F334" s="5" t="str"/>
      <x:c r="G334" s="5" t="str">
        <x:v>丁酸异戊酯</x:v>
      </x:c>
      <x:c r="H334" s="5" t="str">
        <x:v>庚酸乙酯</x:v>
      </x:c>
      <x:c r="I334" s="5" t="str">
        <x:v>癸酸乙酯</x:v>
      </x:c>
      <x:c r="J334" s="5" t="str">
        <x:v>己酸丁酯</x:v>
      </x:c>
      <x:c r="K334" s="5" t="str">
        <x:v>M</x:v>
      </x:c>
      <x:c r="L334" s="5" t="str">
        <x:v>M</x:v>
      </x:c>
      <x:c r="M334" s="5" t="str">
        <x:v>M</x:v>
      </x:c>
      <x:c r="N334" s="5" t="str">
        <x:v>M</x:v>
      </x:c>
      <x:c r="O334" s="6" t="n">
        <x:f>'浓度水平'!G18</x:f>
        <x:v>1041.8500000000001</x:v>
      </x:c>
      <x:c r="P334" s="6" t="n">
        <x:f>'浓度水平'!G19</x:f>
        <x:v>1210</x:v>
      </x:c>
      <x:c r="Q334" s="6" t="n">
        <x:f>'浓度水平'!G25</x:f>
        <x:v>1288.255</x:v>
      </x:c>
      <x:c r="R334" s="6" t="n">
        <x:f>'浓度水平'!G40</x:f>
        <x:v>823.735</x:v>
      </x:c>
      <x:c r="S334" s="6" t="n">
        <x:f>O334/'浓度水平'!E18</x:f>
        <x:v>1.1386338797814208</x:v>
      </x:c>
      <x:c r="T334" s="6" t="n">
        <x:f>P334/'浓度水平'!E19</x:f>
        <x:v>0.0919942218505284</x:v>
      </x:c>
      <x:c r="U334" s="6" t="n">
        <x:f>Q334/'浓度水平'!E25</x:f>
        <x:v>1.1502276785714287</x:v>
      </x:c>
      <x:c r="V334" s="6" t="n">
        <x:f>R334/'浓度水平'!E40</x:f>
        <x:v>1.2152351587395256</x:v>
      </x:c>
      <x:c r="W334" s="6" t="n">
        <x:f>O334*'固定基底'!$B$4/1000</x:f>
        <x:v>20.837000000000003</x:v>
      </x:c>
      <x:c r="X334" s="6" t="n">
        <x:f>P334*'固定基底'!$B$4/1000</x:f>
        <x:v>24.2</x:v>
      </x:c>
      <x:c r="Y334" s="6" t="n">
        <x:f>Q334*'固定基底'!$B$4/1000</x:f>
        <x:v>25.765100000000004</x:v>
      </x:c>
      <x:c r="Z334" s="6" t="n">
        <x:f>R334*'固定基底'!$B$4/1000</x:f>
        <x:v>16.474700000000002</x:v>
      </x:c>
      <x:c r="AA334" s="2" t="n">
        <x:f>'固定基底'!$C$7</x:f>
        <x:v>92796.92267241378</x:v>
      </x:c>
      <x:c r="AB334" s="2" t="n">
        <x:f>'固定基底'!$C$8</x:f>
        <x:v>104175.5097553192</x:v>
      </x:c>
      <x:c r="AC334" s="2" t="n">
        <x:f>'固定基底'!$E$7</x:f>
        <x:v>1855.9384534482756</x:v>
      </x:c>
      <x:c r="AD334" s="2" t="n">
        <x:f>'固定基底'!$E$8</x:f>
        <x:v>2083.510195106384</x:v>
      </x:c>
    </x:row>
    <x:row r="335" ht="25" customHeight="1">
      <x:c r="A335" s="5" t="str">
        <x:v>G14-02</x:v>
      </x:c>
      <x:c r="B335" s="5" t="str">
        <x:v>G14</x:v>
      </x:c>
      <x:c r="C335" s="5" t="str">
        <x:v>2^4全因子</x:v>
      </x:c>
      <x:c r="D335" s="5" t="str">
        <x:v>拟合</x:v>
      </x:c>
      <x:c r="E335" s="5" t="str">
        <x:v>全因子</x:v>
      </x:c>
      <x:c r="F335" s="5" t="str"/>
      <x:c r="G335" s="5" t="str">
        <x:v>丁酸异戊酯</x:v>
      </x:c>
      <x:c r="H335" s="5" t="str">
        <x:v>庚酸乙酯</x:v>
      </x:c>
      <x:c r="I335" s="5" t="str">
        <x:v>癸酸乙酯</x:v>
      </x:c>
      <x:c r="J335" s="5" t="str">
        <x:v>己酸丁酯</x:v>
      </x:c>
      <x:c r="K335" s="5" t="str">
        <x:v>M</x:v>
      </x:c>
      <x:c r="L335" s="5" t="str">
        <x:v>M</x:v>
      </x:c>
      <x:c r="M335" s="5" t="str">
        <x:v>M</x:v>
      </x:c>
      <x:c r="N335" s="5" t="str">
        <x:v>H</x:v>
      </x:c>
      <x:c r="O335" s="6" t="n">
        <x:f>'浓度水平'!G18</x:f>
        <x:v>1041.8500000000001</x:v>
      </x:c>
      <x:c r="P335" s="6" t="n">
        <x:f>'浓度水平'!G19</x:f>
        <x:v>1210</x:v>
      </x:c>
      <x:c r="Q335" s="6" t="n">
        <x:f>'浓度水平'!G25</x:f>
        <x:v>1288.255</x:v>
      </x:c>
      <x:c r="R335" s="6" t="n">
        <x:f>'浓度水平'!H40</x:f>
        <x:v>86300</x:v>
      </x:c>
      <x:c r="S335" s="6" t="n">
        <x:f>O335/'浓度水平'!E18</x:f>
        <x:v>1.1386338797814208</x:v>
      </x:c>
      <x:c r="T335" s="6" t="n">
        <x:f>P335/'浓度水平'!E19</x:f>
        <x:v>0.0919942218505284</x:v>
      </x:c>
      <x:c r="U335" s="6" t="n">
        <x:f>Q335/'浓度水平'!E25</x:f>
        <x:v>1.1502276785714287</x:v>
      </x:c>
      <x:c r="V335" s="6" t="n">
        <x:f>R335/'浓度水平'!E40</x:f>
        <x:v>127.31618080963058</x:v>
      </x:c>
      <x:c r="W335" s="6" t="n">
        <x:f>O335*'固定基底'!$B$4/1000</x:f>
        <x:v>20.837000000000003</x:v>
      </x:c>
      <x:c r="X335" s="6" t="n">
        <x:f>P335*'固定基底'!$B$4/1000</x:f>
        <x:v>24.2</x:v>
      </x:c>
      <x:c r="Y335" s="6" t="n">
        <x:f>Q335*'固定基底'!$B$4/1000</x:f>
        <x:v>25.765100000000004</x:v>
      </x:c>
      <x:c r="Z335" s="6" t="n">
        <x:f>R335*'固定基底'!$B$4/1000</x:f>
        <x:v>1726</x:v>
      </x:c>
      <x:c r="AA335" s="2" t="n">
        <x:f>'固定基底'!$C$7</x:f>
        <x:v>92796.92267241378</x:v>
      </x:c>
      <x:c r="AB335" s="2" t="n">
        <x:f>'固定基底'!$C$8</x:f>
        <x:v>104175.5097553192</x:v>
      </x:c>
      <x:c r="AC335" s="2" t="n">
        <x:f>'固定基底'!$E$7</x:f>
        <x:v>1855.9384534482756</x:v>
      </x:c>
      <x:c r="AD335" s="2" t="n">
        <x:f>'固定基底'!$E$8</x:f>
        <x:v>2083.510195106384</x:v>
      </x:c>
    </x:row>
    <x:row r="336" ht="25" customHeight="1">
      <x:c r="A336" s="5" t="str">
        <x:v>G14-03</x:v>
      </x:c>
      <x:c r="B336" s="5" t="str">
        <x:v>G14</x:v>
      </x:c>
      <x:c r="C336" s="5" t="str">
        <x:v>2^4全因子</x:v>
      </x:c>
      <x:c r="D336" s="5" t="str">
        <x:v>拟合</x:v>
      </x:c>
      <x:c r="E336" s="5" t="str">
        <x:v>全因子</x:v>
      </x:c>
      <x:c r="F336" s="5" t="str"/>
      <x:c r="G336" s="5" t="str">
        <x:v>丁酸异戊酯</x:v>
      </x:c>
      <x:c r="H336" s="5" t="str">
        <x:v>庚酸乙酯</x:v>
      </x:c>
      <x:c r="I336" s="5" t="str">
        <x:v>癸酸乙酯</x:v>
      </x:c>
      <x:c r="J336" s="5" t="str">
        <x:v>己酸丁酯</x:v>
      </x:c>
      <x:c r="K336" s="5" t="str">
        <x:v>M</x:v>
      </x:c>
      <x:c r="L336" s="5" t="str">
        <x:v>M</x:v>
      </x:c>
      <x:c r="M336" s="5" t="str">
        <x:v>H</x:v>
      </x:c>
      <x:c r="N336" s="5" t="str">
        <x:v>M</x:v>
      </x:c>
      <x:c r="O336" s="6" t="n">
        <x:f>'浓度水平'!G18</x:f>
        <x:v>1041.8500000000001</x:v>
      </x:c>
      <x:c r="P336" s="6" t="n">
        <x:f>'浓度水平'!G19</x:f>
        <x:v>1210</x:v>
      </x:c>
      <x:c r="Q336" s="6" t="n">
        <x:f>'浓度水平'!H25</x:f>
        <x:v>56115</x:v>
      </x:c>
      <x:c r="R336" s="6" t="n">
        <x:f>'浓度水平'!G40</x:f>
        <x:v>823.735</x:v>
      </x:c>
      <x:c r="S336" s="6" t="n">
        <x:f>O336/'浓度水平'!E18</x:f>
        <x:v>1.1386338797814208</x:v>
      </x:c>
      <x:c r="T336" s="6" t="n">
        <x:f>P336/'浓度水平'!E19</x:f>
        <x:v>0.0919942218505284</x:v>
      </x:c>
      <x:c r="U336" s="6" t="n">
        <x:f>Q336/'浓度水平'!E25</x:f>
        <x:v>50.10267857142857</x:v>
      </x:c>
      <x:c r="V336" s="6" t="n">
        <x:f>R336/'浓度水平'!E40</x:f>
        <x:v>1.2152351587395256</x:v>
      </x:c>
      <x:c r="W336" s="6" t="n">
        <x:f>O336*'固定基底'!$B$4/1000</x:f>
        <x:v>20.837000000000003</x:v>
      </x:c>
      <x:c r="X336" s="6" t="n">
        <x:f>P336*'固定基底'!$B$4/1000</x:f>
        <x:v>24.2</x:v>
      </x:c>
      <x:c r="Y336" s="6" t="n">
        <x:f>Q336*'固定基底'!$B$4/1000</x:f>
        <x:v>1122.3</x:v>
      </x:c>
      <x:c r="Z336" s="6" t="n">
        <x:f>R336*'固定基底'!$B$4/1000</x:f>
        <x:v>16.474700000000002</x:v>
      </x:c>
      <x:c r="AA336" s="2" t="n">
        <x:f>'固定基底'!$C$7</x:f>
        <x:v>92796.92267241378</x:v>
      </x:c>
      <x:c r="AB336" s="2" t="n">
        <x:f>'固定基底'!$C$8</x:f>
        <x:v>104175.5097553192</x:v>
      </x:c>
      <x:c r="AC336" s="2" t="n">
        <x:f>'固定基底'!$E$7</x:f>
        <x:v>1855.9384534482756</x:v>
      </x:c>
      <x:c r="AD336" s="2" t="n">
        <x:f>'固定基底'!$E$8</x:f>
        <x:v>2083.510195106384</x:v>
      </x:c>
    </x:row>
    <x:row r="337" ht="25" customHeight="1">
      <x:c r="A337" s="5" t="str">
        <x:v>G14-04</x:v>
      </x:c>
      <x:c r="B337" s="5" t="str">
        <x:v>G14</x:v>
      </x:c>
      <x:c r="C337" s="5" t="str">
        <x:v>2^4全因子</x:v>
      </x:c>
      <x:c r="D337" s="5" t="str">
        <x:v>拟合</x:v>
      </x:c>
      <x:c r="E337" s="5" t="str">
        <x:v>全因子</x:v>
      </x:c>
      <x:c r="F337" s="5" t="str"/>
      <x:c r="G337" s="5" t="str">
        <x:v>丁酸异戊酯</x:v>
      </x:c>
      <x:c r="H337" s="5" t="str">
        <x:v>庚酸乙酯</x:v>
      </x:c>
      <x:c r="I337" s="5" t="str">
        <x:v>癸酸乙酯</x:v>
      </x:c>
      <x:c r="J337" s="5" t="str">
        <x:v>己酸丁酯</x:v>
      </x:c>
      <x:c r="K337" s="5" t="str">
        <x:v>M</x:v>
      </x:c>
      <x:c r="L337" s="5" t="str">
        <x:v>M</x:v>
      </x:c>
      <x:c r="M337" s="5" t="str">
        <x:v>H</x:v>
      </x:c>
      <x:c r="N337" s="5" t="str">
        <x:v>H</x:v>
      </x:c>
      <x:c r="O337" s="6" t="n">
        <x:f>'浓度水平'!G18</x:f>
        <x:v>1041.8500000000001</x:v>
      </x:c>
      <x:c r="P337" s="6" t="n">
        <x:f>'浓度水平'!G19</x:f>
        <x:v>1210</x:v>
      </x:c>
      <x:c r="Q337" s="6" t="n">
        <x:f>'浓度水平'!H25</x:f>
        <x:v>56115</x:v>
      </x:c>
      <x:c r="R337" s="6" t="n">
        <x:f>'浓度水平'!H40</x:f>
        <x:v>86300</x:v>
      </x:c>
      <x:c r="S337" s="6" t="n">
        <x:f>O337/'浓度水平'!E18</x:f>
        <x:v>1.1386338797814208</x:v>
      </x:c>
      <x:c r="T337" s="6" t="n">
        <x:f>P337/'浓度水平'!E19</x:f>
        <x:v>0.0919942218505284</x:v>
      </x:c>
      <x:c r="U337" s="6" t="n">
        <x:f>Q337/'浓度水平'!E25</x:f>
        <x:v>50.10267857142857</x:v>
      </x:c>
      <x:c r="V337" s="6" t="n">
        <x:f>R337/'浓度水平'!E40</x:f>
        <x:v>127.31618080963058</x:v>
      </x:c>
      <x:c r="W337" s="6" t="n">
        <x:f>O337*'固定基底'!$B$4/1000</x:f>
        <x:v>20.837000000000003</x:v>
      </x:c>
      <x:c r="X337" s="6" t="n">
        <x:f>P337*'固定基底'!$B$4/1000</x:f>
        <x:v>24.2</x:v>
      </x:c>
      <x:c r="Y337" s="6" t="n">
        <x:f>Q337*'固定基底'!$B$4/1000</x:f>
        <x:v>1122.3</x:v>
      </x:c>
      <x:c r="Z337" s="6" t="n">
        <x:f>R337*'固定基底'!$B$4/1000</x:f>
        <x:v>1726</x:v>
      </x:c>
      <x:c r="AA337" s="2" t="n">
        <x:f>'固定基底'!$C$7</x:f>
        <x:v>92796.92267241378</x:v>
      </x:c>
      <x:c r="AB337" s="2" t="n">
        <x:f>'固定基底'!$C$8</x:f>
        <x:v>104175.5097553192</x:v>
      </x:c>
      <x:c r="AC337" s="2" t="n">
        <x:f>'固定基底'!$E$7</x:f>
        <x:v>1855.9384534482756</x:v>
      </x:c>
      <x:c r="AD337" s="2" t="n">
        <x:f>'固定基底'!$E$8</x:f>
        <x:v>2083.510195106384</x:v>
      </x:c>
    </x:row>
    <x:row r="338" ht="25" customHeight="1">
      <x:c r="A338" s="5" t="str">
        <x:v>G14-05</x:v>
      </x:c>
      <x:c r="B338" s="5" t="str">
        <x:v>G14</x:v>
      </x:c>
      <x:c r="C338" s="5" t="str">
        <x:v>2^4全因子</x:v>
      </x:c>
      <x:c r="D338" s="5" t="str">
        <x:v>拟合</x:v>
      </x:c>
      <x:c r="E338" s="5" t="str">
        <x:v>全因子</x:v>
      </x:c>
      <x:c r="F338" s="5" t="str"/>
      <x:c r="G338" s="5" t="str">
        <x:v>丁酸异戊酯</x:v>
      </x:c>
      <x:c r="H338" s="5" t="str">
        <x:v>庚酸乙酯</x:v>
      </x:c>
      <x:c r="I338" s="5" t="str">
        <x:v>癸酸乙酯</x:v>
      </x:c>
      <x:c r="J338" s="5" t="str">
        <x:v>己酸丁酯</x:v>
      </x:c>
      <x:c r="K338" s="5" t="str">
        <x:v>M</x:v>
      </x:c>
      <x:c r="L338" s="5" t="str">
        <x:v>H</x:v>
      </x:c>
      <x:c r="M338" s="5" t="str">
        <x:v>M</x:v>
      </x:c>
      <x:c r="N338" s="5" t="str">
        <x:v>M</x:v>
      </x:c>
      <x:c r="O338" s="6" t="n">
        <x:f>'浓度水平'!G18</x:f>
        <x:v>1041.8500000000001</x:v>
      </x:c>
      <x:c r="P338" s="6" t="n">
        <x:f>'浓度水平'!H19</x:f>
        <x:v>348671</x:v>
      </x:c>
      <x:c r="Q338" s="6" t="n">
        <x:f>'浓度水平'!G25</x:f>
        <x:v>1288.255</x:v>
      </x:c>
      <x:c r="R338" s="6" t="n">
        <x:f>'浓度水平'!G40</x:f>
        <x:v>823.735</x:v>
      </x:c>
      <x:c r="S338" s="6" t="n">
        <x:f>O338/'浓度水平'!E18</x:f>
        <x:v>1.1386338797814208</x:v>
      </x:c>
      <x:c r="T338" s="6" t="n">
        <x:f>P338/'浓度水平'!E19</x:f>
        <x:v>26.508857294913707</x:v>
      </x:c>
      <x:c r="U338" s="6" t="n">
        <x:f>Q338/'浓度水平'!E25</x:f>
        <x:v>1.1502276785714287</x:v>
      </x:c>
      <x:c r="V338" s="6" t="n">
        <x:f>R338/'浓度水平'!E40</x:f>
        <x:v>1.2152351587395256</x:v>
      </x:c>
      <x:c r="W338" s="6" t="n">
        <x:f>O338*'固定基底'!$B$4/1000</x:f>
        <x:v>20.837000000000003</x:v>
      </x:c>
      <x:c r="X338" s="6" t="n">
        <x:f>P338*'固定基底'!$B$4/1000</x:f>
        <x:v>6973.42</x:v>
      </x:c>
      <x:c r="Y338" s="6" t="n">
        <x:f>Q338*'固定基底'!$B$4/1000</x:f>
        <x:v>25.765100000000004</x:v>
      </x:c>
      <x:c r="Z338" s="6" t="n">
        <x:f>R338*'固定基底'!$B$4/1000</x:f>
        <x:v>16.474700000000002</x:v>
      </x:c>
      <x:c r="AA338" s="2" t="n">
        <x:f>'固定基底'!$C$7</x:f>
        <x:v>92796.92267241378</x:v>
      </x:c>
      <x:c r="AB338" s="2" t="n">
        <x:f>'固定基底'!$C$8</x:f>
        <x:v>104175.5097553192</x:v>
      </x:c>
      <x:c r="AC338" s="2" t="n">
        <x:f>'固定基底'!$E$7</x:f>
        <x:v>1855.9384534482756</x:v>
      </x:c>
      <x:c r="AD338" s="2" t="n">
        <x:f>'固定基底'!$E$8</x:f>
        <x:v>2083.510195106384</x:v>
      </x:c>
    </x:row>
    <x:row r="339" ht="25" customHeight="1">
      <x:c r="A339" s="5" t="str">
        <x:v>G14-06</x:v>
      </x:c>
      <x:c r="B339" s="5" t="str">
        <x:v>G14</x:v>
      </x:c>
      <x:c r="C339" s="5" t="str">
        <x:v>2^4全因子</x:v>
      </x:c>
      <x:c r="D339" s="5" t="str">
        <x:v>拟合</x:v>
      </x:c>
      <x:c r="E339" s="5" t="str">
        <x:v>全因子</x:v>
      </x:c>
      <x:c r="F339" s="5" t="str"/>
      <x:c r="G339" s="5" t="str">
        <x:v>丁酸异戊酯</x:v>
      </x:c>
      <x:c r="H339" s="5" t="str">
        <x:v>庚酸乙酯</x:v>
      </x:c>
      <x:c r="I339" s="5" t="str">
        <x:v>癸酸乙酯</x:v>
      </x:c>
      <x:c r="J339" s="5" t="str">
        <x:v>己酸丁酯</x:v>
      </x:c>
      <x:c r="K339" s="5" t="str">
        <x:v>M</x:v>
      </x:c>
      <x:c r="L339" s="5" t="str">
        <x:v>H</x:v>
      </x:c>
      <x:c r="M339" s="5" t="str">
        <x:v>M</x:v>
      </x:c>
      <x:c r="N339" s="5" t="str">
        <x:v>H</x:v>
      </x:c>
      <x:c r="O339" s="6" t="n">
        <x:f>'浓度水平'!G18</x:f>
        <x:v>1041.8500000000001</x:v>
      </x:c>
      <x:c r="P339" s="6" t="n">
        <x:f>'浓度水平'!H19</x:f>
        <x:v>348671</x:v>
      </x:c>
      <x:c r="Q339" s="6" t="n">
        <x:f>'浓度水平'!G25</x:f>
        <x:v>1288.255</x:v>
      </x:c>
      <x:c r="R339" s="6" t="n">
        <x:f>'浓度水平'!H40</x:f>
        <x:v>86300</x:v>
      </x:c>
      <x:c r="S339" s="6" t="n">
        <x:f>O339/'浓度水平'!E18</x:f>
        <x:v>1.1386338797814208</x:v>
      </x:c>
      <x:c r="T339" s="6" t="n">
        <x:f>P339/'浓度水平'!E19</x:f>
        <x:v>26.508857294913707</x:v>
      </x:c>
      <x:c r="U339" s="6" t="n">
        <x:f>Q339/'浓度水平'!E25</x:f>
        <x:v>1.1502276785714287</x:v>
      </x:c>
      <x:c r="V339" s="6" t="n">
        <x:f>R339/'浓度水平'!E40</x:f>
        <x:v>127.31618080963058</x:v>
      </x:c>
      <x:c r="W339" s="6" t="n">
        <x:f>O339*'固定基底'!$B$4/1000</x:f>
        <x:v>20.837000000000003</x:v>
      </x:c>
      <x:c r="X339" s="6" t="n">
        <x:f>P339*'固定基底'!$B$4/1000</x:f>
        <x:v>6973.42</x:v>
      </x:c>
      <x:c r="Y339" s="6" t="n">
        <x:f>Q339*'固定基底'!$B$4/1000</x:f>
        <x:v>25.765100000000004</x:v>
      </x:c>
      <x:c r="Z339" s="6" t="n">
        <x:f>R339*'固定基底'!$B$4/1000</x:f>
        <x:v>1726</x:v>
      </x:c>
      <x:c r="AA339" s="2" t="n">
        <x:f>'固定基底'!$C$7</x:f>
        <x:v>92796.92267241378</x:v>
      </x:c>
      <x:c r="AB339" s="2" t="n">
        <x:f>'固定基底'!$C$8</x:f>
        <x:v>104175.5097553192</x:v>
      </x:c>
      <x:c r="AC339" s="2" t="n">
        <x:f>'固定基底'!$E$7</x:f>
        <x:v>1855.9384534482756</x:v>
      </x:c>
      <x:c r="AD339" s="2" t="n">
        <x:f>'固定基底'!$E$8</x:f>
        <x:v>2083.510195106384</x:v>
      </x:c>
    </x:row>
    <x:row r="340" ht="25" customHeight="1">
      <x:c r="A340" s="5" t="str">
        <x:v>G14-07</x:v>
      </x:c>
      <x:c r="B340" s="5" t="str">
        <x:v>G14</x:v>
      </x:c>
      <x:c r="C340" s="5" t="str">
        <x:v>2^4全因子</x:v>
      </x:c>
      <x:c r="D340" s="5" t="str">
        <x:v>拟合</x:v>
      </x:c>
      <x:c r="E340" s="5" t="str">
        <x:v>全因子</x:v>
      </x:c>
      <x:c r="F340" s="5" t="str"/>
      <x:c r="G340" s="5" t="str">
        <x:v>丁酸异戊酯</x:v>
      </x:c>
      <x:c r="H340" s="5" t="str">
        <x:v>庚酸乙酯</x:v>
      </x:c>
      <x:c r="I340" s="5" t="str">
        <x:v>癸酸乙酯</x:v>
      </x:c>
      <x:c r="J340" s="5" t="str">
        <x:v>己酸丁酯</x:v>
      </x:c>
      <x:c r="K340" s="5" t="str">
        <x:v>M</x:v>
      </x:c>
      <x:c r="L340" s="5" t="str">
        <x:v>H</x:v>
      </x:c>
      <x:c r="M340" s="5" t="str">
        <x:v>H</x:v>
      </x:c>
      <x:c r="N340" s="5" t="str">
        <x:v>M</x:v>
      </x:c>
      <x:c r="O340" s="6" t="n">
        <x:f>'浓度水平'!G18</x:f>
        <x:v>1041.8500000000001</x:v>
      </x:c>
      <x:c r="P340" s="6" t="n">
        <x:f>'浓度水平'!H19</x:f>
        <x:v>348671</x:v>
      </x:c>
      <x:c r="Q340" s="6" t="n">
        <x:f>'浓度水平'!H25</x:f>
        <x:v>56115</x:v>
      </x:c>
      <x:c r="R340" s="6" t="n">
        <x:f>'浓度水平'!G40</x:f>
        <x:v>823.735</x:v>
      </x:c>
      <x:c r="S340" s="6" t="n">
        <x:f>O340/'浓度水平'!E18</x:f>
        <x:v>1.1386338797814208</x:v>
      </x:c>
      <x:c r="T340" s="6" t="n">
        <x:f>P340/'浓度水平'!E19</x:f>
        <x:v>26.508857294913707</x:v>
      </x:c>
      <x:c r="U340" s="6" t="n">
        <x:f>Q340/'浓度水平'!E25</x:f>
        <x:v>50.10267857142857</x:v>
      </x:c>
      <x:c r="V340" s="6" t="n">
        <x:f>R340/'浓度水平'!E40</x:f>
        <x:v>1.2152351587395256</x:v>
      </x:c>
      <x:c r="W340" s="6" t="n">
        <x:f>O340*'固定基底'!$B$4/1000</x:f>
        <x:v>20.837000000000003</x:v>
      </x:c>
      <x:c r="X340" s="6" t="n">
        <x:f>P340*'固定基底'!$B$4/1000</x:f>
        <x:v>6973.42</x:v>
      </x:c>
      <x:c r="Y340" s="6" t="n">
        <x:f>Q340*'固定基底'!$B$4/1000</x:f>
        <x:v>1122.3</x:v>
      </x:c>
      <x:c r="Z340" s="6" t="n">
        <x:f>R340*'固定基底'!$B$4/1000</x:f>
        <x:v>16.474700000000002</x:v>
      </x:c>
      <x:c r="AA340" s="2" t="n">
        <x:f>'固定基底'!$C$7</x:f>
        <x:v>92796.92267241378</x:v>
      </x:c>
      <x:c r="AB340" s="2" t="n">
        <x:f>'固定基底'!$C$8</x:f>
        <x:v>104175.5097553192</x:v>
      </x:c>
      <x:c r="AC340" s="2" t="n">
        <x:f>'固定基底'!$E$7</x:f>
        <x:v>1855.9384534482756</x:v>
      </x:c>
      <x:c r="AD340" s="2" t="n">
        <x:f>'固定基底'!$E$8</x:f>
        <x:v>2083.510195106384</x:v>
      </x:c>
    </x:row>
    <x:row r="341" ht="25" customHeight="1">
      <x:c r="A341" s="5" t="str">
        <x:v>G14-08</x:v>
      </x:c>
      <x:c r="B341" s="5" t="str">
        <x:v>G14</x:v>
      </x:c>
      <x:c r="C341" s="5" t="str">
        <x:v>2^4全因子</x:v>
      </x:c>
      <x:c r="D341" s="5" t="str">
        <x:v>拟合</x:v>
      </x:c>
      <x:c r="E341" s="5" t="str">
        <x:v>全因子</x:v>
      </x:c>
      <x:c r="F341" s="5" t="str"/>
      <x:c r="G341" s="5" t="str">
        <x:v>丁酸异戊酯</x:v>
      </x:c>
      <x:c r="H341" s="5" t="str">
        <x:v>庚酸乙酯</x:v>
      </x:c>
      <x:c r="I341" s="5" t="str">
        <x:v>癸酸乙酯</x:v>
      </x:c>
      <x:c r="J341" s="5" t="str">
        <x:v>己酸丁酯</x:v>
      </x:c>
      <x:c r="K341" s="5" t="str">
        <x:v>M</x:v>
      </x:c>
      <x:c r="L341" s="5" t="str">
        <x:v>H</x:v>
      </x:c>
      <x:c r="M341" s="5" t="str">
        <x:v>H</x:v>
      </x:c>
      <x:c r="N341" s="5" t="str">
        <x:v>H</x:v>
      </x:c>
      <x:c r="O341" s="6" t="n">
        <x:f>'浓度水平'!G18</x:f>
        <x:v>1041.8500000000001</x:v>
      </x:c>
      <x:c r="P341" s="6" t="n">
        <x:f>'浓度水平'!H19</x:f>
        <x:v>348671</x:v>
      </x:c>
      <x:c r="Q341" s="6" t="n">
        <x:f>'浓度水平'!H25</x:f>
        <x:v>56115</x:v>
      </x:c>
      <x:c r="R341" s="6" t="n">
        <x:f>'浓度水平'!H40</x:f>
        <x:v>86300</x:v>
      </x:c>
      <x:c r="S341" s="6" t="n">
        <x:f>O341/'浓度水平'!E18</x:f>
        <x:v>1.1386338797814208</x:v>
      </x:c>
      <x:c r="T341" s="6" t="n">
        <x:f>P341/'浓度水平'!E19</x:f>
        <x:v>26.508857294913707</x:v>
      </x:c>
      <x:c r="U341" s="6" t="n">
        <x:f>Q341/'浓度水平'!E25</x:f>
        <x:v>50.10267857142857</x:v>
      </x:c>
      <x:c r="V341" s="6" t="n">
        <x:f>R341/'浓度水平'!E40</x:f>
        <x:v>127.31618080963058</x:v>
      </x:c>
      <x:c r="W341" s="6" t="n">
        <x:f>O341*'固定基底'!$B$4/1000</x:f>
        <x:v>20.837000000000003</x:v>
      </x:c>
      <x:c r="X341" s="6" t="n">
        <x:f>P341*'固定基底'!$B$4/1000</x:f>
        <x:v>6973.42</x:v>
      </x:c>
      <x:c r="Y341" s="6" t="n">
        <x:f>Q341*'固定基底'!$B$4/1000</x:f>
        <x:v>1122.3</x:v>
      </x:c>
      <x:c r="Z341" s="6" t="n">
        <x:f>R341*'固定基底'!$B$4/1000</x:f>
        <x:v>1726</x:v>
      </x:c>
      <x:c r="AA341" s="2" t="n">
        <x:f>'固定基底'!$C$7</x:f>
        <x:v>92796.92267241378</x:v>
      </x:c>
      <x:c r="AB341" s="2" t="n">
        <x:f>'固定基底'!$C$8</x:f>
        <x:v>104175.5097553192</x:v>
      </x:c>
      <x:c r="AC341" s="2" t="n">
        <x:f>'固定基底'!$E$7</x:f>
        <x:v>1855.9384534482756</x:v>
      </x:c>
      <x:c r="AD341" s="2" t="n">
        <x:f>'固定基底'!$E$8</x:f>
        <x:v>2083.510195106384</x:v>
      </x:c>
    </x:row>
    <x:row r="342" ht="25" customHeight="1">
      <x:c r="A342" s="5" t="str">
        <x:v>G14-09</x:v>
      </x:c>
      <x:c r="B342" s="5" t="str">
        <x:v>G14</x:v>
      </x:c>
      <x:c r="C342" s="5" t="str">
        <x:v>2^4全因子</x:v>
      </x:c>
      <x:c r="D342" s="5" t="str">
        <x:v>拟合</x:v>
      </x:c>
      <x:c r="E342" s="5" t="str">
        <x:v>全因子</x:v>
      </x:c>
      <x:c r="F342" s="5" t="str"/>
      <x:c r="G342" s="5" t="str">
        <x:v>丁酸异戊酯</x:v>
      </x:c>
      <x:c r="H342" s="5" t="str">
        <x:v>庚酸乙酯</x:v>
      </x:c>
      <x:c r="I342" s="5" t="str">
        <x:v>癸酸乙酯</x:v>
      </x:c>
      <x:c r="J342" s="5" t="str">
        <x:v>己酸丁酯</x:v>
      </x:c>
      <x:c r="K342" s="5" t="str">
        <x:v>H</x:v>
      </x:c>
      <x:c r="L342" s="5" t="str">
        <x:v>M</x:v>
      </x:c>
      <x:c r="M342" s="5" t="str">
        <x:v>M</x:v>
      </x:c>
      <x:c r="N342" s="5" t="str">
        <x:v>M</x:v>
      </x:c>
      <x:c r="O342" s="6" t="n">
        <x:f>'浓度水平'!H18</x:f>
        <x:v>4105</x:v>
      </x:c>
      <x:c r="P342" s="6" t="n">
        <x:f>'浓度水平'!G19</x:f>
        <x:v>1210</x:v>
      </x:c>
      <x:c r="Q342" s="6" t="n">
        <x:f>'浓度水平'!G25</x:f>
        <x:v>1288.255</x:v>
      </x:c>
      <x:c r="R342" s="6" t="n">
        <x:f>'浓度水平'!G40</x:f>
        <x:v>823.735</x:v>
      </x:c>
      <x:c r="S342" s="6" t="n">
        <x:f>O342/'浓度水平'!E18</x:f>
        <x:v>4.4863387978142075</x:v>
      </x:c>
      <x:c r="T342" s="6" t="n">
        <x:f>P342/'浓度水平'!E19</x:f>
        <x:v>0.0919942218505284</x:v>
      </x:c>
      <x:c r="U342" s="6" t="n">
        <x:f>Q342/'浓度水平'!E25</x:f>
        <x:v>1.1502276785714287</x:v>
      </x:c>
      <x:c r="V342" s="6" t="n">
        <x:f>R342/'浓度水平'!E40</x:f>
        <x:v>1.2152351587395256</x:v>
      </x:c>
      <x:c r="W342" s="6" t="n">
        <x:f>O342*'固定基底'!$B$4/1000</x:f>
        <x:v>82.1</x:v>
      </x:c>
      <x:c r="X342" s="6" t="n">
        <x:f>P342*'固定基底'!$B$4/1000</x:f>
        <x:v>24.2</x:v>
      </x:c>
      <x:c r="Y342" s="6" t="n">
        <x:f>Q342*'固定基底'!$B$4/1000</x:f>
        <x:v>25.765100000000004</x:v>
      </x:c>
      <x:c r="Z342" s="6" t="n">
        <x:f>R342*'固定基底'!$B$4/1000</x:f>
        <x:v>16.474700000000002</x:v>
      </x:c>
      <x:c r="AA342" s="2" t="n">
        <x:f>'固定基底'!$C$7</x:f>
        <x:v>92796.92267241378</x:v>
      </x:c>
      <x:c r="AB342" s="2" t="n">
        <x:f>'固定基底'!$C$8</x:f>
        <x:v>104175.5097553192</x:v>
      </x:c>
      <x:c r="AC342" s="2" t="n">
        <x:f>'固定基底'!$E$7</x:f>
        <x:v>1855.9384534482756</x:v>
      </x:c>
      <x:c r="AD342" s="2" t="n">
        <x:f>'固定基底'!$E$8</x:f>
        <x:v>2083.510195106384</x:v>
      </x:c>
    </x:row>
    <x:row r="343" ht="25" customHeight="1">
      <x:c r="A343" s="5" t="str">
        <x:v>G14-10</x:v>
      </x:c>
      <x:c r="B343" s="5" t="str">
        <x:v>G14</x:v>
      </x:c>
      <x:c r="C343" s="5" t="str">
        <x:v>2^4全因子</x:v>
      </x:c>
      <x:c r="D343" s="5" t="str">
        <x:v>拟合</x:v>
      </x:c>
      <x:c r="E343" s="5" t="str">
        <x:v>全因子</x:v>
      </x:c>
      <x:c r="F343" s="5" t="str"/>
      <x:c r="G343" s="5" t="str">
        <x:v>丁酸异戊酯</x:v>
      </x:c>
      <x:c r="H343" s="5" t="str">
        <x:v>庚酸乙酯</x:v>
      </x:c>
      <x:c r="I343" s="5" t="str">
        <x:v>癸酸乙酯</x:v>
      </x:c>
      <x:c r="J343" s="5" t="str">
        <x:v>己酸丁酯</x:v>
      </x:c>
      <x:c r="K343" s="5" t="str">
        <x:v>H</x:v>
      </x:c>
      <x:c r="L343" s="5" t="str">
        <x:v>M</x:v>
      </x:c>
      <x:c r="M343" s="5" t="str">
        <x:v>M</x:v>
      </x:c>
      <x:c r="N343" s="5" t="str">
        <x:v>H</x:v>
      </x:c>
      <x:c r="O343" s="6" t="n">
        <x:f>'浓度水平'!H18</x:f>
        <x:v>4105</x:v>
      </x:c>
      <x:c r="P343" s="6" t="n">
        <x:f>'浓度水平'!G19</x:f>
        <x:v>1210</x:v>
      </x:c>
      <x:c r="Q343" s="6" t="n">
        <x:f>'浓度水平'!G25</x:f>
        <x:v>1288.255</x:v>
      </x:c>
      <x:c r="R343" s="6" t="n">
        <x:f>'浓度水平'!H40</x:f>
        <x:v>86300</x:v>
      </x:c>
      <x:c r="S343" s="6" t="n">
        <x:f>O343/'浓度水平'!E18</x:f>
        <x:v>4.4863387978142075</x:v>
      </x:c>
      <x:c r="T343" s="6" t="n">
        <x:f>P343/'浓度水平'!E19</x:f>
        <x:v>0.0919942218505284</x:v>
      </x:c>
      <x:c r="U343" s="6" t="n">
        <x:f>Q343/'浓度水平'!E25</x:f>
        <x:v>1.1502276785714287</x:v>
      </x:c>
      <x:c r="V343" s="6" t="n">
        <x:f>R343/'浓度水平'!E40</x:f>
        <x:v>127.31618080963058</x:v>
      </x:c>
      <x:c r="W343" s="6" t="n">
        <x:f>O343*'固定基底'!$B$4/1000</x:f>
        <x:v>82.1</x:v>
      </x:c>
      <x:c r="X343" s="6" t="n">
        <x:f>P343*'固定基底'!$B$4/1000</x:f>
        <x:v>24.2</x:v>
      </x:c>
      <x:c r="Y343" s="6" t="n">
        <x:f>Q343*'固定基底'!$B$4/1000</x:f>
        <x:v>25.765100000000004</x:v>
      </x:c>
      <x:c r="Z343" s="6" t="n">
        <x:f>R343*'固定基底'!$B$4/1000</x:f>
        <x:v>1726</x:v>
      </x:c>
      <x:c r="AA343" s="2" t="n">
        <x:f>'固定基底'!$C$7</x:f>
        <x:v>92796.92267241378</x:v>
      </x:c>
      <x:c r="AB343" s="2" t="n">
        <x:f>'固定基底'!$C$8</x:f>
        <x:v>104175.5097553192</x:v>
      </x:c>
      <x:c r="AC343" s="2" t="n">
        <x:f>'固定基底'!$E$7</x:f>
        <x:v>1855.9384534482756</x:v>
      </x:c>
      <x:c r="AD343" s="2" t="n">
        <x:f>'固定基底'!$E$8</x:f>
        <x:v>2083.510195106384</x:v>
      </x:c>
    </x:row>
    <x:row r="344" ht="25" customHeight="1">
      <x:c r="A344" s="5" t="str">
        <x:v>G14-11</x:v>
      </x:c>
      <x:c r="B344" s="5" t="str">
        <x:v>G14</x:v>
      </x:c>
      <x:c r="C344" s="5" t="str">
        <x:v>2^4全因子</x:v>
      </x:c>
      <x:c r="D344" s="5" t="str">
        <x:v>拟合</x:v>
      </x:c>
      <x:c r="E344" s="5" t="str">
        <x:v>全因子</x:v>
      </x:c>
      <x:c r="F344" s="5" t="str"/>
      <x:c r="G344" s="5" t="str">
        <x:v>丁酸异戊酯</x:v>
      </x:c>
      <x:c r="H344" s="5" t="str">
        <x:v>庚酸乙酯</x:v>
      </x:c>
      <x:c r="I344" s="5" t="str">
        <x:v>癸酸乙酯</x:v>
      </x:c>
      <x:c r="J344" s="5" t="str">
        <x:v>己酸丁酯</x:v>
      </x:c>
      <x:c r="K344" s="5" t="str">
        <x:v>H</x:v>
      </x:c>
      <x:c r="L344" s="5" t="str">
        <x:v>M</x:v>
      </x:c>
      <x:c r="M344" s="5" t="str">
        <x:v>H</x:v>
      </x:c>
      <x:c r="N344" s="5" t="str">
        <x:v>M</x:v>
      </x:c>
      <x:c r="O344" s="6" t="n">
        <x:f>'浓度水平'!H18</x:f>
        <x:v>4105</x:v>
      </x:c>
      <x:c r="P344" s="6" t="n">
        <x:f>'浓度水平'!G19</x:f>
        <x:v>1210</x:v>
      </x:c>
      <x:c r="Q344" s="6" t="n">
        <x:f>'浓度水平'!H25</x:f>
        <x:v>56115</x:v>
      </x:c>
      <x:c r="R344" s="6" t="n">
        <x:f>'浓度水平'!G40</x:f>
        <x:v>823.735</x:v>
      </x:c>
      <x:c r="S344" s="6" t="n">
        <x:f>O344/'浓度水平'!E18</x:f>
        <x:v>4.4863387978142075</x:v>
      </x:c>
      <x:c r="T344" s="6" t="n">
        <x:f>P344/'浓度水平'!E19</x:f>
        <x:v>0.0919942218505284</x:v>
      </x:c>
      <x:c r="U344" s="6" t="n">
        <x:f>Q344/'浓度水平'!E25</x:f>
        <x:v>50.10267857142857</x:v>
      </x:c>
      <x:c r="V344" s="6" t="n">
        <x:f>R344/'浓度水平'!E40</x:f>
        <x:v>1.2152351587395256</x:v>
      </x:c>
      <x:c r="W344" s="6" t="n">
        <x:f>O344*'固定基底'!$B$4/1000</x:f>
        <x:v>82.1</x:v>
      </x:c>
      <x:c r="X344" s="6" t="n">
        <x:f>P344*'固定基底'!$B$4/1000</x:f>
        <x:v>24.2</x:v>
      </x:c>
      <x:c r="Y344" s="6" t="n">
        <x:f>Q344*'固定基底'!$B$4/1000</x:f>
        <x:v>1122.3</x:v>
      </x:c>
      <x:c r="Z344" s="6" t="n">
        <x:f>R344*'固定基底'!$B$4/1000</x:f>
        <x:v>16.474700000000002</x:v>
      </x:c>
      <x:c r="AA344" s="2" t="n">
        <x:f>'固定基底'!$C$7</x:f>
        <x:v>92796.92267241378</x:v>
      </x:c>
      <x:c r="AB344" s="2" t="n">
        <x:f>'固定基底'!$C$8</x:f>
        <x:v>104175.5097553192</x:v>
      </x:c>
      <x:c r="AC344" s="2" t="n">
        <x:f>'固定基底'!$E$7</x:f>
        <x:v>1855.9384534482756</x:v>
      </x:c>
      <x:c r="AD344" s="2" t="n">
        <x:f>'固定基底'!$E$8</x:f>
        <x:v>2083.510195106384</x:v>
      </x:c>
    </x:row>
    <x:row r="345" ht="25" customHeight="1">
      <x:c r="A345" s="5" t="str">
        <x:v>G14-12</x:v>
      </x:c>
      <x:c r="B345" s="5" t="str">
        <x:v>G14</x:v>
      </x:c>
      <x:c r="C345" s="5" t="str">
        <x:v>2^4全因子</x:v>
      </x:c>
      <x:c r="D345" s="5" t="str">
        <x:v>拟合</x:v>
      </x:c>
      <x:c r="E345" s="5" t="str">
        <x:v>全因子</x:v>
      </x:c>
      <x:c r="F345" s="5" t="str"/>
      <x:c r="G345" s="5" t="str">
        <x:v>丁酸异戊酯</x:v>
      </x:c>
      <x:c r="H345" s="5" t="str">
        <x:v>庚酸乙酯</x:v>
      </x:c>
      <x:c r="I345" s="5" t="str">
        <x:v>癸酸乙酯</x:v>
      </x:c>
      <x:c r="J345" s="5" t="str">
        <x:v>己酸丁酯</x:v>
      </x:c>
      <x:c r="K345" s="5" t="str">
        <x:v>H</x:v>
      </x:c>
      <x:c r="L345" s="5" t="str">
        <x:v>M</x:v>
      </x:c>
      <x:c r="M345" s="5" t="str">
        <x:v>H</x:v>
      </x:c>
      <x:c r="N345" s="5" t="str">
        <x:v>H</x:v>
      </x:c>
      <x:c r="O345" s="6" t="n">
        <x:f>'浓度水平'!H18</x:f>
        <x:v>4105</x:v>
      </x:c>
      <x:c r="P345" s="6" t="n">
        <x:f>'浓度水平'!G19</x:f>
        <x:v>1210</x:v>
      </x:c>
      <x:c r="Q345" s="6" t="n">
        <x:f>'浓度水平'!H25</x:f>
        <x:v>56115</x:v>
      </x:c>
      <x:c r="R345" s="6" t="n">
        <x:f>'浓度水平'!H40</x:f>
        <x:v>86300</x:v>
      </x:c>
      <x:c r="S345" s="6" t="n">
        <x:f>O345/'浓度水平'!E18</x:f>
        <x:v>4.4863387978142075</x:v>
      </x:c>
      <x:c r="T345" s="6" t="n">
        <x:f>P345/'浓度水平'!E19</x:f>
        <x:v>0.0919942218505284</x:v>
      </x:c>
      <x:c r="U345" s="6" t="n">
        <x:f>Q345/'浓度水平'!E25</x:f>
        <x:v>50.10267857142857</x:v>
      </x:c>
      <x:c r="V345" s="6" t="n">
        <x:f>R345/'浓度水平'!E40</x:f>
        <x:v>127.31618080963058</x:v>
      </x:c>
      <x:c r="W345" s="6" t="n">
        <x:f>O345*'固定基底'!$B$4/1000</x:f>
        <x:v>82.1</x:v>
      </x:c>
      <x:c r="X345" s="6" t="n">
        <x:f>P345*'固定基底'!$B$4/1000</x:f>
        <x:v>24.2</x:v>
      </x:c>
      <x:c r="Y345" s="6" t="n">
        <x:f>Q345*'固定基底'!$B$4/1000</x:f>
        <x:v>1122.3</x:v>
      </x:c>
      <x:c r="Z345" s="6" t="n">
        <x:f>R345*'固定基底'!$B$4/1000</x:f>
        <x:v>1726</x:v>
      </x:c>
      <x:c r="AA345" s="2" t="n">
        <x:f>'固定基底'!$C$7</x:f>
        <x:v>92796.92267241378</x:v>
      </x:c>
      <x:c r="AB345" s="2" t="n">
        <x:f>'固定基底'!$C$8</x:f>
        <x:v>104175.5097553192</x:v>
      </x:c>
      <x:c r="AC345" s="2" t="n">
        <x:f>'固定基底'!$E$7</x:f>
        <x:v>1855.9384534482756</x:v>
      </x:c>
      <x:c r="AD345" s="2" t="n">
        <x:f>'固定基底'!$E$8</x:f>
        <x:v>2083.510195106384</x:v>
      </x:c>
    </x:row>
    <x:row r="346" ht="25" customHeight="1">
      <x:c r="A346" s="5" t="str">
        <x:v>G14-13</x:v>
      </x:c>
      <x:c r="B346" s="5" t="str">
        <x:v>G14</x:v>
      </x:c>
      <x:c r="C346" s="5" t="str">
        <x:v>2^4全因子</x:v>
      </x:c>
      <x:c r="D346" s="5" t="str">
        <x:v>拟合</x:v>
      </x:c>
      <x:c r="E346" s="5" t="str">
        <x:v>全因子</x:v>
      </x:c>
      <x:c r="F346" s="5" t="str"/>
      <x:c r="G346" s="5" t="str">
        <x:v>丁酸异戊酯</x:v>
      </x:c>
      <x:c r="H346" s="5" t="str">
        <x:v>庚酸乙酯</x:v>
      </x:c>
      <x:c r="I346" s="5" t="str">
        <x:v>癸酸乙酯</x:v>
      </x:c>
      <x:c r="J346" s="5" t="str">
        <x:v>己酸丁酯</x:v>
      </x:c>
      <x:c r="K346" s="5" t="str">
        <x:v>H</x:v>
      </x:c>
      <x:c r="L346" s="5" t="str">
        <x:v>H</x:v>
      </x:c>
      <x:c r="M346" s="5" t="str">
        <x:v>M</x:v>
      </x:c>
      <x:c r="N346" s="5" t="str">
        <x:v>M</x:v>
      </x:c>
      <x:c r="O346" s="6" t="n">
        <x:f>'浓度水平'!H18</x:f>
        <x:v>4105</x:v>
      </x:c>
      <x:c r="P346" s="6" t="n">
        <x:f>'浓度水平'!H19</x:f>
        <x:v>348671</x:v>
      </x:c>
      <x:c r="Q346" s="6" t="n">
        <x:f>'浓度水平'!G25</x:f>
        <x:v>1288.255</x:v>
      </x:c>
      <x:c r="R346" s="6" t="n">
        <x:f>'浓度水平'!G40</x:f>
        <x:v>823.735</x:v>
      </x:c>
      <x:c r="S346" s="6" t="n">
        <x:f>O346/'浓度水平'!E18</x:f>
        <x:v>4.4863387978142075</x:v>
      </x:c>
      <x:c r="T346" s="6" t="n">
        <x:f>P346/'浓度水平'!E19</x:f>
        <x:v>26.508857294913707</x:v>
      </x:c>
      <x:c r="U346" s="6" t="n">
        <x:f>Q346/'浓度水平'!E25</x:f>
        <x:v>1.1502276785714287</x:v>
      </x:c>
      <x:c r="V346" s="6" t="n">
        <x:f>R346/'浓度水平'!E40</x:f>
        <x:v>1.2152351587395256</x:v>
      </x:c>
      <x:c r="W346" s="6" t="n">
        <x:f>O346*'固定基底'!$B$4/1000</x:f>
        <x:v>82.1</x:v>
      </x:c>
      <x:c r="X346" s="6" t="n">
        <x:f>P346*'固定基底'!$B$4/1000</x:f>
        <x:v>6973.42</x:v>
      </x:c>
      <x:c r="Y346" s="6" t="n">
        <x:f>Q346*'固定基底'!$B$4/1000</x:f>
        <x:v>25.765100000000004</x:v>
      </x:c>
      <x:c r="Z346" s="6" t="n">
        <x:f>R346*'固定基底'!$B$4/1000</x:f>
        <x:v>16.474700000000002</x:v>
      </x:c>
      <x:c r="AA346" s="2" t="n">
        <x:f>'固定基底'!$C$7</x:f>
        <x:v>92796.92267241378</x:v>
      </x:c>
      <x:c r="AB346" s="2" t="n">
        <x:f>'固定基底'!$C$8</x:f>
        <x:v>104175.5097553192</x:v>
      </x:c>
      <x:c r="AC346" s="2" t="n">
        <x:f>'固定基底'!$E$7</x:f>
        <x:v>1855.9384534482756</x:v>
      </x:c>
      <x:c r="AD346" s="2" t="n">
        <x:f>'固定基底'!$E$8</x:f>
        <x:v>2083.510195106384</x:v>
      </x:c>
    </x:row>
    <x:row r="347" ht="25" customHeight="1">
      <x:c r="A347" s="5" t="str">
        <x:v>G14-14</x:v>
      </x:c>
      <x:c r="B347" s="5" t="str">
        <x:v>G14</x:v>
      </x:c>
      <x:c r="C347" s="5" t="str">
        <x:v>2^4全因子</x:v>
      </x:c>
      <x:c r="D347" s="5" t="str">
        <x:v>拟合</x:v>
      </x:c>
      <x:c r="E347" s="5" t="str">
        <x:v>全因子</x:v>
      </x:c>
      <x:c r="F347" s="5" t="str"/>
      <x:c r="G347" s="5" t="str">
        <x:v>丁酸异戊酯</x:v>
      </x:c>
      <x:c r="H347" s="5" t="str">
        <x:v>庚酸乙酯</x:v>
      </x:c>
      <x:c r="I347" s="5" t="str">
        <x:v>癸酸乙酯</x:v>
      </x:c>
      <x:c r="J347" s="5" t="str">
        <x:v>己酸丁酯</x:v>
      </x:c>
      <x:c r="K347" s="5" t="str">
        <x:v>H</x:v>
      </x:c>
      <x:c r="L347" s="5" t="str">
        <x:v>H</x:v>
      </x:c>
      <x:c r="M347" s="5" t="str">
        <x:v>M</x:v>
      </x:c>
      <x:c r="N347" s="5" t="str">
        <x:v>H</x:v>
      </x:c>
      <x:c r="O347" s="6" t="n">
        <x:f>'浓度水平'!H18</x:f>
        <x:v>4105</x:v>
      </x:c>
      <x:c r="P347" s="6" t="n">
        <x:f>'浓度水平'!H19</x:f>
        <x:v>348671</x:v>
      </x:c>
      <x:c r="Q347" s="6" t="n">
        <x:f>'浓度水平'!G25</x:f>
        <x:v>1288.255</x:v>
      </x:c>
      <x:c r="R347" s="6" t="n">
        <x:f>'浓度水平'!H40</x:f>
        <x:v>86300</x:v>
      </x:c>
      <x:c r="S347" s="6" t="n">
        <x:f>O347/'浓度水平'!E18</x:f>
        <x:v>4.4863387978142075</x:v>
      </x:c>
      <x:c r="T347" s="6" t="n">
        <x:f>P347/'浓度水平'!E19</x:f>
        <x:v>26.508857294913707</x:v>
      </x:c>
      <x:c r="U347" s="6" t="n">
        <x:f>Q347/'浓度水平'!E25</x:f>
        <x:v>1.1502276785714287</x:v>
      </x:c>
      <x:c r="V347" s="6" t="n">
        <x:f>R347/'浓度水平'!E40</x:f>
        <x:v>127.31618080963058</x:v>
      </x:c>
      <x:c r="W347" s="6" t="n">
        <x:f>O347*'固定基底'!$B$4/1000</x:f>
        <x:v>82.1</x:v>
      </x:c>
      <x:c r="X347" s="6" t="n">
        <x:f>P347*'固定基底'!$B$4/1000</x:f>
        <x:v>6973.42</x:v>
      </x:c>
      <x:c r="Y347" s="6" t="n">
        <x:f>Q347*'固定基底'!$B$4/1000</x:f>
        <x:v>25.765100000000004</x:v>
      </x:c>
      <x:c r="Z347" s="6" t="n">
        <x:f>R347*'固定基底'!$B$4/1000</x:f>
        <x:v>1726</x:v>
      </x:c>
      <x:c r="AA347" s="2" t="n">
        <x:f>'固定基底'!$C$7</x:f>
        <x:v>92796.92267241378</x:v>
      </x:c>
      <x:c r="AB347" s="2" t="n">
        <x:f>'固定基底'!$C$8</x:f>
        <x:v>104175.5097553192</x:v>
      </x:c>
      <x:c r="AC347" s="2" t="n">
        <x:f>'固定基底'!$E$7</x:f>
        <x:v>1855.9384534482756</x:v>
      </x:c>
      <x:c r="AD347" s="2" t="n">
        <x:f>'固定基底'!$E$8</x:f>
        <x:v>2083.510195106384</x:v>
      </x:c>
    </x:row>
    <x:row r="348" ht="25" customHeight="1">
      <x:c r="A348" s="5" t="str">
        <x:v>G14-15</x:v>
      </x:c>
      <x:c r="B348" s="5" t="str">
        <x:v>G14</x:v>
      </x:c>
      <x:c r="C348" s="5" t="str">
        <x:v>2^4全因子</x:v>
      </x:c>
      <x:c r="D348" s="5" t="str">
        <x:v>拟合</x:v>
      </x:c>
      <x:c r="E348" s="5" t="str">
        <x:v>全因子</x:v>
      </x:c>
      <x:c r="F348" s="5" t="str"/>
      <x:c r="G348" s="5" t="str">
        <x:v>丁酸异戊酯</x:v>
      </x:c>
      <x:c r="H348" s="5" t="str">
        <x:v>庚酸乙酯</x:v>
      </x:c>
      <x:c r="I348" s="5" t="str">
        <x:v>癸酸乙酯</x:v>
      </x:c>
      <x:c r="J348" s="5" t="str">
        <x:v>己酸丁酯</x:v>
      </x:c>
      <x:c r="K348" s="5" t="str">
        <x:v>H</x:v>
      </x:c>
      <x:c r="L348" s="5" t="str">
        <x:v>H</x:v>
      </x:c>
      <x:c r="M348" s="5" t="str">
        <x:v>H</x:v>
      </x:c>
      <x:c r="N348" s="5" t="str">
        <x:v>M</x:v>
      </x:c>
      <x:c r="O348" s="6" t="n">
        <x:f>'浓度水平'!H18</x:f>
        <x:v>4105</x:v>
      </x:c>
      <x:c r="P348" s="6" t="n">
        <x:f>'浓度水平'!H19</x:f>
        <x:v>348671</x:v>
      </x:c>
      <x:c r="Q348" s="6" t="n">
        <x:f>'浓度水平'!H25</x:f>
        <x:v>56115</x:v>
      </x:c>
      <x:c r="R348" s="6" t="n">
        <x:f>'浓度水平'!G40</x:f>
        <x:v>823.735</x:v>
      </x:c>
      <x:c r="S348" s="6" t="n">
        <x:f>O348/'浓度水平'!E18</x:f>
        <x:v>4.4863387978142075</x:v>
      </x:c>
      <x:c r="T348" s="6" t="n">
        <x:f>P348/'浓度水平'!E19</x:f>
        <x:v>26.508857294913707</x:v>
      </x:c>
      <x:c r="U348" s="6" t="n">
        <x:f>Q348/'浓度水平'!E25</x:f>
        <x:v>50.10267857142857</x:v>
      </x:c>
      <x:c r="V348" s="6" t="n">
        <x:f>R348/'浓度水平'!E40</x:f>
        <x:v>1.2152351587395256</x:v>
      </x:c>
      <x:c r="W348" s="6" t="n">
        <x:f>O348*'固定基底'!$B$4/1000</x:f>
        <x:v>82.1</x:v>
      </x:c>
      <x:c r="X348" s="6" t="n">
        <x:f>P348*'固定基底'!$B$4/1000</x:f>
        <x:v>6973.42</x:v>
      </x:c>
      <x:c r="Y348" s="6" t="n">
        <x:f>Q348*'固定基底'!$B$4/1000</x:f>
        <x:v>1122.3</x:v>
      </x:c>
      <x:c r="Z348" s="6" t="n">
        <x:f>R348*'固定基底'!$B$4/1000</x:f>
        <x:v>16.474700000000002</x:v>
      </x:c>
      <x:c r="AA348" s="2" t="n">
        <x:f>'固定基底'!$C$7</x:f>
        <x:v>92796.92267241378</x:v>
      </x:c>
      <x:c r="AB348" s="2" t="n">
        <x:f>'固定基底'!$C$8</x:f>
        <x:v>104175.5097553192</x:v>
      </x:c>
      <x:c r="AC348" s="2" t="n">
        <x:f>'固定基底'!$E$7</x:f>
        <x:v>1855.9384534482756</x:v>
      </x:c>
      <x:c r="AD348" s="2" t="n">
        <x:f>'固定基底'!$E$8</x:f>
        <x:v>2083.510195106384</x:v>
      </x:c>
    </x:row>
    <x:row r="349" ht="25" customHeight="1">
      <x:c r="A349" s="5" t="str">
        <x:v>G14-16</x:v>
      </x:c>
      <x:c r="B349" s="5" t="str">
        <x:v>G14</x:v>
      </x:c>
      <x:c r="C349" s="5" t="str">
        <x:v>2^4全因子</x:v>
      </x:c>
      <x:c r="D349" s="5" t="str">
        <x:v>拟合</x:v>
      </x:c>
      <x:c r="E349" s="5" t="str">
        <x:v>全因子</x:v>
      </x:c>
      <x:c r="F349" s="5" t="str"/>
      <x:c r="G349" s="5" t="str">
        <x:v>丁酸异戊酯</x:v>
      </x:c>
      <x:c r="H349" s="5" t="str">
        <x:v>庚酸乙酯</x:v>
      </x:c>
      <x:c r="I349" s="5" t="str">
        <x:v>癸酸乙酯</x:v>
      </x:c>
      <x:c r="J349" s="5" t="str">
        <x:v>己酸丁酯</x:v>
      </x:c>
      <x:c r="K349" s="5" t="str">
        <x:v>H</x:v>
      </x:c>
      <x:c r="L349" s="5" t="str">
        <x:v>H</x:v>
      </x:c>
      <x:c r="M349" s="5" t="str">
        <x:v>H</x:v>
      </x:c>
      <x:c r="N349" s="5" t="str">
        <x:v>H</x:v>
      </x:c>
      <x:c r="O349" s="6" t="n">
        <x:f>'浓度水平'!H18</x:f>
        <x:v>4105</x:v>
      </x:c>
      <x:c r="P349" s="6" t="n">
        <x:f>'浓度水平'!H19</x:f>
        <x:v>348671</x:v>
      </x:c>
      <x:c r="Q349" s="6" t="n">
        <x:f>'浓度水平'!H25</x:f>
        <x:v>56115</x:v>
      </x:c>
      <x:c r="R349" s="6" t="n">
        <x:f>'浓度水平'!H40</x:f>
        <x:v>86300</x:v>
      </x:c>
      <x:c r="S349" s="6" t="n">
        <x:f>O349/'浓度水平'!E18</x:f>
        <x:v>4.4863387978142075</x:v>
      </x:c>
      <x:c r="T349" s="6" t="n">
        <x:f>P349/'浓度水平'!E19</x:f>
        <x:v>26.508857294913707</x:v>
      </x:c>
      <x:c r="U349" s="6" t="n">
        <x:f>Q349/'浓度水平'!E25</x:f>
        <x:v>50.10267857142857</x:v>
      </x:c>
      <x:c r="V349" s="6" t="n">
        <x:f>R349/'浓度水平'!E40</x:f>
        <x:v>127.31618080963058</x:v>
      </x:c>
      <x:c r="W349" s="6" t="n">
        <x:f>O349*'固定基底'!$B$4/1000</x:f>
        <x:v>82.1</x:v>
      </x:c>
      <x:c r="X349" s="6" t="n">
        <x:f>P349*'固定基底'!$B$4/1000</x:f>
        <x:v>6973.42</x:v>
      </x:c>
      <x:c r="Y349" s="6" t="n">
        <x:f>Q349*'固定基底'!$B$4/1000</x:f>
        <x:v>1122.3</x:v>
      </x:c>
      <x:c r="Z349" s="6" t="n">
        <x:f>R349*'固定基底'!$B$4/1000</x:f>
        <x:v>1726</x:v>
      </x:c>
      <x:c r="AA349" s="2" t="n">
        <x:f>'固定基底'!$C$7</x:f>
        <x:v>92796.92267241378</x:v>
      </x:c>
      <x:c r="AB349" s="2" t="n">
        <x:f>'固定基底'!$C$8</x:f>
        <x:v>104175.5097553192</x:v>
      </x:c>
      <x:c r="AC349" s="2" t="n">
        <x:f>'固定基底'!$E$7</x:f>
        <x:v>1855.9384534482756</x:v>
      </x:c>
      <x:c r="AD349" s="2" t="n">
        <x:f>'固定基底'!$E$8</x:f>
        <x:v>2083.510195106384</x:v>
      </x:c>
    </x:row>
    <x:row r="350" ht="25" customHeight="1">
      <x:c r="A350" s="5" t="str">
        <x:v>G14-17</x:v>
      </x:c>
      <x:c r="B350" s="5" t="str">
        <x:v>G14</x:v>
      </x:c>
      <x:c r="C350" s="5" t="str">
        <x:v>2^4全因子</x:v>
      </x:c>
      <x:c r="D350" s="5" t="str">
        <x:v>拟合</x:v>
      </x:c>
      <x:c r="E350" s="5" t="str">
        <x:v>参考配方独立重复</x:v>
      </x:c>
      <x:c r="F350" s="5" t="str">
        <x:v>G14-01</x:v>
      </x:c>
      <x:c r="G350" s="5" t="str">
        <x:v>丁酸异戊酯</x:v>
      </x:c>
      <x:c r="H350" s="5" t="str">
        <x:v>庚酸乙酯</x:v>
      </x:c>
      <x:c r="I350" s="5" t="str">
        <x:v>癸酸乙酯</x:v>
      </x:c>
      <x:c r="J350" s="5" t="str">
        <x:v>己酸丁酯</x:v>
      </x:c>
      <x:c r="K350" s="5" t="str">
        <x:v>M</x:v>
      </x:c>
      <x:c r="L350" s="5" t="str">
        <x:v>M</x:v>
      </x:c>
      <x:c r="M350" s="5" t="str">
        <x:v>M</x:v>
      </x:c>
      <x:c r="N350" s="5" t="str">
        <x:v>M</x:v>
      </x:c>
      <x:c r="O350" s="6" t="n">
        <x:f>'浓度水平'!G18</x:f>
        <x:v>1041.8500000000001</x:v>
      </x:c>
      <x:c r="P350" s="6" t="n">
        <x:f>'浓度水平'!G19</x:f>
        <x:v>1210</x:v>
      </x:c>
      <x:c r="Q350" s="6" t="n">
        <x:f>'浓度水平'!G25</x:f>
        <x:v>1288.255</x:v>
      </x:c>
      <x:c r="R350" s="6" t="n">
        <x:f>'浓度水平'!G40</x:f>
        <x:v>823.735</x:v>
      </x:c>
      <x:c r="S350" s="6" t="n">
        <x:f>O350/'浓度水平'!E18</x:f>
        <x:v>1.1386338797814208</x:v>
      </x:c>
      <x:c r="T350" s="6" t="n">
        <x:f>P350/'浓度水平'!E19</x:f>
        <x:v>0.0919942218505284</x:v>
      </x:c>
      <x:c r="U350" s="6" t="n">
        <x:f>Q350/'浓度水平'!E25</x:f>
        <x:v>1.1502276785714287</x:v>
      </x:c>
      <x:c r="V350" s="6" t="n">
        <x:f>R350/'浓度水平'!E40</x:f>
        <x:v>1.2152351587395256</x:v>
      </x:c>
      <x:c r="W350" s="6" t="n">
        <x:f>O350*'固定基底'!$B$4/1000</x:f>
        <x:v>20.837000000000003</x:v>
      </x:c>
      <x:c r="X350" s="6" t="n">
        <x:f>P350*'固定基底'!$B$4/1000</x:f>
        <x:v>24.2</x:v>
      </x:c>
      <x:c r="Y350" s="6" t="n">
        <x:f>Q350*'固定基底'!$B$4/1000</x:f>
        <x:v>25.765100000000004</x:v>
      </x:c>
      <x:c r="Z350" s="6" t="n">
        <x:f>R350*'固定基底'!$B$4/1000</x:f>
        <x:v>16.474700000000002</x:v>
      </x:c>
      <x:c r="AA350" s="2" t="n">
        <x:f>'固定基底'!$C$7</x:f>
        <x:v>92796.92267241378</x:v>
      </x:c>
      <x:c r="AB350" s="2" t="n">
        <x:f>'固定基底'!$C$8</x:f>
        <x:v>104175.5097553192</x:v>
      </x:c>
      <x:c r="AC350" s="2" t="n">
        <x:f>'固定基底'!$E$7</x:f>
        <x:v>1855.9384534482756</x:v>
      </x:c>
      <x:c r="AD350" s="2" t="n">
        <x:f>'固定基底'!$E$8</x:f>
        <x:v>2083.510195106384</x:v>
      </x:c>
    </x:row>
    <x:row r="351" ht="25" customHeight="1">
      <x:c r="A351" s="5" t="str">
        <x:v>G14-18</x:v>
      </x:c>
      <x:c r="B351" s="5" t="str">
        <x:v>G14</x:v>
      </x:c>
      <x:c r="C351" s="5" t="str">
        <x:v>2^4全因子</x:v>
      </x:c>
      <x:c r="D351" s="5" t="str">
        <x:v>拟合</x:v>
      </x:c>
      <x:c r="E351" s="5" t="str">
        <x:v>参考配方独立重复</x:v>
      </x:c>
      <x:c r="F351" s="5" t="str">
        <x:v>G14-16</x:v>
      </x:c>
      <x:c r="G351" s="5" t="str">
        <x:v>丁酸异戊酯</x:v>
      </x:c>
      <x:c r="H351" s="5" t="str">
        <x:v>庚酸乙酯</x:v>
      </x:c>
      <x:c r="I351" s="5" t="str">
        <x:v>癸酸乙酯</x:v>
      </x:c>
      <x:c r="J351" s="5" t="str">
        <x:v>己酸丁酯</x:v>
      </x:c>
      <x:c r="K351" s="5" t="str">
        <x:v>H</x:v>
      </x:c>
      <x:c r="L351" s="5" t="str">
        <x:v>H</x:v>
      </x:c>
      <x:c r="M351" s="5" t="str">
        <x:v>H</x:v>
      </x:c>
      <x:c r="N351" s="5" t="str">
        <x:v>H</x:v>
      </x:c>
      <x:c r="O351" s="6" t="n">
        <x:f>'浓度水平'!H18</x:f>
        <x:v>4105</x:v>
      </x:c>
      <x:c r="P351" s="6" t="n">
        <x:f>'浓度水平'!H19</x:f>
        <x:v>348671</x:v>
      </x:c>
      <x:c r="Q351" s="6" t="n">
        <x:f>'浓度水平'!H25</x:f>
        <x:v>56115</x:v>
      </x:c>
      <x:c r="R351" s="6" t="n">
        <x:f>'浓度水平'!H40</x:f>
        <x:v>86300</x:v>
      </x:c>
      <x:c r="S351" s="6" t="n">
        <x:f>O351/'浓度水平'!E18</x:f>
        <x:v>4.4863387978142075</x:v>
      </x:c>
      <x:c r="T351" s="6" t="n">
        <x:f>P351/'浓度水平'!E19</x:f>
        <x:v>26.508857294913707</x:v>
      </x:c>
      <x:c r="U351" s="6" t="n">
        <x:f>Q351/'浓度水平'!E25</x:f>
        <x:v>50.10267857142857</x:v>
      </x:c>
      <x:c r="V351" s="6" t="n">
        <x:f>R351/'浓度水平'!E40</x:f>
        <x:v>127.31618080963058</x:v>
      </x:c>
      <x:c r="W351" s="6" t="n">
        <x:f>O351*'固定基底'!$B$4/1000</x:f>
        <x:v>82.1</x:v>
      </x:c>
      <x:c r="X351" s="6" t="n">
        <x:f>P351*'固定基底'!$B$4/1000</x:f>
        <x:v>6973.42</x:v>
      </x:c>
      <x:c r="Y351" s="6" t="n">
        <x:f>Q351*'固定基底'!$B$4/1000</x:f>
        <x:v>1122.3</x:v>
      </x:c>
      <x:c r="Z351" s="6" t="n">
        <x:f>R351*'固定基底'!$B$4/1000</x:f>
        <x:v>1726</x:v>
      </x:c>
      <x:c r="AA351" s="2" t="n">
        <x:f>'固定基底'!$C$7</x:f>
        <x:v>92796.92267241378</x:v>
      </x:c>
      <x:c r="AB351" s="2" t="n">
        <x:f>'固定基底'!$C$8</x:f>
        <x:v>104175.5097553192</x:v>
      </x:c>
      <x:c r="AC351" s="2" t="n">
        <x:f>'固定基底'!$E$7</x:f>
        <x:v>1855.9384534482756</x:v>
      </x:c>
      <x:c r="AD351" s="2" t="n">
        <x:f>'固定基底'!$E$8</x:f>
        <x:v>2083.510195106384</x:v>
      </x:c>
    </x:row>
    <x:row r="352" ht="25" customHeight="1">
      <x:c r="A352" s="5" t="str">
        <x:v>BLANK-01</x:v>
      </x:c>
      <x:c r="B352" s="5" t="str">
        <x:v>空白</x:v>
      </x:c>
      <x:c r="C352" s="5" t="str">
        <x:v>固定基底对照</x:v>
      </x:c>
      <x:c r="D352" s="5" t="str">
        <x:v>基底对照</x:v>
      </x:c>
      <x:c r="E352" s="5" t="str">
        <x:v>不含可变组分</x:v>
      </x:c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/>
      <x:c r="N352" s="5" t="str"/>
      <x:c r="O352" s="6" t="n">
        <x:f>0</x:f>
        <x:v>0</x:v>
      </x:c>
      <x:c r="P352" s="6" t="n">
        <x:f>0</x:f>
        <x:v>0</x:v>
      </x:c>
      <x:c r="Q352" s="6" t="n">
        <x:f>0</x:f>
        <x:v>0</x:v>
      </x:c>
      <x:c r="R352" s="6" t="n">
        <x:f>0</x:f>
        <x:v>0</x:v>
      </x:c>
      <x:c r="S352" s="6" t="n">
        <x:f>0</x:f>
        <x:v>0</x:v>
      </x:c>
      <x:c r="T352" s="6" t="n">
        <x:f>0</x:f>
        <x:v>0</x:v>
      </x:c>
      <x:c r="U352" s="6" t="n">
        <x:f>0</x:f>
        <x:v>0</x:v>
      </x:c>
      <x:c r="V352" s="6" t="n">
        <x:f>0</x:f>
        <x:v>0</x:v>
      </x:c>
      <x:c r="W352" s="6" t="n">
        <x:f>0</x:f>
        <x:v>0</x:v>
      </x:c>
      <x:c r="X352" s="6" t="n">
        <x:f>0</x:f>
        <x:v>0</x:v>
      </x:c>
      <x:c r="Y352" s="6" t="n">
        <x:f>0</x:f>
        <x:v>0</x:v>
      </x:c>
      <x:c r="Z352" s="6" t="n">
        <x:f>0</x:f>
        <x:v>0</x:v>
      </x:c>
      <x:c r="AA352" s="2" t="n">
        <x:f>'固定基底'!$C$7</x:f>
        <x:v>92796.92267241378</x:v>
      </x:c>
      <x:c r="AB352" s="2" t="n">
        <x:f>'固定基底'!$C$8</x:f>
        <x:v>104175.5097553192</x:v>
      </x:c>
      <x:c r="AC352" s="2" t="n">
        <x:f>'固定基底'!$E$7</x:f>
        <x:v>1855.9384534482756</x:v>
      </x:c>
      <x:c r="AD352" s="2" t="n">
        <x:f>'固定基底'!$E$8</x:f>
        <x:v>2083.510195106384</x:v>
      </x:c>
    </x:row>
    <x:row r="353" ht="25" customHeight="1">
      <x:c r="A353" s="5" t="str">
        <x:v>BLANK-02</x:v>
      </x:c>
      <x:c r="B353" s="5" t="str">
        <x:v>空白</x:v>
      </x:c>
      <x:c r="C353" s="5" t="str">
        <x:v>固定基底对照</x:v>
      </x:c>
      <x:c r="D353" s="5" t="str">
        <x:v>基底对照</x:v>
      </x:c>
      <x:c r="E353" s="5" t="str">
        <x:v>不含可变组分</x:v>
      </x:c>
      <x:c r="F353" s="5" t="str"/>
      <x:c r="G353" s="5" t="str"/>
      <x:c r="H353" s="5" t="str"/>
      <x:c r="I353" s="5" t="str"/>
      <x:c r="J353" s="5" t="str"/>
      <x:c r="K353" s="5" t="str"/>
      <x:c r="L353" s="5" t="str"/>
      <x:c r="M353" s="5" t="str"/>
      <x:c r="N353" s="5" t="str"/>
      <x:c r="O353" s="6" t="n">
        <x:f>0</x:f>
        <x:v>0</x:v>
      </x:c>
      <x:c r="P353" s="6" t="n">
        <x:f>0</x:f>
        <x:v>0</x:v>
      </x:c>
      <x:c r="Q353" s="6" t="n">
        <x:f>0</x:f>
        <x:v>0</x:v>
      </x:c>
      <x:c r="R353" s="6" t="n">
        <x:f>0</x:f>
        <x:v>0</x:v>
      </x:c>
      <x:c r="S353" s="6" t="n">
        <x:f>0</x:f>
        <x:v>0</x:v>
      </x:c>
      <x:c r="T353" s="6" t="n">
        <x:f>0</x:f>
        <x:v>0</x:v>
      </x:c>
      <x:c r="U353" s="6" t="n">
        <x:f>0</x:f>
        <x:v>0</x:v>
      </x:c>
      <x:c r="V353" s="6" t="n">
        <x:f>0</x:f>
        <x:v>0</x:v>
      </x:c>
      <x:c r="W353" s="6" t="n">
        <x:f>0</x:f>
        <x:v>0</x:v>
      </x:c>
      <x:c r="X353" s="6" t="n">
        <x:f>0</x:f>
        <x:v>0</x:v>
      </x:c>
      <x:c r="Y353" s="6" t="n">
        <x:f>0</x:f>
        <x:v>0</x:v>
      </x:c>
      <x:c r="Z353" s="6" t="n">
        <x:f>0</x:f>
        <x:v>0</x:v>
      </x:c>
      <x:c r="AA353" s="2" t="n">
        <x:f>'固定基底'!$C$7</x:f>
        <x:v>92796.92267241378</x:v>
      </x:c>
      <x:c r="AB353" s="2" t="n">
        <x:f>'固定基底'!$C$8</x:f>
        <x:v>104175.5097553192</x:v>
      </x:c>
      <x:c r="AC353" s="2" t="n">
        <x:f>'固定基底'!$E$7</x:f>
        <x:v>1855.9384534482756</x:v>
      </x:c>
      <x:c r="AD353" s="2" t="n">
        <x:f>'固定基底'!$E$8</x:f>
        <x:v>2083.510195106384</x:v>
      </x:c>
    </x:row>
    <x:row r="354" ht="25" customHeight="1">
      <x:c r="A354" s="5" t="str">
        <x:v>BLANK-03</x:v>
      </x:c>
      <x:c r="B354" s="5" t="str">
        <x:v>空白</x:v>
      </x:c>
      <x:c r="C354" s="5" t="str">
        <x:v>固定基底对照</x:v>
      </x:c>
      <x:c r="D354" s="5" t="str">
        <x:v>基底对照</x:v>
      </x:c>
      <x:c r="E354" s="5" t="str">
        <x:v>不含可变组分</x:v>
      </x:c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/>
      <x:c r="N354" s="5" t="str"/>
      <x:c r="O354" s="6" t="n">
        <x:f>0</x:f>
        <x:v>0</x:v>
      </x:c>
      <x:c r="P354" s="6" t="n">
        <x:f>0</x:f>
        <x:v>0</x:v>
      </x:c>
      <x:c r="Q354" s="6" t="n">
        <x:f>0</x:f>
        <x:v>0</x:v>
      </x:c>
      <x:c r="R354" s="6" t="n">
        <x:f>0</x:f>
        <x:v>0</x:v>
      </x:c>
      <x:c r="S354" s="6" t="n">
        <x:f>0</x:f>
        <x:v>0</x:v>
      </x:c>
      <x:c r="T354" s="6" t="n">
        <x:f>0</x:f>
        <x:v>0</x:v>
      </x:c>
      <x:c r="U354" s="6" t="n">
        <x:f>0</x:f>
        <x:v>0</x:v>
      </x:c>
      <x:c r="V354" s="6" t="n">
        <x:f>0</x:f>
        <x:v>0</x:v>
      </x:c>
      <x:c r="W354" s="6" t="n">
        <x:f>0</x:f>
        <x:v>0</x:v>
      </x:c>
      <x:c r="X354" s="6" t="n">
        <x:f>0</x:f>
        <x:v>0</x:v>
      </x:c>
      <x:c r="Y354" s="6" t="n">
        <x:f>0</x:f>
        <x:v>0</x:v>
      </x:c>
      <x:c r="Z354" s="6" t="n">
        <x:f>0</x:f>
        <x:v>0</x:v>
      </x:c>
      <x:c r="AA354" s="2" t="n">
        <x:f>'固定基底'!$C$7</x:f>
        <x:v>92796.92267241378</x:v>
      </x:c>
      <x:c r="AB354" s="2" t="n">
        <x:f>'固定基底'!$C$8</x:f>
        <x:v>104175.5097553192</x:v>
      </x:c>
      <x:c r="AC354" s="2" t="n">
        <x:f>'固定基底'!$E$7</x:f>
        <x:v>1855.9384534482756</x:v>
      </x:c>
      <x:c r="AD354" s="2" t="n">
        <x:f>'固定基底'!$E$8</x:f>
        <x:v>2083.510195106384</x:v>
      </x:c>
    </x:row>
    <x:row r="355" ht="25" customHeight="1">
      <x:c r="A355" s="5" t="str">
        <x:v>BLANK-04</x:v>
      </x:c>
      <x:c r="B355" s="5" t="str">
        <x:v>空白</x:v>
      </x:c>
      <x:c r="C355" s="5" t="str">
        <x:v>固定基底对照</x:v>
      </x:c>
      <x:c r="D355" s="5" t="str">
        <x:v>基底对照</x:v>
      </x:c>
      <x:c r="E355" s="5" t="str">
        <x:v>不含可变组分</x:v>
      </x:c>
      <x:c r="F355" s="5" t="str"/>
      <x:c r="G355" s="5" t="str"/>
      <x:c r="H355" s="5" t="str"/>
      <x:c r="I355" s="5" t="str"/>
      <x:c r="J355" s="5" t="str"/>
      <x:c r="K355" s="5" t="str"/>
      <x:c r="L355" s="5" t="str"/>
      <x:c r="M355" s="5" t="str"/>
      <x:c r="N355" s="5" t="str"/>
      <x:c r="O355" s="6" t="n">
        <x:f>0</x:f>
        <x:v>0</x:v>
      </x:c>
      <x:c r="P355" s="6" t="n">
        <x:f>0</x:f>
        <x:v>0</x:v>
      </x:c>
      <x:c r="Q355" s="6" t="n">
        <x:f>0</x:f>
        <x:v>0</x:v>
      </x:c>
      <x:c r="R355" s="6" t="n">
        <x:f>0</x:f>
        <x:v>0</x:v>
      </x:c>
      <x:c r="S355" s="6" t="n">
        <x:f>0</x:f>
        <x:v>0</x:v>
      </x:c>
      <x:c r="T355" s="6" t="n">
        <x:f>0</x:f>
        <x:v>0</x:v>
      </x:c>
      <x:c r="U355" s="6" t="n">
        <x:f>0</x:f>
        <x:v>0</x:v>
      </x:c>
      <x:c r="V355" s="6" t="n">
        <x:f>0</x:f>
        <x:v>0</x:v>
      </x:c>
      <x:c r="W355" s="6" t="n">
        <x:f>0</x:f>
        <x:v>0</x:v>
      </x:c>
      <x:c r="X355" s="6" t="n">
        <x:f>0</x:f>
        <x:v>0</x:v>
      </x:c>
      <x:c r="Y355" s="6" t="n">
        <x:f>0</x:f>
        <x:v>0</x:v>
      </x:c>
      <x:c r="Z355" s="6" t="n">
        <x:f>0</x:f>
        <x:v>0</x:v>
      </x:c>
      <x:c r="AA355" s="2" t="n">
        <x:f>'固定基底'!$C$7</x:f>
        <x:v>92796.92267241378</x:v>
      </x:c>
      <x:c r="AB355" s="2" t="n">
        <x:f>'固定基底'!$C$8</x:f>
        <x:v>104175.5097553192</x:v>
      </x:c>
      <x:c r="AC355" s="2" t="n">
        <x:f>'固定基底'!$E$7</x:f>
        <x:v>1855.9384534482756</x:v>
      </x:c>
      <x:c r="AD355" s="2" t="n">
        <x:f>'固定基底'!$E$8</x:f>
        <x:v>2083.510195106384</x:v>
      </x:c>
    </x:row>
  </x:sheetData>
  <x:pageMargins left="0.7" right="0.7" top="0.75" bottom="0.75" header="0.3" footer="0.3"/>
  <x:tableParts count="1">
    <x:tablePart xmlns:r="http://schemas.openxmlformats.org/officeDocument/2006/relationships" r:id="R294ad44a31c24e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8" hidden="0" customWidth="1"/>
    <x:col min="11" max="11" width="21" hidden="0" customWidth="1"/>
    <x:col min="12" max="12" width="3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 t="str">
        <x:v>原L/M/H来源保留；1-丙醇与异戊醇不再使用这些档位，实际固定浓度见固定基底表。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42" customHeight="1">
      <x:c r="A5" s="9" t="str">
        <x:v>Order ID</x:v>
      </x:c>
      <x:c r="B5" s="9" t="str">
        <x:v>中文名称</x:v>
      </x:c>
      <x:c r="C5" s="9" t="str">
        <x:v>CAS</x:v>
      </x:c>
      <x:c r="D5" s="9" t="str">
        <x:v>实验分层</x:v>
      </x:c>
      <x:c r="E5" s="9" t="str">
        <x:v>周表阈值</x:v>
      </x:c>
      <x:c r="F5" s="9" t="str">
        <x:v>L暂定浓度</x:v>
      </x:c>
      <x:c r="G5" s="9" t="str">
        <x:v>M中位浓度</x:v>
      </x:c>
      <x:c r="H5" s="9" t="str">
        <x:v>H最大浓度</x:v>
      </x:c>
      <x:c r="I5" s="9" t="str">
        <x:v>浓度档数</x:v>
      </x:c>
      <x:c r="J5" s="9" t="str">
        <x:v>设定说明</x:v>
      </x:c>
      <x:c r="K5" s="9" t="str">
        <x:v>组成组出现数</x:v>
      </x:c>
      <x:c r="L5" s="9" t="str">
        <x:v>水平检查</x:v>
      </x:c>
      <x:c r="M5" t="str">
        <x:v>当前角色</x:v>
      </x:c>
      <x:c r="N5" t="str">
        <x:v>平均浓度OAV</x:v>
      </x:c>
    </x:row>
    <x:row r="6" ht="25" customHeight="1">
      <x:c r="A6" s="5" t="n">
        <x:v>5</x:v>
      </x:c>
      <x:c r="B6" s="5" t="str">
        <x:v>乙酸</x:v>
      </x:c>
      <x:c r="C6" s="5" t="str">
        <x:v>64-19-7</x:v>
      </x:c>
      <x:c r="D6" s="5" t="str">
        <x:v>两档成分</x:v>
      </x:c>
      <x:c r="E6" s="6" t="n">
        <x:v>160000</x:v>
      </x:c>
      <x:c r="F6" s="10"/>
      <x:c r="G6" s="10" t="n">
        <x:v>3158</x:v>
      </x:c>
      <x:c r="H6" s="10" t="n">
        <x:v>1800500</x:v>
      </x:c>
      <x:c r="I6" s="5" t="n">
        <x:v>2</x:v>
      </x:c>
      <x:c r="J6" s="5" t="str">
        <x:v>仅中位值及最大值</x:v>
      </x:c>
      <x:c r="K6" s="5" t="n">
        <x:v>1</x:v>
      </x:c>
      <x:c r="L6" s="5" t="str">
        <x:f>IF(I6=2,IF(H6&gt;G6,"两档有序","最大值与中位值重合"),IF(AND(F6&gt;0,F6&lt;G6,G6&lt;H6),"数值有序；仍需预试","需调整低中高"))</x:f>
        <x:v>两档有序</x:v>
      </x:c>
      <x:c r="M6" t="str">
        <x:f>IF(N6&lt;1,"固定基底（不参与变量）","参与变量设计")</x:f>
        <x:v>参与变量设计</x:v>
      </x:c>
      <x:c r="N6" t="n">
        <x:f>'平均值OAV_全库'!G10</x:f>
        <x:v>1.3695372664650538</x:v>
      </x:c>
    </x:row>
    <x:row r="7" ht="25" customHeight="1">
      <x:c r="A7" s="5" t="n">
        <x:v>7</x:v>
      </x:c>
      <x:c r="B7" s="5" t="str">
        <x:v>己醛</x:v>
      </x:c>
      <x:c r="C7" s="5" t="str">
        <x:v>66-25-1</x:v>
      </x:c>
      <x:c r="D7" s="5" t="str">
        <x:v>重要成分</x:v>
      </x:c>
      <x:c r="E7" s="6" t="n">
        <x:v>25.5</x:v>
      </x:c>
      <x:c r="F7" s="10" t="n">
        <x:v>51</x:v>
      </x:c>
      <x:c r="G7" s="10" t="n">
        <x:v>788.69</x:v>
      </x:c>
      <x:c r="H7" s="10" t="n">
        <x:v>3075.94</x:v>
      </x:c>
      <x:c r="I7" s="5" t="n">
        <x:v>3</x:v>
      </x:c>
      <x:c r="J7" s="5" t="str">
        <x:v>低档暂按2×周表阈值，待预试</x:v>
      </x:c>
      <x:c r="K7" s="5" t="n">
        <x:v>2</x:v>
      </x:c>
      <x:c r="L7" s="5" t="str">
        <x:f>IF(I7=2,IF(H7&gt;G7,"两档有序","最大值与中位值重合"),IF(AND(F7&gt;0,F7&lt;G7,G7&lt;H7),"数值有序；仍需预试","需调整低中高"))</x:f>
        <x:v>数值有序；仍需预试</x:v>
      </x:c>
      <x:c r="M7" t="str">
        <x:f>IF(N7&lt;1,"固定基底（不参与变量）","参与变量设计")</x:f>
        <x:v>参与变量设计</x:v>
      </x:c>
      <x:c r="N7" t="n">
        <x:f>'平均值OAV_全库'!G12</x:f>
        <x:v>36.44626544962813</x:v>
      </x:c>
    </x:row>
    <x:row r="8" ht="25" customHeight="1">
      <x:c r="A8" s="5" t="n">
        <x:v>10</x:v>
      </x:c>
      <x:c r="B8" s="5" t="str">
        <x:v>1-丙醇</x:v>
      </x:c>
      <x:c r="C8" s="5" t="str">
        <x:v>71-23-8</x:v>
      </x:c>
      <x:c r="D8" s="5" t="str">
        <x:v>两档成分</x:v>
      </x:c>
      <x:c r="E8" s="6" t="n">
        <x:v>109000</x:v>
      </x:c>
      <x:c r="F8" s="10"/>
      <x:c r="G8" s="10" t="n">
        <x:v>149.93</x:v>
      </x:c>
      <x:c r="H8" s="10" t="n">
        <x:v>471100</x:v>
      </x:c>
      <x:c r="I8" s="5" t="n">
        <x:v>2</x:v>
      </x:c>
      <x:c r="J8" s="5" t="str">
        <x:v>仅中位值及最大值</x:v>
      </x:c>
      <x:c r="K8" s="5" t="n">
        <x:v>1</x:v>
      </x:c>
      <x:c r="L8" s="5" t="str">
        <x:f>IF(I8=2,IF(H8&gt;G8,"两档有序","最大值与中位值重合"),IF(AND(F8&gt;0,F8&lt;G8,G8&lt;H8),"数值有序；仍需预试","需调整低中高"))</x:f>
        <x:v>两档有序</x:v>
      </x:c>
      <x:c r="M8" t="str">
        <x:f>IF(N8&lt;1,"固定基底（不参与变量）","参与变量设计")</x:f>
        <x:v>固定基底（不参与变量）</x:v>
      </x:c>
      <x:c r="N8" t="n">
        <x:f>'平均值OAV_全库'!G15</x:f>
        <x:v>0.8513479144258146</x:v>
      </x:c>
    </x:row>
    <x:row r="9" ht="25" customHeight="1">
      <x:c r="A9" s="5" t="n">
        <x:v>11</x:v>
      </x:c>
      <x:c r="B9" s="5" t="str">
        <x:v>1-丁醇</x:v>
      </x:c>
      <x:c r="C9" s="5" t="str">
        <x:v>71-36-3</x:v>
      </x:c>
      <x:c r="D9" s="5" t="str">
        <x:v>重要成分</x:v>
      </x:c>
      <x:c r="E9" s="6" t="n">
        <x:v>2733</x:v>
      </x:c>
      <x:c r="F9" s="10" t="n">
        <x:v>5466</x:v>
      </x:c>
      <x:c r="G9" s="10" t="n">
        <x:v>10974.445</x:v>
      </x:c>
      <x:c r="H9" s="10" t="n">
        <x:v>1038900</x:v>
      </x:c>
      <x:c r="I9" s="5" t="n">
        <x:v>3</x:v>
      </x:c>
      <x:c r="J9" s="5" t="str">
        <x:v>低档暂按2×周表阈值，待预试</x:v>
      </x:c>
      <x:c r="K9" s="5" t="n">
        <x:v>1</x:v>
      </x:c>
      <x:c r="L9" s="5" t="str">
        <x:f>IF(I9=2,IF(H9&gt;G9,"两档有序","最大值与中位值重合"),IF(AND(F9&gt;0,F9&lt;G9,G9&lt;H9),"数值有序；仍需预试","需调整低中高"))</x:f>
        <x:v>数值有序；仍需预试</x:v>
      </x:c>
      <x:c r="M9" t="str">
        <x:f>IF(N9&lt;1,"固定基底（不参与变量）","参与变量设计")</x:f>
        <x:v>参与变量设计</x:v>
      </x:c>
      <x:c r="N9" t="n">
        <x:f>'平均值OAV_全库'!G16</x:f>
        <x:v>35.477383721503685</x:v>
      </x:c>
    </x:row>
    <x:row r="10" ht="25" customHeight="1">
      <x:c r="A10" s="5" t="n">
        <x:v>17</x:v>
      </x:c>
      <x:c r="B10" s="5" t="str">
        <x:v>异丁醇</x:v>
      </x:c>
      <x:c r="C10" s="5" t="str">
        <x:v>78-83-1</x:v>
      </x:c>
      <x:c r="D10" s="5" t="str">
        <x:v>两档成分</x:v>
      </x:c>
      <x:c r="E10" s="6" t="n">
        <x:v>28300</x:v>
      </x:c>
      <x:c r="F10" s="10"/>
      <x:c r="G10" s="10" t="n">
        <x:v>3650</x:v>
      </x:c>
      <x:c r="H10" s="10" t="n">
        <x:v>279260</x:v>
      </x:c>
      <x:c r="I10" s="5" t="n">
        <x:v>2</x:v>
      </x:c>
      <x:c r="J10" s="5" t="str">
        <x:v>仅中位值及最大值</x:v>
      </x:c>
      <x:c r="K10" s="5" t="n">
        <x:v>1</x:v>
      </x:c>
      <x:c r="L10" s="5" t="str">
        <x:f>IF(I10=2,IF(H10&gt;G10,"两档有序","最大值与中位值重合"),IF(AND(F10&gt;0,F10&lt;G10,G10&lt;H10),"数值有序；仍需预试","需调整低中高"))</x:f>
        <x:v>两档有序</x:v>
      </x:c>
      <x:c r="M10" t="str">
        <x:f>IF(N10&lt;1,"固定基底（不参与变量）","参与变量设计")</x:f>
        <x:v>参与变量设计</x:v>
      </x:c>
      <x:c r="N10" t="n">
        <x:f>'平均值OAV_全库'!G22</x:f>
        <x:v>1.079745505378014</x:v>
      </x:c>
    </x:row>
    <x:row r="11" ht="25" customHeight="1">
      <x:c r="A11" s="5" t="n">
        <x:v>18</x:v>
      </x:c>
      <x:c r="B11" s="5" t="str">
        <x:v>2-甲基丙醛</x:v>
      </x:c>
      <x:c r="C11" s="5" t="str">
        <x:v>78-84-2</x:v>
      </x:c>
      <x:c r="D11" s="5" t="str">
        <x:v>骨架成分</x:v>
      </x:c>
      <x:c r="E11" s="6" t="n">
        <x:v>5.9</x:v>
      </x:c>
      <x:c r="F11" s="10" t="n">
        <x:v>11.8</x:v>
      </x:c>
      <x:c r="G11" s="10" t="n">
        <x:v>954.06</x:v>
      </x:c>
      <x:c r="H11" s="10" t="n">
        <x:v>35900</x:v>
      </x:c>
      <x:c r="I11" s="5" t="n">
        <x:v>3</x:v>
      </x:c>
      <x:c r="J11" s="5" t="str">
        <x:v>低档暂按2×周表阈值，待预试</x:v>
      </x:c>
      <x:c r="K11" s="5" t="n">
        <x:v>1</x:v>
      </x:c>
      <x:c r="L11" s="5" t="str">
        <x:f>IF(I11=2,IF(H11&gt;G11,"两档有序","最大值与中位值重合"),IF(AND(F11&gt;0,F11&lt;G11,G11&lt;H11),"数值有序；仍需预试","需调整低中高"))</x:f>
        <x:v>数值有序；仍需预试</x:v>
      </x:c>
      <x:c r="M11" t="str">
        <x:f>IF(N11&lt;1,"固定基底（不参与变量）","参与变量设计")</x:f>
        <x:v>参与变量设计</x:v>
      </x:c>
      <x:c r="N11" t="n">
        <x:f>'平均值OAV_全库'!G23</x:f>
        <x:v>796.3290628115652</x:v>
      </x:c>
    </x:row>
    <x:row r="12" ht="25" customHeight="1">
      <x:c r="A12" s="5" t="n">
        <x:v>21</x:v>
      </x:c>
      <x:c r="B12" s="5" t="str">
        <x:v>异丁酸</x:v>
      </x:c>
      <x:c r="C12" s="5" t="str">
        <x:v>79-31-2</x:v>
      </x:c>
      <x:c r="D12" s="5" t="str">
        <x:v>两档成分</x:v>
      </x:c>
      <x:c r="E12" s="6" t="n">
        <x:v>1580</x:v>
      </x:c>
      <x:c r="F12" s="10"/>
      <x:c r="G12" s="10" t="n">
        <x:v>16.76</x:v>
      </x:c>
      <x:c r="H12" s="10" t="n">
        <x:v>11637.33</x:v>
      </x:c>
      <x:c r="I12" s="5" t="n">
        <x:v>2</x:v>
      </x:c>
      <x:c r="J12" s="5" t="str">
        <x:v>仅中位值及最大值</x:v>
      </x:c>
      <x:c r="K12" s="5" t="n">
        <x:v>1</x:v>
      </x:c>
      <x:c r="L12" s="5" t="str">
        <x:f>IF(I12=2,IF(H12&gt;G12,"两档有序","最大值与中位值重合"),IF(AND(F12&gt;0,F12&lt;G12,G12&lt;H12),"数值有序；仍需预试","需调整低中高"))</x:f>
        <x:v>两档有序</x:v>
      </x:c>
      <x:c r="M12" t="str">
        <x:f>IF(N12&lt;1,"固定基底（不参与变量）","参与变量设计")</x:f>
        <x:v>参与变量设计</x:v>
      </x:c>
      <x:c r="N12" t="n">
        <x:f>'平均值OAV_全库'!G26</x:f>
        <x:v>1.0986259307520474</x:v>
      </x:c>
    </x:row>
    <x:row r="13" ht="25" customHeight="1">
      <x:c r="A13" s="5" t="n">
        <x:v>32</x:v>
      </x:c>
      <x:c r="B13" s="5" t="str">
        <x:v>异丁酸乙酯</x:v>
      </x:c>
      <x:c r="C13" s="5" t="str">
        <x:v>97-62-1</x:v>
      </x:c>
      <x:c r="D13" s="5" t="str">
        <x:v>骨架成分</x:v>
      </x:c>
      <x:c r="E13" s="6" t="n">
        <x:v>57.5</x:v>
      </x:c>
      <x:c r="F13" s="10" t="n">
        <x:v>115</x:v>
      </x:c>
      <x:c r="G13" s="10" t="n">
        <x:v>2894.4</x:v>
      </x:c>
      <x:c r="H13" s="10" t="n">
        <x:v>37489</x:v>
      </x:c>
      <x:c r="I13" s="5" t="n">
        <x:v>3</x:v>
      </x:c>
      <x:c r="J13" s="5" t="str">
        <x:v>低档暂按2×周表阈值，待预试</x:v>
      </x:c>
      <x:c r="K13" s="5" t="n">
        <x:v>2</x:v>
      </x:c>
      <x:c r="L13" s="5" t="str">
        <x:f>IF(I13=2,IF(H13&gt;G13,"两档有序","最大值与中位值重合"),IF(AND(F13&gt;0,F13&lt;G13,G13&lt;H13),"数值有序；仍需预试","需调整低中高"))</x:f>
        <x:v>数值有序；仍需预试</x:v>
      </x:c>
      <x:c r="M13" t="str">
        <x:f>IF(N13&lt;1,"固定基底（不参与变量）","参与变量设计")</x:f>
        <x:v>参与变量设计</x:v>
      </x:c>
      <x:c r="N13" t="n">
        <x:f>'平均值OAV_全库'!G37</x:f>
        <x:v>117.41285114624507</x:v>
      </x:c>
    </x:row>
    <x:row r="14" ht="25" customHeight="1">
      <x:c r="A14" s="5" t="n">
        <x:v>40</x:v>
      </x:c>
      <x:c r="B14" s="5" t="str">
        <x:v>苯乙酸乙酯</x:v>
      </x:c>
      <x:c r="C14" s="5" t="str">
        <x:v>101-97-3</x:v>
      </x:c>
      <x:c r="D14" s="5" t="str">
        <x:v>重要成分</x:v>
      </x:c>
      <x:c r="E14" s="6" t="n">
        <x:v>407</x:v>
      </x:c>
      <x:c r="F14" s="10" t="n">
        <x:v>814</x:v>
      </x:c>
      <x:c r="G14" s="10" t="n">
        <x:v>883.62</x:v>
      </x:c>
      <x:c r="H14" s="10" t="n">
        <x:v>21400</x:v>
      </x:c>
      <x:c r="I14" s="5" t="n">
        <x:v>3</x:v>
      </x:c>
      <x:c r="J14" s="5" t="str">
        <x:v>低档暂按2×周表阈值，待预试</x:v>
      </x:c>
      <x:c r="K14" s="5" t="n">
        <x:v>1</x:v>
      </x:c>
      <x:c r="L14" s="5" t="str">
        <x:f>IF(I14=2,IF(H14&gt;G14,"两档有序","最大值与中位值重合"),IF(AND(F14&gt;0,F14&lt;G14,G14&lt;H14),"数值有序；仍需预试","需调整低中高"))</x:f>
        <x:v>数值有序；仍需预试</x:v>
      </x:c>
      <x:c r="M14" t="str">
        <x:f>IF(N14&lt;1,"固定基底（不参与变量）","参与变量设计")</x:f>
        <x:v>参与变量设计</x:v>
      </x:c>
      <x:c r="N14" t="n">
        <x:f>'平均值OAV_全库'!G45</x:f>
        <x:v>7.787734932793753</x:v>
      </x:c>
    </x:row>
    <x:row r="15" ht="25" customHeight="1">
      <x:c r="A15" s="5" t="n">
        <x:v>41</x:v>
      </x:c>
      <x:c r="B15" s="5" t="str">
        <x:v>乙酸苯乙酯</x:v>
      </x:c>
      <x:c r="C15" s="5" t="str">
        <x:v>103-45-7</x:v>
      </x:c>
      <x:c r="D15" s="5" t="str">
        <x:v>两档成分</x:v>
      </x:c>
      <x:c r="E15" s="6" t="n">
        <x:v>909</x:v>
      </x:c>
      <x:c r="F15" s="10"/>
      <x:c r="G15" s="10" t="n">
        <x:v>290</x:v>
      </x:c>
      <x:c r="H15" s="10" t="n">
        <x:v>94600</x:v>
      </x:c>
      <x:c r="I15" s="5" t="n">
        <x:v>2</x:v>
      </x:c>
      <x:c r="J15" s="5" t="str">
        <x:v>仅中位值及最大值</x:v>
      </x:c>
      <x:c r="K15" s="5" t="n">
        <x:v>1</x:v>
      </x:c>
      <x:c r="L15" s="5" t="str">
        <x:f>IF(I15=2,IF(H15&gt;G15,"两档有序","最大值与中位值重合"),IF(AND(F15&gt;0,F15&lt;G15,G15&lt;H15),"数值有序；仍需预试","需调整低中高"))</x:f>
        <x:v>两档有序</x:v>
      </x:c>
      <x:c r="M15" t="str">
        <x:f>IF(N15&lt;1,"固定基底（不参与变量）","参与变量设计")</x:f>
        <x:v>参与变量设计</x:v>
      </x:c>
      <x:c r="N15" t="n">
        <x:f>'平均值OAV_全库'!G46</x:f>
        <x:v>8.125207529227495</x:v>
      </x:c>
    </x:row>
    <x:row r="16" ht="25" customHeight="1">
      <x:c r="A16" s="5" t="n">
        <x:v>52</x:v>
      </x:c>
      <x:c r="B16" s="5" t="str">
        <x:v>丁酸乙酯</x:v>
      </x:c>
      <x:c r="C16" s="5" t="str">
        <x:v>105-54-4</x:v>
      </x:c>
      <x:c r="D16" s="5" t="str">
        <x:v>骨架成分</x:v>
      </x:c>
      <x:c r="E16" s="6" t="n">
        <x:v>81.5</x:v>
      </x:c>
      <x:c r="F16" s="10" t="n">
        <x:v>163</x:v>
      </x:c>
      <x:c r="G16" s="10" t="n">
        <x:v>11516</x:v>
      </x:c>
      <x:c r="H16" s="10" t="n">
        <x:v>1290235</x:v>
      </x:c>
      <x:c r="I16" s="5" t="n">
        <x:v>3</x:v>
      </x:c>
      <x:c r="J16" s="5" t="str">
        <x:v>低档暂按2×周表阈值，待预试</x:v>
      </x:c>
      <x:c r="K16" s="5" t="n">
        <x:v>3</x:v>
      </x:c>
      <x:c r="L16" s="5" t="str">
        <x:f>IF(I16=2,IF(H16&gt;G16,"两档有序","最大值与中位值重合"),IF(AND(F16&gt;0,F16&lt;G16,G16&lt;H16),"数值有序；仍需预试","需调整低中高"))</x:f>
        <x:v>数值有序；仍需预试</x:v>
      </x:c>
      <x:c r="M16" t="str">
        <x:f>IF(N16&lt;1,"固定基底（不参与变量）","参与变量设计")</x:f>
        <x:v>参与变量设计</x:v>
      </x:c>
      <x:c r="N16" t="n">
        <x:f>'平均值OAV_全库'!G57</x:f>
        <x:v>1312.1841258237935</x:v>
      </x:c>
    </x:row>
    <x:row r="17" ht="25" customHeight="1">
      <x:c r="A17" s="5" t="n">
        <x:v>53</x:v>
      </x:c>
      <x:c r="B17" s="5" t="str">
        <x:v>乙醛二乙缩醛</x:v>
      </x:c>
      <x:c r="C17" s="5" t="str">
        <x:v>105-57-7</x:v>
      </x:c>
      <x:c r="D17" s="5" t="str">
        <x:v>重要成分</x:v>
      </x:c>
      <x:c r="E17" s="6" t="n">
        <x:v>2090</x:v>
      </x:c>
      <x:c r="F17" s="10" t="n">
        <x:v>4180</x:v>
      </x:c>
      <x:c r="G17" s="10" t="n">
        <x:v>77200</x:v>
      </x:c>
      <x:c r="H17" s="10" t="n">
        <x:v>784300</x:v>
      </x:c>
      <x:c r="I17" s="5" t="n">
        <x:v>3</x:v>
      </x:c>
      <x:c r="J17" s="5" t="str">
        <x:v>低档暂按2×周表阈值，待预试</x:v>
      </x:c>
      <x:c r="K17" s="5" t="n">
        <x:v>1</x:v>
      </x:c>
      <x:c r="L17" s="5" t="str">
        <x:f>IF(I17=2,IF(H17&gt;G17,"两档有序","最大值与中位值重合"),IF(AND(F17&gt;0,F17&lt;G17,G17&lt;H17),"数值有序；仍需预试","需调整低中高"))</x:f>
        <x:v>数值有序；仍需预试</x:v>
      </x:c>
      <x:c r="M17" t="str">
        <x:f>IF(N17&lt;1,"固定基底（不参与变量）","参与变量设计")</x:f>
        <x:v>参与变量设计</x:v>
      </x:c>
      <x:c r="N17" t="n">
        <x:f>'平均值OAV_全库'!G58</x:f>
        <x:v>46.98410179463812</x:v>
      </x:c>
    </x:row>
    <x:row r="18" ht="25" customHeight="1">
      <x:c r="A18" s="5" t="n">
        <x:v>56</x:v>
      </x:c>
      <x:c r="B18" s="5" t="str">
        <x:v>丁酸异戊酯</x:v>
      </x:c>
      <x:c r="C18" s="5" t="str">
        <x:v>106-27-4</x:v>
      </x:c>
      <x:c r="D18" s="5" t="str">
        <x:v>两档成分</x:v>
      </x:c>
      <x:c r="E18" s="6" t="n">
        <x:v>915</x:v>
      </x:c>
      <x:c r="F18" s="10"/>
      <x:c r="G18" s="10" t="n">
        <x:v>1041.8500000000001</x:v>
      </x:c>
      <x:c r="H18" s="10" t="n">
        <x:v>4105</x:v>
      </x:c>
      <x:c r="I18" s="5" t="n">
        <x:v>2</x:v>
      </x:c>
      <x:c r="J18" s="5" t="str">
        <x:v>仅中位值及最大值</x:v>
      </x:c>
      <x:c r="K18" s="5" t="n">
        <x:v>1</x:v>
      </x:c>
      <x:c r="L18" s="5" t="str">
        <x:f>IF(I18=2,IF(H18&gt;G18,"两档有序","最大值与中位值重合"),IF(AND(F18&gt;0,F18&lt;G18,G18&lt;H18),"数值有序；仍需预试","需调整低中高"))</x:f>
        <x:v>两档有序</x:v>
      </x:c>
      <x:c r="M18" t="str">
        <x:f>IF(N18&lt;1,"固定基底（不参与变量）","参与变量设计")</x:f>
        <x:v>参与变量设计</x:v>
      </x:c>
      <x:c r="N18" t="n">
        <x:f>'平均值OAV_全库'!G61</x:f>
        <x:v>1.377583821233411</x:v>
      </x:c>
    </x:row>
    <x:row r="19" ht="25" customHeight="1">
      <x:c r="A19" s="5" t="n">
        <x:v>57</x:v>
      </x:c>
      <x:c r="B19" s="5" t="str">
        <x:v>庚酸乙酯</x:v>
      </x:c>
      <x:c r="C19" s="5" t="str">
        <x:v>106-30-9</x:v>
      </x:c>
      <x:c r="D19" s="5" t="str">
        <x:v>两档成分</x:v>
      </x:c>
      <x:c r="E19" s="6" t="n">
        <x:v>13153</x:v>
      </x:c>
      <x:c r="F19" s="10"/>
      <x:c r="G19" s="10" t="n">
        <x:v>1210</x:v>
      </x:c>
      <x:c r="H19" s="10" t="n">
        <x:v>348671</x:v>
      </x:c>
      <x:c r="I19" s="5" t="n">
        <x:v>2</x:v>
      </x:c>
      <x:c r="J19" s="5" t="str">
        <x:v>仅中位值及最大值</x:v>
      </x:c>
      <x:c r="K19" s="5" t="n">
        <x:v>1</x:v>
      </x:c>
      <x:c r="L19" s="5" t="str">
        <x:f>IF(I19=2,IF(H19&gt;G19,"两档有序","最大值与中位值重合"),IF(AND(F19&gt;0,F19&lt;G19,G19&lt;H19),"数值有序；仍需预试","需调整低中高"))</x:f>
        <x:v>两档有序</x:v>
      </x:c>
      <x:c r="M19" t="str">
        <x:f>IF(N19&lt;1,"固定基底（不参与变量）","参与变量设计")</x:f>
        <x:v>参与变量设计</x:v>
      </x:c>
      <x:c r="N19" t="n">
        <x:f>'平均值OAV_全库'!G62</x:f>
        <x:v>2.107658403178855</x:v>
      </x:c>
    </x:row>
    <x:row r="20" ht="25" customHeight="1">
      <x:c r="A20" s="5" t="n">
        <x:v>58</x:v>
      </x:c>
      <x:c r="B20" s="5" t="str">
        <x:v>辛酸乙酯</x:v>
      </x:c>
      <x:c r="C20" s="5" t="str">
        <x:v>106-32-1</x:v>
      </x:c>
      <x:c r="D20" s="5" t="str">
        <x:v>骨架成分</x:v>
      </x:c>
      <x:c r="E20" s="6" t="n">
        <x:v>12.9</x:v>
      </x:c>
      <x:c r="F20" s="10" t="n">
        <x:v>25.8</x:v>
      </x:c>
      <x:c r="G20" s="10" t="n">
        <x:v>1601</x:v>
      </x:c>
      <x:c r="H20" s="10" t="n">
        <x:v>1865945</x:v>
      </x:c>
      <x:c r="I20" s="5" t="n">
        <x:v>3</x:v>
      </x:c>
      <x:c r="J20" s="5" t="str">
        <x:v>低档暂按2×周表阈值，待预试</x:v>
      </x:c>
      <x:c r="K20" s="5" t="n">
        <x:v>2</x:v>
      </x:c>
      <x:c r="L20" s="5" t="str">
        <x:f>IF(I20=2,IF(H20&gt;G20,"两档有序","最大值与中位值重合"),IF(AND(F20&gt;0,F20&lt;G20,G20&lt;H20),"数值有序；仍需预试","需调整低中高"))</x:f>
        <x:v>数值有序；仍需预试</x:v>
      </x:c>
      <x:c r="M20" t="str">
        <x:f>IF(N20&lt;1,"固定基底（不参与变量）","参与变量设计")</x:f>
        <x:v>参与变量设计</x:v>
      </x:c>
      <x:c r="N20" t="n">
        <x:f>'平均值OAV_全库'!G63</x:f>
        <x:v>4085.1248798449606</x:v>
      </x:c>
    </x:row>
    <x:row r="21" ht="25" customHeight="1">
      <x:c r="A21" s="5" t="n">
        <x:v>61</x:v>
      </x:c>
      <x:c r="B21" s="5" t="str">
        <x:v>对甲酚</x:v>
      </x:c>
      <x:c r="C21" s="5" t="str">
        <x:v>106-44-5</x:v>
      </x:c>
      <x:c r="D21" s="5" t="str">
        <x:v>重要成分</x:v>
      </x:c>
      <x:c r="E21" s="6" t="n">
        <x:v>167</x:v>
      </x:c>
      <x:c r="F21" s="10" t="n">
        <x:v>334</x:v>
      </x:c>
      <x:c r="G21" s="10" t="n">
        <x:v>359.87</x:v>
      </x:c>
      <x:c r="H21" s="10" t="n">
        <x:v>6914</x:v>
      </x:c>
      <x:c r="I21" s="5" t="n">
        <x:v>3</x:v>
      </x:c>
      <x:c r="J21" s="5" t="str">
        <x:v>低档暂按2×周表阈值，待预试</x:v>
      </x:c>
      <x:c r="K21" s="5" t="n">
        <x:v>2</x:v>
      </x:c>
      <x:c r="L21" s="5" t="str">
        <x:f>IF(I21=2,IF(H21&gt;G21,"两档有序","最大值与中位值重合"),IF(AND(F21&gt;0,F21&lt;G21,G21&lt;H21),"数值有序；仍需预试","需调整低中高"))</x:f>
        <x:v>数值有序；仍需预试</x:v>
      </x:c>
      <x:c r="M21" t="str">
        <x:f>IF(N21&lt;1,"固定基底（不参与变量）","参与变量设计")</x:f>
        <x:v>参与变量设计</x:v>
      </x:c>
      <x:c r="N21" t="n">
        <x:f>'平均值OAV_全库'!G66</x:f>
        <x:v>5.745873745466811</x:v>
      </x:c>
    </x:row>
    <x:row r="22" ht="25" customHeight="1">
      <x:c r="A22" s="5" t="n">
        <x:v>65</x:v>
      </x:c>
      <x:c r="B22" s="5" t="str">
        <x:v>丁酸</x:v>
      </x:c>
      <x:c r="C22" s="5" t="str">
        <x:v>107-92-6</x:v>
      </x:c>
      <x:c r="D22" s="5" t="str">
        <x:v>两档成分</x:v>
      </x:c>
      <x:c r="E22" s="6" t="n">
        <x:v>965</x:v>
      </x:c>
      <x:c r="F22" s="10"/>
      <x:c r="G22" s="10" t="n">
        <x:v>803.5</x:v>
      </x:c>
      <x:c r="H22" s="10" t="n">
        <x:v>295816</x:v>
      </x:c>
      <x:c r="I22" s="5" t="n">
        <x:v>2</x:v>
      </x:c>
      <x:c r="J22" s="5" t="str">
        <x:v>仅中位值及最大值</x:v>
      </x:c>
      <x:c r="K22" s="5" t="n">
        <x:v>1</x:v>
      </x:c>
      <x:c r="L22" s="5" t="str">
        <x:f>IF(I22=2,IF(H22&gt;G22,"两档有序","最大值与中位值重合"),IF(AND(F22&gt;0,F22&lt;G22,G22&lt;H22),"数值有序；仍需预试","需调整低中高"))</x:f>
        <x:v>两档有序</x:v>
      </x:c>
      <x:c r="M22" t="str">
        <x:f>IF(N22&lt;1,"固定基底（不参与变量）","参与变量设计")</x:f>
        <x:v>参与变量设计</x:v>
      </x:c>
      <x:c r="N22" t="n">
        <x:f>'平均值OAV_全库'!G70</x:f>
        <x:v>45.95393831729584</x:v>
      </x:c>
    </x:row>
    <x:row r="23" ht="25" customHeight="1">
      <x:c r="A23" s="5" t="n">
        <x:v>69</x:v>
      </x:c>
      <x:c r="B23" s="5" t="str">
        <x:v>异戊酸乙酯（3-甲基丁酸乙酯）</x:v>
      </x:c>
      <x:c r="C23" s="5" t="str">
        <x:v>108-64-5</x:v>
      </x:c>
      <x:c r="D23" s="5" t="str">
        <x:v>骨架成分</x:v>
      </x:c>
      <x:c r="E23" s="6" t="n">
        <x:v>6.89</x:v>
      </x:c>
      <x:c r="F23" s="10" t="n">
        <x:v>13.78</x:v>
      </x:c>
      <x:c r="G23" s="10" t="n">
        <x:v>553</x:v>
      </x:c>
      <x:c r="H23" s="10" t="n">
        <x:v>12022.2</x:v>
      </x:c>
      <x:c r="I23" s="5" t="n">
        <x:v>3</x:v>
      </x:c>
      <x:c r="J23" s="5" t="str">
        <x:v>低档暂按2×周表阈值，待预试</x:v>
      </x:c>
      <x:c r="K23" s="5" t="n">
        <x:v>2</x:v>
      </x:c>
      <x:c r="L23" s="5" t="str">
        <x:f>IF(I23=2,IF(H23&gt;G23,"两档有序","最大值与中位值重合"),IF(AND(F23&gt;0,F23&lt;G23,G23&lt;H23),"数值有序；仍需预试","需调整低中高"))</x:f>
        <x:v>数值有序；仍需预试</x:v>
      </x:c>
      <x:c r="M23" t="str">
        <x:f>IF(N23&lt;1,"固定基底（不参与变量）","参与变量设计")</x:f>
        <x:v>参与变量设计</x:v>
      </x:c>
      <x:c r="N23" t="n">
        <x:f>'平均值OAV_全库'!G74</x:f>
        <x:v>254.73737590711178</x:v>
      </x:c>
    </x:row>
    <x:row r="24" ht="25" customHeight="1">
      <x:c r="A24" s="5" t="n">
        <x:v>75</x:v>
      </x:c>
      <x:c r="B24" s="5" t="str">
        <x:v>戊酸</x:v>
      </x:c>
      <x:c r="C24" s="5" t="str">
        <x:v>109-52-4</x:v>
      </x:c>
      <x:c r="D24" s="5" t="str">
        <x:v>重要成分</x:v>
      </x:c>
      <x:c r="E24" s="6" t="n">
        <x:v>389</x:v>
      </x:c>
      <x:c r="F24" s="10" t="n">
        <x:v>778</x:v>
      </x:c>
      <x:c r="G24" s="10" t="n">
        <x:v>2417</x:v>
      </x:c>
      <x:c r="H24" s="10" t="n">
        <x:v>62700</x:v>
      </x:c>
      <x:c r="I24" s="5" t="n">
        <x:v>3</x:v>
      </x:c>
      <x:c r="J24" s="5" t="str">
        <x:v>低档暂按2×周表阈值，待预试</x:v>
      </x:c>
      <x:c r="K24" s="5" t="n">
        <x:v>1</x:v>
      </x:c>
      <x:c r="L24" s="5" t="str">
        <x:f>IF(I24=2,IF(H24&gt;G24,"两档有序","最大值与中位值重合"),IF(AND(F24&gt;0,F24&lt;G24,G24&lt;H24),"数值有序；仍需预试","需调整低中高"))</x:f>
        <x:v>数值有序；仍需预试</x:v>
      </x:c>
      <x:c r="M24" t="str">
        <x:f>IF(N24&lt;1,"固定基底（不参与变量）","参与变量设计")</x:f>
        <x:v>参与变量设计</x:v>
      </x:c>
      <x:c r="N24" t="n">
        <x:f>'平均值OAV_全库'!G80</x:f>
        <x:v>31.06057063758863</x:v>
      </x:c>
    </x:row>
    <x:row r="25" ht="25" customHeight="1">
      <x:c r="A25" s="5" t="n">
        <x:v>79</x:v>
      </x:c>
      <x:c r="B25" s="5" t="str">
        <x:v>癸酸乙酯</x:v>
      </x:c>
      <x:c r="C25" s="5" t="str">
        <x:v>110-38-3</x:v>
      </x:c>
      <x:c r="D25" s="5" t="str">
        <x:v>两档成分</x:v>
      </x:c>
      <x:c r="E25" s="6" t="n">
        <x:v>1120</x:v>
      </x:c>
      <x:c r="F25" s="10"/>
      <x:c r="G25" s="10" t="n">
        <x:v>1288.255</x:v>
      </x:c>
      <x:c r="H25" s="10" t="n">
        <x:v>56115</x:v>
      </x:c>
      <x:c r="I25" s="5" t="n">
        <x:v>2</x:v>
      </x:c>
      <x:c r="J25" s="5" t="str">
        <x:v>仅中位值及最大值</x:v>
      </x:c>
      <x:c r="K25" s="5" t="n">
        <x:v>1</x:v>
      </x:c>
      <x:c r="L25" s="5" t="str">
        <x:f>IF(I25=2,IF(H25&gt;G25,"两档有序","最大值与中位值重合"),IF(AND(F25&gt;0,F25&lt;G25,G25&lt;H25),"数值有序；仍需预试","需调整低中高"))</x:f>
        <x:v>两档有序</x:v>
      </x:c>
      <x:c r="M25" t="str">
        <x:f>IF(N25&lt;1,"固定基底（不参与变量）","参与变量设计")</x:f>
        <x:v>参与变量设计</x:v>
      </x:c>
      <x:c r="N25" t="n">
        <x:f>'平均值OAV_全库'!G84</x:f>
        <x:v>4.197170144462281</x:v>
      </x:c>
    </x:row>
    <x:row r="26" ht="25" customHeight="1">
      <x:c r="A26" s="5" t="n">
        <x:v>85</x:v>
      </x:c>
      <x:c r="B26" s="5" t="str">
        <x:v>1-己醇</x:v>
      </x:c>
      <x:c r="C26" s="5" t="str">
        <x:v>111-27-3</x:v>
      </x:c>
      <x:c r="D26" s="5" t="str">
        <x:v>两档成分</x:v>
      </x:c>
      <x:c r="E26" s="6" t="n">
        <x:v>5370</x:v>
      </x:c>
      <x:c r="F26" s="10"/>
      <x:c r="G26" s="10" t="n">
        <x:v>3900</x:v>
      </x:c>
      <x:c r="H26" s="10" t="n">
        <x:v>1869000</x:v>
      </x:c>
      <x:c r="I26" s="5" t="n">
        <x:v>2</x:v>
      </x:c>
      <x:c r="J26" s="5" t="str">
        <x:v>仅中位值及最大值</x:v>
      </x:c>
      <x:c r="K26" s="5" t="n">
        <x:v>1</x:v>
      </x:c>
      <x:c r="L26" s="5" t="str">
        <x:f>IF(I26=2,IF(H26&gt;G26,"两档有序","最大值与中位值重合"),IF(AND(F26&gt;0,F26&lt;G26,G26&lt;H26),"数值有序；仍需预试","需调整低中高"))</x:f>
        <x:v>两档有序</x:v>
      </x:c>
      <x:c r="M26" t="str">
        <x:f>IF(N26&lt;1,"固定基底（不参与变量）","参与变量设计")</x:f>
        <x:v>参与变量设计</x:v>
      </x:c>
      <x:c r="N26" t="n">
        <x:f>'平均值OAV_全库'!G90</x:f>
        <x:v>28.550894785847294</x:v>
      </x:c>
    </x:row>
    <x:row r="27" ht="25" customHeight="1">
      <x:c r="A27" s="5" t="n">
        <x:v>90</x:v>
      </x:c>
      <x:c r="B27" s="5" t="str">
        <x:v>1-辛醇</x:v>
      </x:c>
      <x:c r="C27" s="5" t="str">
        <x:v>111-87-5</x:v>
      </x:c>
      <x:c r="D27" s="5" t="str">
        <x:v>两档成分</x:v>
      </x:c>
      <x:c r="E27" s="6" t="n">
        <x:v>1100</x:v>
      </x:c>
      <x:c r="F27" s="10"/>
      <x:c r="G27" s="10" t="n">
        <x:v>1232.25</x:v>
      </x:c>
      <x:c r="H27" s="10" t="n">
        <x:v>25642.45</x:v>
      </x:c>
      <x:c r="I27" s="5" t="n">
        <x:v>2</x:v>
      </x:c>
      <x:c r="J27" s="5" t="str">
        <x:v>仅中位值及最大值</x:v>
      </x:c>
      <x:c r="K27" s="5" t="n">
        <x:v>1</x:v>
      </x:c>
      <x:c r="L27" s="5" t="str">
        <x:f>IF(I27=2,IF(H27&gt;G27,"两档有序","最大值与中位值重合"),IF(AND(F27&gt;0,F27&lt;G27,G27&lt;H27),"数值有序；仍需预试","需调整低中高"))</x:f>
        <x:v>两档有序</x:v>
      </x:c>
      <x:c r="M27" t="str">
        <x:f>IF(N27&lt;1,"固定基底（不参与变量）","参与变量设计")</x:f>
        <x:v>参与变量设计</x:v>
      </x:c>
      <x:c r="N27" t="n">
        <x:f>'平均值OAV_全库'!G95</x:f>
        <x:v>2.0553813893653516</x:v>
      </x:c>
    </x:row>
    <x:row r="28" ht="25" customHeight="1">
      <x:c r="A28" s="5" t="n">
        <x:v>105</x:v>
      </x:c>
      <x:c r="B28" s="5" t="str">
        <x:v>苯乙醛</x:v>
      </x:c>
      <x:c r="C28" s="5" t="str">
        <x:v>122-78-1</x:v>
      </x:c>
      <x:c r="D28" s="5" t="str">
        <x:v>重要成分</x:v>
      </x:c>
      <x:c r="E28" s="6" t="n">
        <x:v>262</x:v>
      </x:c>
      <x:c r="F28" s="10" t="n">
        <x:v>524</x:v>
      </x:c>
      <x:c r="G28" s="10" t="n">
        <x:v>556.325</x:v>
      </x:c>
      <x:c r="H28" s="10" t="n">
        <x:v>15730</x:v>
      </x:c>
      <x:c r="I28" s="5" t="n">
        <x:v>3</x:v>
      </x:c>
      <x:c r="J28" s="5" t="str">
        <x:v>低档暂按2×周表阈值，待预试</x:v>
      </x:c>
      <x:c r="K28" s="5" t="n">
        <x:v>2</x:v>
      </x:c>
      <x:c r="L28" s="5" t="str">
        <x:f>IF(I28=2,IF(H28&gt;G28,"两档有序","最大值与中位值重合"),IF(AND(F28&gt;0,F28&lt;G28,G28&lt;H28),"数值有序；仍需预试","需调整低中高"))</x:f>
        <x:v>数值有序；仍需预试</x:v>
      </x:c>
      <x:c r="M28" t="str">
        <x:f>IF(N28&lt;1,"固定基底（不参与变量）","参与变量设计")</x:f>
        <x:v>参与变量设计</x:v>
      </x:c>
      <x:c r="N28" t="n">
        <x:f>'平均值OAV_全库'!G110</x:f>
        <x:v>6.1956393129770975</x:v>
      </x:c>
    </x:row>
    <x:row r="29" ht="25" customHeight="1">
      <x:c r="A29" s="5" t="n">
        <x:v>106</x:v>
      </x:c>
      <x:c r="B29" s="5" t="str">
        <x:v>4-乙基苯酚</x:v>
      </x:c>
      <x:c r="C29" s="5" t="str">
        <x:v>123-07-9</x:v>
      </x:c>
      <x:c r="D29" s="5" t="str">
        <x:v>两档成分</x:v>
      </x:c>
      <x:c r="E29" s="6" t="n">
        <x:v>123</x:v>
      </x:c>
      <x:c r="F29" s="10"/>
      <x:c r="G29" s="10" t="n">
        <x:v>73.175</x:v>
      </x:c>
      <x:c r="H29" s="10" t="n">
        <x:v>2501.24</x:v>
      </x:c>
      <x:c r="I29" s="5" t="n">
        <x:v>2</x:v>
      </x:c>
      <x:c r="J29" s="5" t="str">
        <x:v>仅中位值及最大值</x:v>
      </x:c>
      <x:c r="K29" s="5" t="n">
        <x:v>1</x:v>
      </x:c>
      <x:c r="L29" s="5" t="str">
        <x:f>IF(I29=2,IF(H29&gt;G29,"两档有序","最大值与中位值重合"),IF(AND(F29&gt;0,F29&lt;G29,G29&lt;H29),"数值有序；仍需预试","需调整低中高"))</x:f>
        <x:v>两档有序</x:v>
      </x:c>
      <x:c r="M29" t="str">
        <x:f>IF(N29&lt;1,"固定基底（不参与变量）","参与变量设计")</x:f>
        <x:v>参与变量设计</x:v>
      </x:c>
      <x:c r="N29" t="n">
        <x:f>'平均值OAV_全库'!G111</x:f>
        <x:v>2.543065518890483</x:v>
      </x:c>
    </x:row>
    <x:row r="30" ht="25" customHeight="1">
      <x:c r="A30" s="5" t="n">
        <x:v>110</x:v>
      </x:c>
      <x:c r="B30" s="5" t="str">
        <x:v>3-甲基-1-丁醇（异戊醇）</x:v>
      </x:c>
      <x:c r="C30" s="5" t="str">
        <x:v>123-51-3</x:v>
      </x:c>
      <x:c r="D30" s="5" t="str">
        <x:v>两档成分</x:v>
      </x:c>
      <x:c r="E30" s="6" t="n">
        <x:v>179191</x:v>
      </x:c>
      <x:c r="F30" s="10"/>
      <x:c r="G30" s="10" t="n">
        <x:v>23666.83335</x:v>
      </x:c>
      <x:c r="H30" s="10" t="n">
        <x:v>1132450</x:v>
      </x:c>
      <x:c r="I30" s="5" t="n">
        <x:v>2</x:v>
      </x:c>
      <x:c r="J30" s="5" t="str">
        <x:v>仅中位值及最大值</x:v>
      </x:c>
      <x:c r="K30" s="5" t="n">
        <x:v>1</x:v>
      </x:c>
      <x:c r="L30" s="5" t="str">
        <x:f>IF(I30=2,IF(H30&gt;G30,"两档有序","最大值与中位值重合"),IF(AND(F30&gt;0,F30&lt;G30,G30&lt;H30),"数值有序；仍需预试","需调整低中高"))</x:f>
        <x:v>两档有序</x:v>
      </x:c>
      <x:c r="M30" t="str">
        <x:f>IF(N30&lt;1,"固定基底（不参与变量）","参与变量设计")</x:f>
        <x:v>固定基底（不参与变量）</x:v>
      </x:c>
      <x:c r="N30" t="n">
        <x:f>'平均值OAV_全库'!G115</x:f>
        <x:v>0.5813657480304212</x:v>
      </x:c>
    </x:row>
    <x:row r="31" ht="25" customHeight="1">
      <x:c r="A31" s="5" t="n">
        <x:v>111</x:v>
      </x:c>
      <x:c r="B31" s="5" t="str">
        <x:v>己酸乙酯</x:v>
      </x:c>
      <x:c r="C31" s="5" t="str">
        <x:v>123-66-0</x:v>
      </x:c>
      <x:c r="D31" s="5" t="str">
        <x:v>骨架成分</x:v>
      </x:c>
      <x:c r="E31" s="6" t="n">
        <x:v>55.3</x:v>
      </x:c>
      <x:c r="F31" s="10" t="n">
        <x:v>110.6</x:v>
      </x:c>
      <x:c r="G31" s="10" t="n">
        <x:v>215340</x:v>
      </x:c>
      <x:c r="H31" s="10" t="n">
        <x:v>9622120</x:v>
      </x:c>
      <x:c r="I31" s="5" t="n">
        <x:v>3</x:v>
      </x:c>
      <x:c r="J31" s="5" t="str">
        <x:v>低档暂按2×周表阈值，待预试</x:v>
      </x:c>
      <x:c r="K31" s="5" t="n">
        <x:v>5</x:v>
      </x:c>
      <x:c r="L31" s="5" t="str">
        <x:f>IF(I31=2,IF(H31&gt;G31,"两档有序","最大值与中位值重合"),IF(AND(F31&gt;0,F31&lt;G31,G31&lt;H31),"数值有序；仍需预试","需调整低中高"))</x:f>
        <x:v>数值有序；仍需预试</x:v>
      </x:c>
      <x:c r="M31" t="str">
        <x:f>IF(N31&lt;1,"固定基底（不参与变量）","参与变量设计")</x:f>
        <x:v>参与变量设计</x:v>
      </x:c>
      <x:c r="N31" t="n">
        <x:f>'平均值OAV_全库'!G116</x:f>
        <x:v>14272.568363252785</x:v>
      </x:c>
    </x:row>
    <x:row r="32" ht="25" customHeight="1">
      <x:c r="A32" s="5" t="n">
        <x:v>114</x:v>
      </x:c>
      <x:c r="B32" s="5" t="str">
        <x:v>乙酸丁酯</x:v>
      </x:c>
      <x:c r="C32" s="5" t="str">
        <x:v>123-86-4</x:v>
      </x:c>
      <x:c r="D32" s="5" t="str">
        <x:v>两档成分</x:v>
      </x:c>
      <x:c r="E32" s="6" t="n">
        <x:v>1800</x:v>
      </x:c>
      <x:c r="F32" s="10"/>
      <x:c r="G32" s="10" t="n">
        <x:v>3147.945</x:v>
      </x:c>
      <x:c r="H32" s="10" t="n">
        <x:v>47100</x:v>
      </x:c>
      <x:c r="I32" s="5" t="n">
        <x:v>2</x:v>
      </x:c>
      <x:c r="J32" s="5" t="str">
        <x:v>仅中位值及最大值</x:v>
      </x:c>
      <x:c r="K32" s="5" t="n">
        <x:v>1</x:v>
      </x:c>
      <x:c r="L32" s="5" t="str">
        <x:f>IF(I32=2,IF(H32&gt;G32,"两档有序","最大值与中位值重合"),IF(AND(F32&gt;0,F32&lt;G32,G32&lt;H32),"数值有序；仍需预试","需调整低中高"))</x:f>
        <x:v>两档有序</x:v>
      </x:c>
      <x:c r="M32" t="str">
        <x:f>IF(N32&lt;1,"固定基底（不参与变量）","参与变量设计")</x:f>
        <x:v>参与变量设计</x:v>
      </x:c>
      <x:c r="N32" t="n">
        <x:f>'平均值OAV_全库'!G119</x:f>
        <x:v>2.6576350000000004</x:v>
      </x:c>
    </x:row>
    <x:row r="33" ht="25" customHeight="1">
      <x:c r="A33" s="5" t="n">
        <x:v>115</x:v>
      </x:c>
      <x:c r="B33" s="5" t="str">
        <x:v>乙酸异戊酯</x:v>
      </x:c>
      <x:c r="C33" s="5" t="str">
        <x:v>123-92-2</x:v>
      </x:c>
      <x:c r="D33" s="5" t="str">
        <x:v>重要成分</x:v>
      </x:c>
      <x:c r="E33" s="6" t="n">
        <x:v>93.9</x:v>
      </x:c>
      <x:c r="F33" s="10" t="n">
        <x:v>187.8</x:v>
      </x:c>
      <x:c r="G33" s="10" t="n">
        <x:v>443.16499999999996</x:v>
      </x:c>
      <x:c r="H33" s="10" t="n">
        <x:v>6516</x:v>
      </x:c>
      <x:c r="I33" s="5" t="n">
        <x:v>3</x:v>
      </x:c>
      <x:c r="J33" s="5" t="str">
        <x:v>低档暂按2×周表阈值，待预试</x:v>
      </x:c>
      <x:c r="K33" s="5" t="n">
        <x:v>1</x:v>
      </x:c>
      <x:c r="L33" s="5" t="str">
        <x:f>IF(I33=2,IF(H33&gt;G33,"两档有序","最大值与中位值重合"),IF(AND(F33&gt;0,F33&lt;G33,G33&lt;H33),"数值有序；仍需预试","需调整低中高"))</x:f>
        <x:v>数值有序；仍需预试</x:v>
      </x:c>
      <x:c r="M33" t="str">
        <x:f>IF(N33&lt;1,"固定基底（不参与变量）","参与变量设计")</x:f>
        <x:v>参与变量设计</x:v>
      </x:c>
      <x:c r="N33" t="n">
        <x:f>'平均值OAV_全库'!G120</x:f>
        <x:v>16.82117649538516</x:v>
      </x:c>
    </x:row>
    <x:row r="34" ht="25" customHeight="1">
      <x:c r="A34" s="5" t="n">
        <x:v>117</x:v>
      </x:c>
      <x:c r="B34" s="5" t="str">
        <x:v>辛酸</x:v>
      </x:c>
      <x:c r="C34" s="5" t="str">
        <x:v>124-07-2</x:v>
      </x:c>
      <x:c r="D34" s="5" t="str">
        <x:v>重要成分</x:v>
      </x:c>
      <x:c r="E34" s="6" t="n">
        <x:v>2700</x:v>
      </x:c>
      <x:c r="F34" s="10" t="n">
        <x:v>5400</x:v>
      </x:c>
      <x:c r="G34" s="10" t="n">
        <x:v>7200</x:v>
      </x:c>
      <x:c r="H34" s="10" t="n">
        <x:v>40201.1</x:v>
      </x:c>
      <x:c r="I34" s="5" t="n">
        <x:v>3</x:v>
      </x:c>
      <x:c r="J34" s="5" t="str">
        <x:v>低档暂按2×周表阈值，待预试</x:v>
      </x:c>
      <x:c r="K34" s="5" t="n">
        <x:v>1</x:v>
      </x:c>
      <x:c r="L34" s="5" t="str">
        <x:f>IF(I34=2,IF(H34&gt;G34,"两档有序","最大值与中位值重合"),IF(AND(F34&gt;0,F34&lt;G34,G34&lt;H34),"数值有序；仍需预试","需调整低中高"))</x:f>
        <x:v>数值有序；仍需预试</x:v>
      </x:c>
      <x:c r="M34" t="str">
        <x:f>IF(N34&lt;1,"固定基底（不参与变量）","参与变量设计")</x:f>
        <x:v>参与变量设计</x:v>
      </x:c>
      <x:c r="N34" t="n">
        <x:f>'平均值OAV_全库'!G122</x:f>
        <x:v>3.338812541022035</x:v>
      </x:c>
    </x:row>
    <x:row r="35" ht="25" customHeight="1">
      <x:c r="A35" s="5" t="n">
        <x:v>124</x:v>
      </x:c>
      <x:c r="B35" s="5" t="str">
        <x:v>乙酸乙酯</x:v>
      </x:c>
      <x:c r="C35" s="5" t="str">
        <x:v>141-78-6</x:v>
      </x:c>
      <x:c r="D35" s="5" t="str">
        <x:v>两档成分</x:v>
      </x:c>
      <x:c r="E35" s="6" t="n">
        <x:v>32552</x:v>
      </x:c>
      <x:c r="F35" s="10"/>
      <x:c r="G35" s="10" t="n">
        <x:v>11154</x:v>
      </x:c>
      <x:c r="H35" s="10" t="n">
        <x:v>4021850</x:v>
      </x:c>
      <x:c r="I35" s="5" t="n">
        <x:v>2</x:v>
      </x:c>
      <x:c r="J35" s="5" t="str">
        <x:v>仅中位值及最大值</x:v>
      </x:c>
      <x:c r="K35" s="5" t="n">
        <x:v>1</x:v>
      </x:c>
      <x:c r="L35" s="5" t="str">
        <x:f>IF(I35=2,IF(H35&gt;G35,"两档有序","最大值与中位值重合"),IF(AND(F35&gt;0,F35&lt;G35,G35&lt;H35),"数值有序；仍需预试","需调整低中高"))</x:f>
        <x:v>两档有序</x:v>
      </x:c>
      <x:c r="M35" t="str">
        <x:f>IF(N35&lt;1,"固定基底（不参与变量）","参与变量设计")</x:f>
        <x:v>参与变量设计</x:v>
      </x:c>
      <x:c r="N35" t="n">
        <x:f>'平均值OAV_全库'!G129</x:f>
        <x:v>12.471581057012077</x:v>
      </x:c>
    </x:row>
    <x:row r="36" ht="25" customHeight="1">
      <x:c r="A36" s="5" t="n">
        <x:v>126</x:v>
      </x:c>
      <x:c r="B36" s="5" t="str">
        <x:v>己酸</x:v>
      </x:c>
      <x:c r="C36" s="5" t="str">
        <x:v>142-62-1</x:v>
      </x:c>
      <x:c r="D36" s="5" t="str">
        <x:v>重要成分</x:v>
      </x:c>
      <x:c r="E36" s="6" t="n">
        <x:v>2520</x:v>
      </x:c>
      <x:c r="F36" s="10" t="n">
        <x:v>5040</x:v>
      </x:c>
      <x:c r="G36" s="10" t="n">
        <x:v>21500</x:v>
      </x:c>
      <x:c r="H36" s="10" t="n">
        <x:v>1551340.76</x:v>
      </x:c>
      <x:c r="I36" s="5" t="n">
        <x:v>3</x:v>
      </x:c>
      <x:c r="J36" s="5" t="str">
        <x:v>低档暂按2×周表阈值，待预试</x:v>
      </x:c>
      <x:c r="K36" s="5" t="n">
        <x:v>1</x:v>
      </x:c>
      <x:c r="L36" s="5" t="str">
        <x:f>IF(I36=2,IF(H36&gt;G36,"两档有序","最大值与中位值重合"),IF(AND(F36&gt;0,F36&lt;G36,G36&lt;H36),"数值有序；仍需预试","需调整低中高"))</x:f>
        <x:v>数值有序；仍需预试</x:v>
      </x:c>
      <x:c r="M36" t="str">
        <x:f>IF(N36&lt;1,"固定基底（不参与变量）","参与变量设计")</x:f>
        <x:v>参与变量设计</x:v>
      </x:c>
      <x:c r="N36" t="n">
        <x:f>'平均值OAV_全库'!G131</x:f>
        <x:v>113.10938821294809</x:v>
      </x:c>
    </x:row>
    <x:row r="37" ht="25" customHeight="1">
      <x:c r="A37" s="5" t="n">
        <x:v>136</x:v>
      </x:c>
      <x:c r="B37" s="5" t="str">
        <x:v>异戊酸/3-甲基丁酸</x:v>
      </x:c>
      <x:c r="C37" s="5" t="str">
        <x:v>503-74-2</x:v>
      </x:c>
      <x:c r="D37" s="5" t="str">
        <x:v>重要成分</x:v>
      </x:c>
      <x:c r="E37" s="6" t="n">
        <x:v>1050</x:v>
      </x:c>
      <x:c r="F37" s="10" t="n">
        <x:v>2100</x:v>
      </x:c>
      <x:c r="G37" s="10" t="n">
        <x:v>3885</x:v>
      </x:c>
      <x:c r="H37" s="10" t="n">
        <x:v>44000</x:v>
      </x:c>
      <x:c r="I37" s="5" t="n">
        <x:v>3</x:v>
      </x:c>
      <x:c r="J37" s="5" t="str">
        <x:v>低档暂按2×周表阈值，待预试</x:v>
      </x:c>
      <x:c r="K37" s="5" t="n">
        <x:v>1</x:v>
      </x:c>
      <x:c r="L37" s="5" t="str">
        <x:f>IF(I37=2,IF(H37&gt;G37,"两档有序","最大值与中位值重合"),IF(AND(F37&gt;0,F37&lt;G37,G37&lt;H37),"数值有序；仍需预试","需调整低中高"))</x:f>
        <x:v>数值有序；仍需预试</x:v>
      </x:c>
      <x:c r="M37" t="str">
        <x:f>IF(N37&lt;1,"固定基底（不参与变量）","参与变量设计")</x:f>
        <x:v>参与变量设计</x:v>
      </x:c>
      <x:c r="N37" t="n">
        <x:f>'平均值OAV_全库'!G141</x:f>
        <x:v>7.058249439008478</x:v>
      </x:c>
    </x:row>
    <x:row r="38" ht="25" customHeight="1">
      <x:c r="A38" s="5" t="n">
        <x:v>141</x:v>
      </x:c>
      <x:c r="B38" s="5" t="str">
        <x:v>戊酸乙酯</x:v>
      </x:c>
      <x:c r="C38" s="5" t="str">
        <x:v>539-82-2</x:v>
      </x:c>
      <x:c r="D38" s="5" t="str">
        <x:v>骨架成分</x:v>
      </x:c>
      <x:c r="E38" s="6" t="n">
        <x:v>26.8</x:v>
      </x:c>
      <x:c r="F38" s="10" t="n">
        <x:v>53.6</x:v>
      </x:c>
      <x:c r="G38" s="10" t="n">
        <x:v>6665</x:v>
      </x:c>
      <x:c r="H38" s="10" t="n">
        <x:v>1039840</x:v>
      </x:c>
      <x:c r="I38" s="5" t="n">
        <x:v>3</x:v>
      </x:c>
      <x:c r="J38" s="5" t="str">
        <x:v>低档暂按2×周表阈值，待预试</x:v>
      </x:c>
      <x:c r="K38" s="5" t="n">
        <x:v>2</x:v>
      </x:c>
      <x:c r="L38" s="5" t="str">
        <x:f>IF(I38=2,IF(H38&gt;G38,"两档有序","最大值与中位值重合"),IF(AND(F38&gt;0,F38&lt;G38,G38&lt;H38),"数值有序；仍需预试","需调整低中高"))</x:f>
        <x:v>数值有序；仍需预试</x:v>
      </x:c>
      <x:c r="M38" t="str">
        <x:f>IF(N38&lt;1,"固定基底（不参与变量）","参与变量设计")</x:f>
        <x:v>参与变量设计</x:v>
      </x:c>
      <x:c r="N38" t="n">
        <x:f>'平均值OAV_全库'!G146</x:f>
        <x:v>1245.7042049600477</x:v>
      </x:c>
    </x:row>
    <x:row r="39" ht="25" customHeight="1">
      <x:c r="A39" s="5" t="n">
        <x:v>152</x:v>
      </x:c>
      <x:c r="B39" s="5" t="str">
        <x:v>异戊醛</x:v>
      </x:c>
      <x:c r="C39" s="5" t="str">
        <x:v>590-86-3</x:v>
      </x:c>
      <x:c r="D39" s="5" t="str">
        <x:v>骨架成分</x:v>
      </x:c>
      <x:c r="E39" s="6" t="n">
        <x:v>16.5</x:v>
      </x:c>
      <x:c r="F39" s="10" t="n">
        <x:v>33</x:v>
      </x:c>
      <x:c r="G39" s="10" t="n">
        <x:v>5545</x:v>
      </x:c>
      <x:c r="H39" s="10" t="n">
        <x:v>227200</x:v>
      </x:c>
      <x:c r="I39" s="5" t="n">
        <x:v>3</x:v>
      </x:c>
      <x:c r="J39" s="5" t="str">
        <x:v>低档暂按2×周表阈值，待预试</x:v>
      </x:c>
      <x:c r="K39" s="5" t="n">
        <x:v>1</x:v>
      </x:c>
      <x:c r="L39" s="5" t="str">
        <x:f>IF(I39=2,IF(H39&gt;G39,"两档有序","最大值与中位值重合"),IF(AND(F39&gt;0,F39&lt;G39,G39&lt;H39),"数值有序；仍需预试","需调整低中高"))</x:f>
        <x:v>数值有序；仍需预试</x:v>
      </x:c>
      <x:c r="M39" t="str">
        <x:f>IF(N39&lt;1,"固定基底（不参与变量）","参与变量设计")</x:f>
        <x:v>参与变量设计</x:v>
      </x:c>
      <x:c r="N39" t="n">
        <x:f>'平均值OAV_全库'!G157</x:f>
        <x:v>1146.4819096626643</x:v>
      </x:c>
    </x:row>
    <x:row r="40" ht="25" customHeight="1">
      <x:c r="A40" s="5" t="n">
        <x:v>165</x:v>
      </x:c>
      <x:c r="B40" s="5" t="str">
        <x:v>己酸丁酯</x:v>
      </x:c>
      <x:c r="C40" s="5" t="str">
        <x:v>626-82-4</x:v>
      </x:c>
      <x:c r="D40" s="5" t="str">
        <x:v>两档成分</x:v>
      </x:c>
      <x:c r="E40" s="6" t="n">
        <x:v>677.84</x:v>
      </x:c>
      <x:c r="F40" s="10"/>
      <x:c r="G40" s="10" t="n">
        <x:v>823.735</x:v>
      </x:c>
      <x:c r="H40" s="10" t="n">
        <x:v>86300</x:v>
      </x:c>
      <x:c r="I40" s="5" t="n">
        <x:v>2</x:v>
      </x:c>
      <x:c r="J40" s="5" t="str">
        <x:v>仅中位值及最大值</x:v>
      </x:c>
      <x:c r="K40" s="5" t="n">
        <x:v>1</x:v>
      </x:c>
      <x:c r="L40" s="5" t="str">
        <x:f>IF(I40=2,IF(H40&gt;G40,"两档有序","最大值与中位值重合"),IF(AND(F40&gt;0,F40&lt;G40,G40&lt;H40),"数值有序；仍需预试","需调整低中高"))</x:f>
        <x:v>两档有序</x:v>
      </x:c>
      <x:c r="M40" t="str">
        <x:f>IF(N40&lt;1,"固定基底（不参与变量）","参与变量设计")</x:f>
        <x:v>参与变量设计</x:v>
      </x:c>
      <x:c r="N40" t="n">
        <x:f>'平均值OAV_全库'!G170</x:f>
        <x:v>14.35664071557751</x:v>
      </x:c>
    </x:row>
    <x:row r="41" ht="25" customHeight="1">
      <x:c r="A41" s="5" t="n">
        <x:v>186</x:v>
      </x:c>
      <x:c r="B41" s="5" t="str">
        <x:v>3-苯基丙酸乙酯</x:v>
      </x:c>
      <x:c r="C41" s="5" t="str">
        <x:v>2021-28-5</x:v>
      </x:c>
      <x:c r="D41" s="5" t="str">
        <x:v>重要成分</x:v>
      </x:c>
      <x:c r="E41" s="6" t="n">
        <x:v>125</x:v>
      </x:c>
      <x:c r="F41" s="10" t="n">
        <x:v>250</x:v>
      </x:c>
      <x:c r="G41" s="10" t="n">
        <x:v>635</x:v>
      </x:c>
      <x:c r="H41" s="10" t="n">
        <x:v>11648000</x:v>
      </x:c>
      <x:c r="I41" s="5" t="n">
        <x:v>3</x:v>
      </x:c>
      <x:c r="J41" s="5" t="str">
        <x:v>低档暂按2×周表阈值，待预试</x:v>
      </x:c>
      <x:c r="K41" s="5" t="n">
        <x:v>1</x:v>
      </x:c>
      <x:c r="L41" s="5" t="str">
        <x:f>IF(I41=2,IF(H41&gt;G41,"两档有序","最大值与中位值重合"),IF(AND(F41&gt;0,F41&lt;G41,G41&lt;H41),"数值有序；仍需预试","需调整低中高"))</x:f>
        <x:v>数值有序；仍需预试</x:v>
      </x:c>
      <x:c r="M41" t="str">
        <x:f>IF(N41&lt;1,"固定基底（不参与变量）","参与变量设计")</x:f>
        <x:v>参与变量设计</x:v>
      </x:c>
      <x:c r="N41" t="n">
        <x:f>'平均值OAV_全库'!G191</x:f>
        <x:v>6134.262103703703</x:v>
      </x:c>
    </x:row>
    <x:row r="42" ht="25" customHeight="1">
      <x:c r="A42" s="5" t="n">
        <x:v>207</x:v>
      </x:c>
      <x:c r="B42" s="5" t="str">
        <x:v>1-辛烯-3-醇</x:v>
      </x:c>
      <x:c r="C42" s="5" t="str">
        <x:v>3391-86-4</x:v>
      </x:c>
      <x:c r="D42" s="5" t="str">
        <x:v>重要成分</x:v>
      </x:c>
      <x:c r="E42" s="6" t="n">
        <x:v>6.12</x:v>
      </x:c>
      <x:c r="F42" s="10" t="n">
        <x:v>12.24</x:v>
      </x:c>
      <x:c r="G42" s="10" t="n">
        <x:v>99.18</x:v>
      </x:c>
      <x:c r="H42" s="10" t="n">
        <x:v>271.45</x:v>
      </x:c>
      <x:c r="I42" s="5" t="n">
        <x:v>3</x:v>
      </x:c>
      <x:c r="J42" s="5" t="str">
        <x:v>低档暂按2×周表阈值，待预试</x:v>
      </x:c>
      <x:c r="K42" s="5" t="n">
        <x:v>1</x:v>
      </x:c>
      <x:c r="L42" s="5" t="str">
        <x:f>IF(I42=2,IF(H42&gt;G42,"两档有序","最大值与中位值重合"),IF(AND(F42&gt;0,F42&lt;G42,G42&lt;H42),"数值有序；仍需预试","需调整低中高"))</x:f>
        <x:v>数值有序；仍需预试</x:v>
      </x:c>
      <x:c r="M42" t="str">
        <x:f>IF(N42&lt;1,"固定基底（不参与变量）","参与变量设计")</x:f>
        <x:v>参与变量设计</x:v>
      </x:c>
      <x:c r="N42" t="n">
        <x:f>'平均值OAV_全库'!G212</x:f>
        <x:v>17.812091503267975</x:v>
      </x:c>
    </x:row>
    <x:row r="43" ht="25" customHeight="1">
      <x:c r="A43" s="5" t="n">
        <x:v>209</x:v>
      </x:c>
      <x:c r="B43" s="5" t="str">
        <x:v>二甲基三硫醚</x:v>
      </x:c>
      <x:c r="C43" s="5" t="str">
        <x:v>3658-80-8</x:v>
      </x:c>
      <x:c r="D43" s="5" t="str">
        <x:v>骨架成分</x:v>
      </x:c>
      <x:c r="E43" s="6" t="n">
        <x:v>0.36</x:v>
      </x:c>
      <x:c r="F43" s="10" t="n">
        <x:v>0.72</x:v>
      </x:c>
      <x:c r="G43" s="10" t="n">
        <x:v>623.375</x:v>
      </x:c>
      <x:c r="H43" s="10" t="n">
        <x:v>4201.44</x:v>
      </x:c>
      <x:c r="I43" s="5" t="n">
        <x:v>3</x:v>
      </x:c>
      <x:c r="J43" s="5" t="str">
        <x:v>低档暂按2×周表阈值，待预试</x:v>
      </x:c>
      <x:c r="K43" s="5" t="n">
        <x:v>1</x:v>
      </x:c>
      <x:c r="L43" s="5" t="str">
        <x:f>IF(I43=2,IF(H43&gt;G43,"两档有序","最大值与中位值重合"),IF(AND(F43&gt;0,F43&lt;G43,G43&lt;H43),"数值有序；仍需预试","需调整低中高"))</x:f>
        <x:v>数值有序；仍需预试</x:v>
      </x:c>
      <x:c r="M43" t="str">
        <x:f>IF(N43&lt;1,"固定基底（不参与变量）","参与变量设计")</x:f>
        <x:v>参与变量设计</x:v>
      </x:c>
      <x:c r="N43" t="n">
        <x:f>'平均值OAV_全库'!G214</x:f>
        <x:v>3169.918323412698</x:v>
      </x:c>
    </x:row>
    <x:row r="44" ht="25" customHeight="1">
      <x:c r="A44" s="5" t="n">
        <x:v>227</x:v>
      </x:c>
      <x:c r="B44" s="5" t="str">
        <x:v>己酸己酯</x:v>
      </x:c>
      <x:c r="C44" s="5" t="str">
        <x:v>6378-65-0</x:v>
      </x:c>
      <x:c r="D44" s="5" t="str">
        <x:v>重要成分</x:v>
      </x:c>
      <x:c r="E44" s="6" t="n">
        <x:v>1891</x:v>
      </x:c>
      <x:c r="F44" s="10" t="n">
        <x:v>3782</x:v>
      </x:c>
      <x:c r="G44" s="10" t="n">
        <x:v>6441.62</x:v>
      </x:c>
      <x:c r="H44" s="10" t="n">
        <x:v>193759</x:v>
      </x:c>
      <x:c r="I44" s="5" t="n">
        <x:v>3</x:v>
      </x:c>
      <x:c r="J44" s="5" t="str">
        <x:v>低档暂按2×周表阈值，待预试</x:v>
      </x:c>
      <x:c r="K44" s="5" t="n">
        <x:v>1</x:v>
      </x:c>
      <x:c r="L44" s="5" t="str">
        <x:f>IF(I44=2,IF(H44&gt;G44,"两档有序","最大值与中位值重合"),IF(AND(F44&gt;0,F44&lt;G44,G44&lt;H44),"数值有序；仍需预试","需调整低中高"))</x:f>
        <x:v>数值有序；仍需预试</x:v>
      </x:c>
      <x:c r="M44" t="str">
        <x:f>IF(N44&lt;1,"固定基底（不参与变量）","参与变量设计")</x:f>
        <x:v>参与变量设计</x:v>
      </x:c>
      <x:c r="N44" t="n">
        <x:f>'平均值OAV_全库'!G232</x:f>
        <x:v>13.258815441565307</x:v>
      </x:c>
    </x:row>
    <x:row r="45" ht="25" customHeight="1">
      <x:c r="A45" s="5" t="n">
        <x:v>232</x:v>
      </x:c>
      <x:c r="B45" s="5" t="str">
        <x:v>2-甲基丁酸乙酯</x:v>
      </x:c>
      <x:c r="C45" s="5" t="str">
        <x:v>7452-79-1</x:v>
      </x:c>
      <x:c r="D45" s="5" t="str">
        <x:v>重要成分</x:v>
      </x:c>
      <x:c r="E45" s="6" t="n">
        <x:v>18</x:v>
      </x:c>
      <x:c r="F45" s="10" t="n">
        <x:v>36</x:v>
      </x:c>
      <x:c r="G45" s="10" t="n">
        <x:v>464</x:v>
      </x:c>
      <x:c r="H45" s="10" t="n">
        <x:v>1611</x:v>
      </x:c>
      <x:c r="I45" s="5" t="n">
        <x:v>3</x:v>
      </x:c>
      <x:c r="J45" s="5" t="str">
        <x:v>低档暂按2×周表阈值，待预试</x:v>
      </x:c>
      <x:c r="K45" s="5" t="n">
        <x:v>2</x:v>
      </x:c>
      <x:c r="L45" s="5" t="str">
        <x:f>IF(I45=2,IF(H45&gt;G45,"两档有序","最大值与中位值重合"),IF(AND(F45&gt;0,F45&lt;G45,G45&lt;H45),"数值有序；仍需预试","需调整低中高"))</x:f>
        <x:v>数值有序；仍需预试</x:v>
      </x:c>
      <x:c r="M45" t="str">
        <x:f>IF(N45&lt;1,"固定基底（不参与变量）","参与变量设计")</x:f>
        <x:v>参与变量设计</x:v>
      </x:c>
      <x:c r="N45" t="n">
        <x:f>'平均值OAV_全库'!G237</x:f>
        <x:v>30.762841269841275</x:v>
      </x:c>
    </x:row>
    <x:row r="46" ht="25" customHeight="1">
      <x:c r="A46" s="5" t="n">
        <x:v>255</x:v>
      </x:c>
      <x:c r="B46" s="5" t="str">
        <x:v>β-大马酮</x:v>
      </x:c>
      <x:c r="C46" s="5" t="str">
        <x:v>23726-93-4</x:v>
      </x:c>
      <x:c r="D46" s="5" t="str">
        <x:v>重要成分</x:v>
      </x:c>
      <x:c r="E46" s="6" t="n">
        <x:v>0.12</x:v>
      </x:c>
      <x:c r="F46" s="10" t="n">
        <x:v>0.24</x:v>
      </x:c>
      <x:c r="G46" s="10" t="n">
        <x:v>5.42</x:v>
      </x:c>
      <x:c r="H46" s="10" t="n">
        <x:v>60.76</x:v>
      </x:c>
      <x:c r="I46" s="5" t="n">
        <x:v>3</x:v>
      </x:c>
      <x:c r="J46" s="5" t="str">
        <x:v>低档暂按2×周表阈值，待预试</x:v>
      </x:c>
      <x:c r="K46" s="5" t="n">
        <x:v>2</x:v>
      </x:c>
      <x:c r="L46" s="5" t="str">
        <x:f>IF(I46=2,IF(H46&gt;G46,"两档有序","最大值与中位值重合"),IF(AND(F46&gt;0,F46&lt;G46,G46&lt;H46),"数值有序；仍需预试","需调整低中高"))</x:f>
        <x:v>数值有序；仍需预试</x:v>
      </x:c>
      <x:c r="M46" t="str">
        <x:f>IF(N46&lt;1,"固定基底（不参与变量）","参与变量设计")</x:f>
        <x:v>参与变量设计</x:v>
      </x:c>
      <x:c r="N46" t="n">
        <x:f>'平均值OAV_全库'!G260</x:f>
        <x:v>89.4284294871795</x:v>
      </x:c>
    </x:row>
  </x:sheetData>
  <x:pageMargins left="0.7" right="0.7" top="0.75" bottom="0.75" header="0.3" footer="0.3"/>
  <x:tableParts count="1">
    <x:tablePart xmlns:r="http://schemas.openxmlformats.org/officeDocument/2006/relationships" r:id="Rb0ad90a5f8104e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8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</x:row>
    <x:row r="2">
      <x:c r="A2" s="5" t="str">
        <x:v>检查对应当前暂定浓度；更改浓度后须重跑脚本，以下数值不会自动更新。</x:v>
      </x:c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 ht="42" customHeight="1">
      <x:c r="A5" s="9" t="str">
        <x:v>组别</x:v>
      </x:c>
      <x:c r="B5" s="9" t="str">
        <x:v>模型系数数</x:v>
      </x:c>
      <x:c r="C5" s="9" t="str">
        <x:v>拟合次数</x:v>
      </x:c>
      <x:c r="D5" s="9" t="str">
        <x:v>水平编码秩</x:v>
      </x:c>
      <x:c r="E5" s="9" t="str">
        <x:v>实际log浓度秩</x:v>
      </x:c>
      <x:c r="F5" s="9" t="str">
        <x:v>实际矩阵条件数</x:v>
      </x:c>
      <x:c r="G5" s="9" t="str">
        <x:v>不同拟合配方数</x:v>
      </x:c>
      <x:c r="H5" s="9" t="str">
        <x:v>说明</x:v>
      </x:c>
    </x:row>
    <x:row r="6" ht="25" customHeight="1">
      <x:c r="A6" s="5" t="str">
        <x:v>G01</x:v>
      </x:c>
      <x:c r="B6" s="5" t="n">
        <x:v>15</x:v>
      </x:c>
      <x:c r="C6" s="5" t="n">
        <x:v>27</x:v>
      </x:c>
      <x:c r="D6" s="5" t="n">
        <x:v>15</x:v>
      </x:c>
      <x:c r="E6" s="5" t="n">
        <x:v>15</x:v>
      </x:c>
      <x:c r="F6" s="11" t="n">
        <x:v>8.272142086565326</x:v>
      </x:c>
      <x:c r="G6" s="5" t="n">
        <x:v>25</x:v>
      </x:c>
      <x:c r="H6" s="5" t="str">
        <x:v>满秩不代表已有感官预测能力</x:v>
      </x:c>
    </x:row>
    <x:row r="7" ht="25" customHeight="1">
      <x:c r="A7" s="5" t="str">
        <x:v>G02</x:v>
      </x:c>
      <x:c r="B7" s="5" t="n">
        <x:v>15</x:v>
      </x:c>
      <x:c r="C7" s="5" t="n">
        <x:v>27</x:v>
      </x:c>
      <x:c r="D7" s="5" t="n">
        <x:v>15</x:v>
      </x:c>
      <x:c r="E7" s="5" t="n">
        <x:v>15</x:v>
      </x:c>
      <x:c r="F7" s="11" t="n">
        <x:v>9.089500852642114</x:v>
      </x:c>
      <x:c r="G7" s="5" t="n">
        <x:v>25</x:v>
      </x:c>
      <x:c r="H7" s="5" t="str">
        <x:v>满秩不代表已有感官预测能力</x:v>
      </x:c>
    </x:row>
    <x:row r="8" ht="25" customHeight="1">
      <x:c r="A8" s="5" t="str">
        <x:v>G03</x:v>
      </x:c>
      <x:c r="B8" s="5" t="n">
        <x:v>15</x:v>
      </x:c>
      <x:c r="C8" s="5" t="n">
        <x:v>27</x:v>
      </x:c>
      <x:c r="D8" s="5" t="n">
        <x:v>15</x:v>
      </x:c>
      <x:c r="E8" s="5" t="n">
        <x:v>15</x:v>
      </x:c>
      <x:c r="F8" s="11" t="n">
        <x:v>13.264687390469394</x:v>
      </x:c>
      <x:c r="G8" s="5" t="n">
        <x:v>25</x:v>
      </x:c>
      <x:c r="H8" s="5" t="str">
        <x:v>满秩不代表已有感官预测能力</x:v>
      </x:c>
    </x:row>
    <x:row r="9" ht="25" customHeight="1">
      <x:c r="A9" s="5" t="str">
        <x:v>G04</x:v>
      </x:c>
      <x:c r="B9" s="5" t="n">
        <x:v>15</x:v>
      </x:c>
      <x:c r="C9" s="5" t="n">
        <x:v>27</x:v>
      </x:c>
      <x:c r="D9" s="5" t="n">
        <x:v>15</x:v>
      </x:c>
      <x:c r="E9" s="5" t="n">
        <x:v>15</x:v>
      </x:c>
      <x:c r="F9" s="11" t="n">
        <x:v>16.321398372273674</x:v>
      </x:c>
      <x:c r="G9" s="5" t="n">
        <x:v>25</x:v>
      </x:c>
      <x:c r="H9" s="5" t="str">
        <x:v>满秩不代表已有感官预测能力</x:v>
      </x:c>
    </x:row>
    <x:row r="10" ht="25" customHeight="1">
      <x:c r="A10" s="5" t="str">
        <x:v>G05</x:v>
      </x:c>
      <x:c r="B10" s="5" t="n">
        <x:v>15</x:v>
      </x:c>
      <x:c r="C10" s="5" t="n">
        <x:v>27</x:v>
      </x:c>
      <x:c r="D10" s="5" t="n">
        <x:v>15</x:v>
      </x:c>
      <x:c r="E10" s="5" t="n">
        <x:v>15</x:v>
      </x:c>
      <x:c r="F10" s="11" t="n">
        <x:v>88.85290454914599</x:v>
      </x:c>
      <x:c r="G10" s="5" t="n">
        <x:v>25</x:v>
      </x:c>
      <x:c r="H10" s="5" t="str">
        <x:v>条件数偏高，需调整浓度并复查</x:v>
      </x:c>
    </x:row>
    <x:row r="11" ht="25" customHeight="1">
      <x:c r="A11" s="5" t="str">
        <x:v>G06</x:v>
      </x:c>
      <x:c r="B11" s="5" t="n">
        <x:v>15</x:v>
      </x:c>
      <x:c r="C11" s="5" t="n">
        <x:v>27</x:v>
      </x:c>
      <x:c r="D11" s="5" t="n">
        <x:v>15</x:v>
      </x:c>
      <x:c r="E11" s="5" t="n">
        <x:v>15</x:v>
      </x:c>
      <x:c r="F11" s="11" t="n">
        <x:v>122.1652363976875</x:v>
      </x:c>
      <x:c r="G11" s="5" t="n">
        <x:v>25</x:v>
      </x:c>
      <x:c r="H11" s="5" t="str">
        <x:v>条件数偏高，需调整浓度并复查</x:v>
      </x:c>
    </x:row>
    <x:row r="12" ht="25" customHeight="1">
      <x:c r="A12" s="5" t="str">
        <x:v>G07</x:v>
      </x:c>
      <x:c r="B12" s="5" t="n">
        <x:v>15</x:v>
      </x:c>
      <x:c r="C12" s="5" t="n">
        <x:v>27</x:v>
      </x:c>
      <x:c r="D12" s="5" t="n">
        <x:v>15</x:v>
      </x:c>
      <x:c r="E12" s="5" t="n">
        <x:v>15</x:v>
      </x:c>
      <x:c r="F12" s="11" t="n">
        <x:v>90.51398039642564</x:v>
      </x:c>
      <x:c r="G12" s="5" t="n">
        <x:v>25</x:v>
      </x:c>
      <x:c r="H12" s="5" t="str">
        <x:v>条件数偏高，需调整浓度并复查</x:v>
      </x:c>
    </x:row>
    <x:row r="13" ht="25" customHeight="1">
      <x:c r="A13" s="5" t="str">
        <x:v>G08</x:v>
      </x:c>
      <x:c r="B13" s="5" t="n">
        <x:v>15</x:v>
      </x:c>
      <x:c r="C13" s="5" t="n">
        <x:v>27</x:v>
      </x:c>
      <x:c r="D13" s="5" t="n">
        <x:v>15</x:v>
      </x:c>
      <x:c r="E13" s="5" t="n">
        <x:v>15</x:v>
      </x:c>
      <x:c r="F13" s="11" t="n">
        <x:v>19.055751362354382</x:v>
      </x:c>
      <x:c r="G13" s="5" t="n">
        <x:v>25</x:v>
      </x:c>
      <x:c r="H13" s="5" t="str">
        <x:v>满秩不代表已有感官预测能力</x:v>
      </x:c>
    </x:row>
    <x:row r="14" ht="25" customHeight="1">
      <x:c r="A14" s="5" t="str">
        <x:v>G09</x:v>
      </x:c>
      <x:c r="B14" s="5" t="n">
        <x:v>15</x:v>
      </x:c>
      <x:c r="C14" s="5" t="n">
        <x:v>27</x:v>
      </x:c>
      <x:c r="D14" s="5" t="n">
        <x:v>15</x:v>
      </x:c>
      <x:c r="E14" s="5" t="n">
        <x:v>15</x:v>
      </x:c>
      <x:c r="F14" s="11" t="n">
        <x:v>8.359678944910634</x:v>
      </x:c>
      <x:c r="G14" s="5" t="n">
        <x:v>25</x:v>
      </x:c>
      <x:c r="H14" s="5" t="str">
        <x:v>满秩不代表已有感官预测能力</x:v>
      </x:c>
    </x:row>
    <x:row r="15" ht="25" customHeight="1">
      <x:c r="A15" s="5" t="str">
        <x:v>G10</x:v>
      </x:c>
      <x:c r="B15" s="5" t="n">
        <x:v>15</x:v>
      </x:c>
      <x:c r="C15" s="5" t="n">
        <x:v>27</x:v>
      </x:c>
      <x:c r="D15" s="5" t="n">
        <x:v>15</x:v>
      </x:c>
      <x:c r="E15" s="5" t="n">
        <x:v>15</x:v>
      </x:c>
      <x:c r="F15" s="11" t="n">
        <x:v>138.92440131162527</x:v>
      </x:c>
      <x:c r="G15" s="5" t="n">
        <x:v>25</x:v>
      </x:c>
      <x:c r="H15" s="5" t="str">
        <x:v>条件数偏高，需调整浓度并复查</x:v>
      </x:c>
    </x:row>
    <x:row r="16" ht="25" customHeight="1">
      <x:c r="A16" s="5" t="str">
        <x:v>G11</x:v>
      </x:c>
      <x:c r="B16" s="5" t="n">
        <x:v>11</x:v>
      </x:c>
      <x:c r="C16" s="5" t="n">
        <x:v>18</x:v>
      </x:c>
      <x:c r="D16" s="5" t="n">
        <x:v>11</x:v>
      </x:c>
      <x:c r="E16" s="5" t="n">
        <x:v>11</x:v>
      </x:c>
      <x:c r="F16" s="11" t="n">
        <x:v>1.3693063937629166</x:v>
      </x:c>
      <x:c r="G16" s="5" t="n">
        <x:v>16</x:v>
      </x:c>
      <x:c r="H16" s="5" t="str">
        <x:v>满秩不代表已有感官预测能力</x:v>
      </x:c>
    </x:row>
    <x:row r="17" ht="25" customHeight="1">
      <x:c r="A17" s="5" t="str">
        <x:v>G12</x:v>
      </x:c>
      <x:c r="B17" s="5" t="n">
        <x:v>11</x:v>
      </x:c>
      <x:c r="C17" s="5" t="n">
        <x:v>18</x:v>
      </x:c>
      <x:c r="D17" s="5" t="n">
        <x:v>11</x:v>
      </x:c>
      <x:c r="E17" s="5" t="n">
        <x:v>11</x:v>
      </x:c>
      <x:c r="F17" s="11" t="n">
        <x:v>1.3693063937629153</x:v>
      </x:c>
      <x:c r="G17" s="5" t="n">
        <x:v>16</x:v>
      </x:c>
      <x:c r="H17" s="5" t="str">
        <x:v>满秩不代表已有感官预测能力</x:v>
      </x:c>
    </x:row>
    <x:row r="18" ht="25" customHeight="1">
      <x:c r="A18" s="5" t="str">
        <x:v>G13</x:v>
      </x:c>
      <x:c r="B18" s="5" t="n">
        <x:v>11</x:v>
      </x:c>
      <x:c r="C18" s="5" t="n">
        <x:v>18</x:v>
      </x:c>
      <x:c r="D18" s="5" t="n">
        <x:v>11</x:v>
      </x:c>
      <x:c r="E18" s="5" t="n">
        <x:v>11</x:v>
      </x:c>
      <x:c r="F18" s="11" t="n">
        <x:v>1.3693063937629155</x:v>
      </x:c>
      <x:c r="G18" s="5" t="n">
        <x:v>16</x:v>
      </x:c>
      <x:c r="H18" s="5" t="str">
        <x:v>满秩不代表已有感官预测能力</x:v>
      </x:c>
    </x:row>
    <x:row r="19" ht="25" customHeight="1">
      <x:c r="A19" s="5" t="str">
        <x:v>G14</x:v>
      </x:c>
      <x:c r="B19" s="5" t="n">
        <x:v>11</x:v>
      </x:c>
      <x:c r="C19" s="5" t="n">
        <x:v>18</x:v>
      </x:c>
      <x:c r="D19" s="5" t="n">
        <x:v>11</x:v>
      </x:c>
      <x:c r="E19" s="5" t="n">
        <x:v>11</x:v>
      </x:c>
      <x:c r="F19" s="11" t="n">
        <x:v>1.3693063937629157</x:v>
      </x:c>
      <x:c r="G19" s="5" t="n">
        <x:v>16</x:v>
      </x:c>
      <x:c r="H19" s="5" t="str">
        <x:v>满秩不代表已有感官预测能力</x:v>
      </x:c>
    </x:row>
  </x:sheetData>
  <x:pageMargins left="0.7" right="0.7" top="0.75" bottom="0.75" header="0.3" footer="0.3"/>
  <x:tableParts count="1">
    <x:tablePart xmlns:r="http://schemas.openxmlformats.org/officeDocument/2006/relationships" r:id="R160909839eae43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A2" t="str">
        <x:v>当前41种：39种参与浓度设计，2种固定加入全部样品。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</x:row>
    <x:row r="6">
      <x:c r="A6" s="5" t="n">
        <x:f>IF('平均值OAV_全库'!A10="","",'平均值OAV_全库'!A10)</x:f>
        <x:v>5</x:v>
      </x:c>
      <x:c r="B6" s="5" t="str">
        <x:f>IF('平均值OAV_全库'!B10="","",'平均值OAV_全库'!B10)</x:f>
        <x:v>乙酸</x:v>
      </x:c>
      <x:c r="C6" s="5" t="str">
        <x:f>IF('平均值OAV_全库'!C10="","",'平均值OAV_全库'!C10)</x:f>
        <x:v>64-19-7</x:v>
      </x:c>
      <x:c r="D6" s="5" t="n">
        <x:f>IF('平均值OAV_全库'!D10="","",'平均值OAV_全库'!D10)</x:f>
        <x:v>93</x:v>
      </x:c>
      <x:c r="E6" s="6" t="n">
        <x:f>IF('平均值OAV_全库'!E10="","",'平均值OAV_全库'!E10)</x:f>
        <x:v>160000</x:v>
      </x:c>
      <x:c r="F6" s="6" t="n">
        <x:f>IF('平均值OAV_全库'!F10="","",'平均值OAV_全库'!F10)</x:f>
        <x:v>219125.9626344086</x:v>
      </x:c>
      <x:c r="G6" s="6" t="n">
        <x:f>IF('平均值OAV_全库'!G10="","",'平均值OAV_全库'!G10)</x:f>
        <x:v>1.3695372664650538</x:v>
      </x:c>
      <x:c r="H6" s="5" t="str">
        <x:f>IF('平均值OAV_全库'!H10="","",'平均值OAV_全库'!H10)</x:f>
        <x:v>参与浓度设计</x:v>
      </x:c>
      <x:c r="I6" s="5" t="str">
        <x:f>IF('平均值OAV_全库'!I10="","",'平均值OAV_全库'!I10)</x:f>
        <x:v>是</x:v>
      </x:c>
    </x:row>
    <x:row r="7">
      <x:c r="A7" s="5" t="n">
        <x:f>IF('平均值OAV_全库'!A12="","",'平均值OAV_全库'!A12)</x:f>
        <x:v>7</x:v>
      </x:c>
      <x:c r="B7" s="5" t="str">
        <x:f>IF('平均值OAV_全库'!B12="","",'平均值OAV_全库'!B12)</x:f>
        <x:v>己醛</x:v>
      </x:c>
      <x:c r="C7" s="5" t="str">
        <x:f>IF('平均值OAV_全库'!C12="","",'平均值OAV_全库'!C12)</x:f>
        <x:v>66-25-1</x:v>
      </x:c>
      <x:c r="D7" s="5" t="n">
        <x:f>IF('平均值OAV_全库'!D12="","",'平均值OAV_全库'!D12)</x:f>
        <x:v>29</x:v>
      </x:c>
      <x:c r="E7" s="6" t="n">
        <x:f>IF('平均值OAV_全库'!E12="","",'平均值OAV_全库'!E12)</x:f>
        <x:v>25.5</x:v>
      </x:c>
      <x:c r="F7" s="6" t="n">
        <x:f>IF('平均值OAV_全库'!F12="","",'平均值OAV_全库'!F12)</x:f>
        <x:v>929.3797689655172</x:v>
      </x:c>
      <x:c r="G7" s="6" t="n">
        <x:f>IF('平均值OAV_全库'!G12="","",'平均值OAV_全库'!G12)</x:f>
        <x:v>36.44626544962813</x:v>
      </x:c>
      <x:c r="H7" s="5" t="str">
        <x:f>IF('平均值OAV_全库'!H12="","",'平均值OAV_全库'!H12)</x:f>
        <x:v>参与浓度设计</x:v>
      </x:c>
      <x:c r="I7" s="5" t="str">
        <x:f>IF('平均值OAV_全库'!I12="","",'平均值OAV_全库'!I12)</x:f>
        <x:v>是</x:v>
      </x:c>
    </x:row>
    <x:row r="8">
      <x:c r="A8" s="5" t="n">
        <x:f>IF('平均值OAV_全库'!A15="","",'平均值OAV_全库'!A15)</x:f>
        <x:v>10</x:v>
      </x:c>
      <x:c r="B8" s="5" t="str">
        <x:f>IF('平均值OAV_全库'!B15="","",'平均值OAV_全库'!B15)</x:f>
        <x:v>1-丙醇</x:v>
      </x:c>
      <x:c r="C8" s="5" t="str">
        <x:f>IF('平均值OAV_全库'!C15="","",'平均值OAV_全库'!C15)</x:f>
        <x:v>71-23-8</x:v>
      </x:c>
      <x:c r="D8" s="5" t="n">
        <x:f>IF('平均值OAV_全库'!D15="","",'平均值OAV_全库'!D15)</x:f>
        <x:v>58</x:v>
      </x:c>
      <x:c r="E8" s="6" t="n">
        <x:f>IF('平均值OAV_全库'!E15="","",'平均值OAV_全库'!E15)</x:f>
        <x:v>109000</x:v>
      </x:c>
      <x:c r="F8" s="6" t="n">
        <x:f>IF('平均值OAV_全库'!F15="","",'平均值OAV_全库'!F15)</x:f>
        <x:v>92796.92267241378</x:v>
      </x:c>
      <x:c r="G8" s="6" t="n">
        <x:f>IF('平均值OAV_全库'!G15="","",'平均值OAV_全库'!G15)</x:f>
        <x:v>0.8513479144258146</x:v>
      </x:c>
      <x:c r="H8" s="5" t="str">
        <x:f>IF('平均值OAV_全库'!H15="","",'平均值OAV_全库'!H15)</x:f>
        <x:v>固定基底候选</x:v>
      </x:c>
      <x:c r="I8" s="5" t="str">
        <x:f>IF('平均值OAV_全库'!I15="","",'平均值OAV_全库'!I15)</x:f>
        <x:v>是</x:v>
      </x:c>
    </x:row>
    <x:row r="9">
      <x:c r="A9" s="5" t="n">
        <x:f>IF('平均值OAV_全库'!A16="","",'平均值OAV_全库'!A16)</x:f>
        <x:v>11</x:v>
      </x:c>
      <x:c r="B9" s="5" t="str">
        <x:f>IF('平均值OAV_全库'!B16="","",'平均值OAV_全库'!B16)</x:f>
        <x:v>1-丁醇</x:v>
      </x:c>
      <x:c r="C9" s="5" t="str">
        <x:f>IF('平均值OAV_全库'!C16="","",'平均值OAV_全库'!C16)</x:f>
        <x:v>71-36-3</x:v>
      </x:c>
      <x:c r="D9" s="5" t="n">
        <x:f>IF('平均值OAV_全库'!D16="","",'平均值OAV_全库'!D16)</x:f>
        <x:v>92</x:v>
      </x:c>
      <x:c r="E9" s="6" t="n">
        <x:f>IF('平均值OAV_全库'!E16="","",'平均值OAV_全库'!E16)</x:f>
        <x:v>2733</x:v>
      </x:c>
      <x:c r="F9" s="6" t="n">
        <x:f>IF('平均值OAV_全库'!F16="","",'平均值OAV_全库'!F16)</x:f>
        <x:v>96959.68971086957</x:v>
      </x:c>
      <x:c r="G9" s="6" t="n">
        <x:f>IF('平均值OAV_全库'!G16="","",'平均值OAV_全库'!G16)</x:f>
        <x:v>35.477383721503685</x:v>
      </x:c>
      <x:c r="H9" s="5" t="str">
        <x:f>IF('平均值OAV_全库'!H16="","",'平均值OAV_全库'!H16)</x:f>
        <x:v>参与浓度设计</x:v>
      </x:c>
      <x:c r="I9" s="5" t="str">
        <x:f>IF('平均值OAV_全库'!I16="","",'平均值OAV_全库'!I16)</x:f>
        <x:v>是</x:v>
      </x:c>
    </x:row>
    <x:row r="10">
      <x:c r="A10" s="5" t="n">
        <x:f>IF('平均值OAV_全库'!A22="","",'平均值OAV_全库'!A22)</x:f>
        <x:v>17</x:v>
      </x:c>
      <x:c r="B10" s="5" t="str">
        <x:f>IF('平均值OAV_全库'!B22="","",'平均值OAV_全库'!B22)</x:f>
        <x:v>异丁醇</x:v>
      </x:c>
      <x:c r="C10" s="5" t="str">
        <x:f>IF('平均值OAV_全库'!C22="","",'平均值OAV_全库'!C22)</x:f>
        <x:v>78-83-1</x:v>
      </x:c>
      <x:c r="D10" s="5" t="n">
        <x:f>IF('平均值OAV_全库'!D22="","",'平均值OAV_全库'!D22)</x:f>
        <x:v>91</x:v>
      </x:c>
      <x:c r="E10" s="6" t="n">
        <x:f>IF('平均值OAV_全库'!E22="","",'平均值OAV_全库'!E22)</x:f>
        <x:v>28300</x:v>
      </x:c>
      <x:c r="F10" s="6" t="n">
        <x:f>IF('平均值OAV_全库'!F22="","",'平均值OAV_全库'!F22)</x:f>
        <x:v>30556.797802197798</x:v>
      </x:c>
      <x:c r="G10" s="6" t="n">
        <x:f>IF('平均值OAV_全库'!G22="","",'平均值OAV_全库'!G22)</x:f>
        <x:v>1.079745505378014</x:v>
      </x:c>
      <x:c r="H10" s="5" t="str">
        <x:f>IF('平均值OAV_全库'!H22="","",'平均值OAV_全库'!H22)</x:f>
        <x:v>参与浓度设计</x:v>
      </x:c>
      <x:c r="I10" s="5" t="str">
        <x:f>IF('平均值OAV_全库'!I22="","",'平均值OAV_全库'!I22)</x:f>
        <x:v>是</x:v>
      </x:c>
    </x:row>
    <x:row r="11">
      <x:c r="A11" s="5" t="n">
        <x:f>IF('平均值OAV_全库'!A23="","",'平均值OAV_全库'!A23)</x:f>
        <x:v>18</x:v>
      </x:c>
      <x:c r="B11" s="5" t="str">
        <x:f>IF('平均值OAV_全库'!B23="","",'平均值OAV_全库'!B23)</x:f>
        <x:v>2-甲基丙醛</x:v>
      </x:c>
      <x:c r="C11" s="5" t="str">
        <x:f>IF('平均值OAV_全库'!C23="","",'平均值OAV_全库'!C23)</x:f>
        <x:v>78-84-2</x:v>
      </x:c>
      <x:c r="D11" s="5" t="n">
        <x:f>IF('平均值OAV_全库'!D23="","",'平均值OAV_全库'!D23)</x:f>
        <x:v>34</x:v>
      </x:c>
      <x:c r="E11" s="6" t="n">
        <x:f>IF('平均值OAV_全库'!E23="","",'平均值OAV_全库'!E23)</x:f>
        <x:v>5.9</x:v>
      </x:c>
      <x:c r="F11" s="6" t="n">
        <x:f>IF('平均值OAV_全库'!F23="","",'平均值OAV_全库'!F23)</x:f>
        <x:v>4698.341470588235</x:v>
      </x:c>
      <x:c r="G11" s="6" t="n">
        <x:f>IF('平均值OAV_全库'!G23="","",'平均值OAV_全库'!G23)</x:f>
        <x:v>796.3290628115652</x:v>
      </x:c>
      <x:c r="H11" s="5" t="str">
        <x:f>IF('平均值OAV_全库'!H23="","",'平均值OAV_全库'!H23)</x:f>
        <x:v>参与浓度设计</x:v>
      </x:c>
      <x:c r="I11" s="5" t="str">
        <x:f>IF('平均值OAV_全库'!I23="","",'平均值OAV_全库'!I23)</x:f>
        <x:v>是</x:v>
      </x:c>
    </x:row>
    <x:row r="12">
      <x:c r="A12" s="5" t="n">
        <x:f>IF('平均值OAV_全库'!A26="","",'平均值OAV_全库'!A26)</x:f>
        <x:v>21</x:v>
      </x:c>
      <x:c r="B12" s="5" t="str">
        <x:f>IF('平均值OAV_全库'!B26="","",'平均值OAV_全库'!B26)</x:f>
        <x:v>异丁酸</x:v>
      </x:c>
      <x:c r="C12" s="5" t="str">
        <x:f>IF('平均值OAV_全库'!C26="","",'平均值OAV_全库'!C26)</x:f>
        <x:v>79-31-2</x:v>
      </x:c>
      <x:c r="D12" s="5" t="n">
        <x:f>IF('平均值OAV_全库'!D26="","",'平均值OAV_全库'!D26)</x:f>
        <x:v>68</x:v>
      </x:c>
      <x:c r="E12" s="6" t="n">
        <x:f>IF('平均值OAV_全库'!E26="","",'平均值OAV_全库'!E26)</x:f>
        <x:v>1580</x:v>
      </x:c>
      <x:c r="F12" s="6" t="n">
        <x:f>IF('平均值OAV_全库'!F26="","",'平均值OAV_全库'!F26)</x:f>
        <x:v>1735.828970588235</x:v>
      </x:c>
      <x:c r="G12" s="6" t="n">
        <x:f>IF('平均值OAV_全库'!G26="","",'平均值OAV_全库'!G26)</x:f>
        <x:v>1.0986259307520474</x:v>
      </x:c>
      <x:c r="H12" s="5" t="str">
        <x:f>IF('平均值OAV_全库'!H26="","",'平均值OAV_全库'!H26)</x:f>
        <x:v>参与浓度设计</x:v>
      </x:c>
      <x:c r="I12" s="5" t="str">
        <x:f>IF('平均值OAV_全库'!I26="","",'平均值OAV_全库'!I26)</x:f>
        <x:v>是</x:v>
      </x:c>
    </x:row>
    <x:row r="13">
      <x:c r="A13" s="5" t="n">
        <x:f>IF('平均值OAV_全库'!A37="","",'平均值OAV_全库'!A37)</x:f>
        <x:v>32</x:v>
      </x:c>
      <x:c r="B13" s="5" t="str">
        <x:f>IF('平均值OAV_全库'!B37="","",'平均值OAV_全库'!B37)</x:f>
        <x:v>异丁酸乙酯</x:v>
      </x:c>
      <x:c r="C13" s="5" t="str">
        <x:f>IF('平均值OAV_全库'!C37="","",'平均值OAV_全库'!C37)</x:f>
        <x:v>97-62-1</x:v>
      </x:c>
      <x:c r="D13" s="5" t="n">
        <x:f>IF('平均值OAV_全库'!D37="","",'平均值OAV_全库'!D37)</x:f>
        <x:v>44</x:v>
      </x:c>
      <x:c r="E13" s="6" t="n">
        <x:f>IF('平均值OAV_全库'!E37="","",'平均值OAV_全库'!E37)</x:f>
        <x:v>57.5</x:v>
      </x:c>
      <x:c r="F13" s="6" t="n">
        <x:f>IF('平均值OAV_全库'!F37="","",'平均值OAV_全库'!F37)</x:f>
        <x:v>6751.238940909092</x:v>
      </x:c>
      <x:c r="G13" s="6" t="n">
        <x:f>IF('平均值OAV_全库'!G37="","",'平均值OAV_全库'!G37)</x:f>
        <x:v>117.41285114624507</x:v>
      </x:c>
      <x:c r="H13" s="5" t="str">
        <x:f>IF('平均值OAV_全库'!H37="","",'平均值OAV_全库'!H37)</x:f>
        <x:v>参与浓度设计</x:v>
      </x:c>
      <x:c r="I13" s="5" t="str">
        <x:f>IF('平均值OAV_全库'!I37="","",'平均值OAV_全库'!I37)</x:f>
        <x:v>是</x:v>
      </x:c>
    </x:row>
    <x:row r="14">
      <x:c r="A14" s="5" t="n">
        <x:f>IF('平均值OAV_全库'!A45="","",'平均值OAV_全库'!A45)</x:f>
        <x:v>40</x:v>
      </x:c>
      <x:c r="B14" s="5" t="str">
        <x:f>IF('平均值OAV_全库'!B45="","",'平均值OAV_全库'!B45)</x:f>
        <x:v>苯乙酸乙酯</x:v>
      </x:c>
      <x:c r="C14" s="5" t="str">
        <x:f>IF('平均值OAV_全库'!C45="","",'平均值OAV_全库'!C45)</x:f>
        <x:v>101-97-3</x:v>
      </x:c>
      <x:c r="D14" s="5" t="n">
        <x:f>IF('平均值OAV_全库'!D45="","",'平均值OAV_全库'!D45)</x:f>
        <x:v>85</x:v>
      </x:c>
      <x:c r="E14" s="6" t="n">
        <x:f>IF('平均值OAV_全库'!E45="","",'平均值OAV_全库'!E45)</x:f>
        <x:v>407</x:v>
      </x:c>
      <x:c r="F14" s="6" t="n">
        <x:f>IF('平均值OAV_全库'!F45="","",'平均值OAV_全库'!F45)</x:f>
        <x:v>3169.6081176470575</x:v>
      </x:c>
      <x:c r="G14" s="6" t="n">
        <x:f>IF('平均值OAV_全库'!G45="","",'平均值OAV_全库'!G45)</x:f>
        <x:v>7.787734932793753</x:v>
      </x:c>
      <x:c r="H14" s="5" t="str">
        <x:f>IF('平均值OAV_全库'!H45="","",'平均值OAV_全库'!H45)</x:f>
        <x:v>参与浓度设计</x:v>
      </x:c>
      <x:c r="I14" s="5" t="str">
        <x:f>IF('平均值OAV_全库'!I45="","",'平均值OAV_全库'!I45)</x:f>
        <x:v>是</x:v>
      </x:c>
    </x:row>
    <x:row r="15">
      <x:c r="A15" s="5" t="n">
        <x:f>IF('平均值OAV_全库'!A46="","",'平均值OAV_全库'!A46)</x:f>
        <x:v>41</x:v>
      </x:c>
      <x:c r="B15" s="5" t="str">
        <x:f>IF('平均值OAV_全库'!B46="","",'平均值OAV_全库'!B46)</x:f>
        <x:v>乙酸苯乙酯</x:v>
      </x:c>
      <x:c r="C15" s="5" t="str">
        <x:f>IF('平均值OAV_全库'!C46="","",'平均值OAV_全库'!C46)</x:f>
        <x:v>103-45-7</x:v>
      </x:c>
      <x:c r="D15" s="5" t="n">
        <x:f>IF('平均值OAV_全库'!D46="","",'平均值OAV_全库'!D46)</x:f>
        <x:v>59</x:v>
      </x:c>
      <x:c r="E15" s="6" t="n">
        <x:f>IF('平均值OAV_全库'!E46="","",'平均值OAV_全库'!E46)</x:f>
        <x:v>909</x:v>
      </x:c>
      <x:c r="F15" s="6" t="n">
        <x:f>IF('平均值OAV_全库'!F46="","",'平均值OAV_全库'!F46)</x:f>
        <x:v>7385.813644067793</x:v>
      </x:c>
      <x:c r="G15" s="6" t="n">
        <x:f>IF('平均值OAV_全库'!G46="","",'平均值OAV_全库'!G46)</x:f>
        <x:v>8.125207529227495</x:v>
      </x:c>
      <x:c r="H15" s="5" t="str">
        <x:f>IF('平均值OAV_全库'!H46="","",'平均值OAV_全库'!H46)</x:f>
        <x:v>参与浓度设计</x:v>
      </x:c>
      <x:c r="I15" s="5" t="str">
        <x:f>IF('平均值OAV_全库'!I46="","",'平均值OAV_全库'!I46)</x:f>
        <x:v>是</x:v>
      </x:c>
    </x:row>
    <x:row r="16">
      <x:c r="A16" s="5" t="n">
        <x:f>IF('平均值OAV_全库'!A57="","",'平均值OAV_全库'!A57)</x:f>
        <x:v>52</x:v>
      </x:c>
      <x:c r="B16" s="5" t="str">
        <x:f>IF('平均值OAV_全库'!B57="","",'平均值OAV_全库'!B57)</x:f>
        <x:v>丁酸乙酯</x:v>
      </x:c>
      <x:c r="C16" s="5" t="str">
        <x:f>IF('平均值OAV_全库'!C57="","",'平均值OAV_全库'!C57)</x:f>
        <x:v>105-54-4</x:v>
      </x:c>
      <x:c r="D16" s="5" t="n">
        <x:f>IF('平均值OAV_全库'!D57="","",'平均值OAV_全库'!D57)</x:f>
        <x:v>97</x:v>
      </x:c>
      <x:c r="E16" s="6" t="n">
        <x:f>IF('平均值OAV_全库'!E57="","",'平均值OAV_全库'!E57)</x:f>
        <x:v>81.5</x:v>
      </x:c>
      <x:c r="F16" s="6" t="n">
        <x:f>IF('平均值OAV_全库'!F57="","",'平均值OAV_全库'!F57)</x:f>
        <x:v>106943.00625463917</x:v>
      </x:c>
      <x:c r="G16" s="6" t="n">
        <x:f>IF('平均值OAV_全库'!G57="","",'平均值OAV_全库'!G57)</x:f>
        <x:v>1312.1841258237935</x:v>
      </x:c>
      <x:c r="H16" s="5" t="str">
        <x:f>IF('平均值OAV_全库'!H57="","",'平均值OAV_全库'!H57)</x:f>
        <x:v>参与浓度设计</x:v>
      </x:c>
      <x:c r="I16" s="5" t="str">
        <x:f>IF('平均值OAV_全库'!I57="","",'平均值OAV_全库'!I57)</x:f>
        <x:v>是</x:v>
      </x:c>
    </x:row>
    <x:row r="17">
      <x:c r="A17" s="5" t="n">
        <x:f>IF('平均值OAV_全库'!A58="","",'平均值OAV_全库'!A58)</x:f>
        <x:v>53</x:v>
      </x:c>
      <x:c r="B17" s="5" t="str">
        <x:f>IF('平均值OAV_全库'!B58="","",'平均值OAV_全库'!B58)</x:f>
        <x:v>乙醛二乙缩醛</x:v>
      </x:c>
      <x:c r="C17" s="5" t="str">
        <x:f>IF('平均值OAV_全库'!C58="","",'平均值OAV_全库'!C58)</x:f>
        <x:v>105-57-7</x:v>
      </x:c>
      <x:c r="D17" s="5" t="n">
        <x:f>IF('平均值OAV_全库'!D58="","",'平均值OAV_全库'!D58)</x:f>
        <x:v>63</x:v>
      </x:c>
      <x:c r="E17" s="6" t="n">
        <x:f>IF('平均值OAV_全库'!E58="","",'平均值OAV_全库'!E58)</x:f>
        <x:v>2090</x:v>
      </x:c>
      <x:c r="F17" s="6" t="n">
        <x:f>IF('平均值OAV_全库'!F58="","",'平均值OAV_全库'!F58)</x:f>
        <x:v>98196.77275079368</x:v>
      </x:c>
      <x:c r="G17" s="6" t="n">
        <x:f>IF('平均值OAV_全库'!G58="","",'平均值OAV_全库'!G58)</x:f>
        <x:v>46.98410179463812</x:v>
      </x:c>
      <x:c r="H17" s="5" t="str">
        <x:f>IF('平均值OAV_全库'!H58="","",'平均值OAV_全库'!H58)</x:f>
        <x:v>参与浓度设计</x:v>
      </x:c>
      <x:c r="I17" s="5" t="str">
        <x:f>IF('平均值OAV_全库'!I58="","",'平均值OAV_全库'!I58)</x:f>
        <x:v>是</x:v>
      </x:c>
    </x:row>
    <x:row r="18">
      <x:c r="A18" s="5" t="n">
        <x:f>IF('平均值OAV_全库'!A61="","",'平均值OAV_全库'!A61)</x:f>
        <x:v>56</x:v>
      </x:c>
      <x:c r="B18" s="5" t="str">
        <x:f>IF('平均值OAV_全库'!B61="","",'平均值OAV_全库'!B61)</x:f>
        <x:v>丁酸异戊酯</x:v>
      </x:c>
      <x:c r="C18" s="5" t="str">
        <x:f>IF('平均值OAV_全库'!C61="","",'平均值OAV_全库'!C61)</x:f>
        <x:v>106-27-4</x:v>
      </x:c>
      <x:c r="D18" s="5" t="n">
        <x:f>IF('平均值OAV_全库'!D61="","",'平均值OAV_全库'!D61)</x:f>
        <x:v>56</x:v>
      </x:c>
      <x:c r="E18" s="6" t="n">
        <x:f>IF('平均值OAV_全库'!E61="","",'平均值OAV_全库'!E61)</x:f>
        <x:v>915</x:v>
      </x:c>
      <x:c r="F18" s="6" t="n">
        <x:f>IF('平均值OAV_全库'!F61="","",'平均值OAV_全库'!F61)</x:f>
        <x:v>1260.4891964285712</x:v>
      </x:c>
      <x:c r="G18" s="6" t="n">
        <x:f>IF('平均值OAV_全库'!G61="","",'平均值OAV_全库'!G61)</x:f>
        <x:v>1.377583821233411</x:v>
      </x:c>
      <x:c r="H18" s="5" t="str">
        <x:f>IF('平均值OAV_全库'!H61="","",'平均值OAV_全库'!H61)</x:f>
        <x:v>参与浓度设计</x:v>
      </x:c>
      <x:c r="I18" s="5" t="str">
        <x:f>IF('平均值OAV_全库'!I61="","",'平均值OAV_全库'!I61)</x:f>
        <x:v>是</x:v>
      </x:c>
    </x:row>
    <x:row r="19">
      <x:c r="A19" s="5" t="n">
        <x:f>IF('平均值OAV_全库'!A62="","",'平均值OAV_全库'!A62)</x:f>
        <x:v>57</x:v>
      </x:c>
      <x:c r="B19" s="5" t="str">
        <x:f>IF('平均值OAV_全库'!B62="","",'平均值OAV_全库'!B62)</x:f>
        <x:v>庚酸乙酯</x:v>
      </x:c>
      <x:c r="C19" s="5" t="str">
        <x:f>IF('平均值OAV_全库'!C62="","",'平均值OAV_全库'!C62)</x:f>
        <x:v>106-30-9</x:v>
      </x:c>
      <x:c r="D19" s="5" t="n">
        <x:f>IF('平均值OAV_全库'!D62="","",'平均值OAV_全库'!D62)</x:f>
        <x:v>87</x:v>
      </x:c>
      <x:c r="E19" s="6" t="n">
        <x:f>IF('平均值OAV_全库'!E62="","",'平均值OAV_全库'!E62)</x:f>
        <x:v>13153</x:v>
      </x:c>
      <x:c r="F19" s="6" t="n">
        <x:f>IF('平均值OAV_全库'!F62="","",'平均值OAV_全库'!F62)</x:f>
        <x:v>27722.03097701148</x:v>
      </x:c>
      <x:c r="G19" s="6" t="n">
        <x:f>IF('平均值OAV_全库'!G62="","",'平均值OAV_全库'!G62)</x:f>
        <x:v>2.107658403178855</x:v>
      </x:c>
      <x:c r="H19" s="5" t="str">
        <x:f>IF('平均值OAV_全库'!H62="","",'平均值OAV_全库'!H62)</x:f>
        <x:v>参与浓度设计</x:v>
      </x:c>
      <x:c r="I19" s="5" t="str">
        <x:f>IF('平均值OAV_全库'!I62="","",'平均值OAV_全库'!I62)</x:f>
        <x:v>是</x:v>
      </x:c>
    </x:row>
    <x:row r="20">
      <x:c r="A20" s="5" t="n">
        <x:f>IF('平均值OAV_全库'!A63="","",'平均值OAV_全库'!A63)</x:f>
        <x:v>58</x:v>
      </x:c>
      <x:c r="B20" s="5" t="str">
        <x:f>IF('平均值OAV_全库'!B63="","",'平均值OAV_全库'!B63)</x:f>
        <x:v>辛酸乙酯</x:v>
      </x:c>
      <x:c r="C20" s="5" t="str">
        <x:f>IF('平均值OAV_全库'!C63="","",'平均值OAV_全库'!C63)</x:f>
        <x:v>106-32-1</x:v>
      </x:c>
      <x:c r="D20" s="5" t="n">
        <x:f>IF('平均值OAV_全库'!D63="","",'平均值OAV_全库'!D63)</x:f>
        <x:v>100</x:v>
      </x:c>
      <x:c r="E20" s="6" t="n">
        <x:f>IF('平均值OAV_全库'!E63="","",'平均值OAV_全库'!E63)</x:f>
        <x:v>12.9</x:v>
      </x:c>
      <x:c r="F20" s="6" t="n">
        <x:f>IF('平均值OAV_全库'!F63="","",'平均值OAV_全库'!F63)</x:f>
        <x:v>52698.110949999995</x:v>
      </x:c>
      <x:c r="G20" s="6" t="n">
        <x:f>IF('平均值OAV_全库'!G63="","",'平均值OAV_全库'!G63)</x:f>
        <x:v>4085.1248798449606</x:v>
      </x:c>
      <x:c r="H20" s="5" t="str">
        <x:f>IF('平均值OAV_全库'!H63="","",'平均值OAV_全库'!H63)</x:f>
        <x:v>参与浓度设计</x:v>
      </x:c>
      <x:c r="I20" s="5" t="str">
        <x:f>IF('平均值OAV_全库'!I63="","",'平均值OAV_全库'!I63)</x:f>
        <x:v>是</x:v>
      </x:c>
    </x:row>
    <x:row r="21">
      <x:c r="A21" s="5" t="n">
        <x:f>IF('平均值OAV_全库'!A66="","",'平均值OAV_全库'!A66)</x:f>
        <x:v>61</x:v>
      </x:c>
      <x:c r="B21" s="5" t="str">
        <x:f>IF('平均值OAV_全库'!B66="","",'平均值OAV_全库'!B66)</x:f>
        <x:v>对甲酚</x:v>
      </x:c>
      <x:c r="C21" s="5" t="str">
        <x:f>IF('平均值OAV_全库'!C66="","",'平均值OAV_全库'!C66)</x:f>
        <x:v>106-44-5</x:v>
      </x:c>
      <x:c r="D21" s="5" t="n">
        <x:f>IF('平均值OAV_全库'!D66="","",'平均值OAV_全库'!D66)</x:f>
        <x:v>71</x:v>
      </x:c>
      <x:c r="E21" s="6" t="n">
        <x:f>IF('平均值OAV_全库'!E66="","",'平均值OAV_全库'!E66)</x:f>
        <x:v>167</x:v>
      </x:c>
      <x:c r="F21" s="6" t="n">
        <x:f>IF('平均值OAV_全库'!F66="","",'平均值OAV_全库'!F66)</x:f>
        <x:v>959.5609154929575</x:v>
      </x:c>
      <x:c r="G21" s="6" t="n">
        <x:f>IF('平均值OAV_全库'!G66="","",'平均值OAV_全库'!G66)</x:f>
        <x:v>5.745873745466811</x:v>
      </x:c>
      <x:c r="H21" s="5" t="str">
        <x:f>IF('平均值OAV_全库'!H66="","",'平均值OAV_全库'!H66)</x:f>
        <x:v>参与浓度设计</x:v>
      </x:c>
      <x:c r="I21" s="5" t="str">
        <x:f>IF('平均值OAV_全库'!I66="","",'平均值OAV_全库'!I66)</x:f>
        <x:v>是</x:v>
      </x:c>
    </x:row>
    <x:row r="22">
      <x:c r="A22" s="5" t="n">
        <x:f>IF('平均值OAV_全库'!A70="","",'平均值OAV_全库'!A70)</x:f>
        <x:v>65</x:v>
      </x:c>
      <x:c r="B22" s="5" t="str">
        <x:f>IF('平均值OAV_全库'!B70="","",'平均值OAV_全库'!B70)</x:f>
        <x:v>丁酸</x:v>
      </x:c>
      <x:c r="C22" s="5" t="str">
        <x:f>IF('平均值OAV_全库'!C70="","",'平均值OAV_全库'!C70)</x:f>
        <x:v>107-92-6</x:v>
      </x:c>
      <x:c r="D22" s="5" t="n">
        <x:f>IF('平均值OAV_全库'!D70="","",'平均值OAV_全库'!D70)</x:f>
        <x:v>84</x:v>
      </x:c>
      <x:c r="E22" s="6" t="n">
        <x:f>IF('平均值OAV_全库'!E70="","",'平均值OAV_全库'!E70)</x:f>
        <x:v>965</x:v>
      </x:c>
      <x:c r="F22" s="6" t="n">
        <x:f>IF('平均值OAV_全库'!F70="","",'平均值OAV_全库'!F70)</x:f>
        <x:v>44345.55047619048</x:v>
      </x:c>
      <x:c r="G22" s="6" t="n">
        <x:f>IF('平均值OAV_全库'!G70="","",'平均值OAV_全库'!G70)</x:f>
        <x:v>45.95393831729584</x:v>
      </x:c>
      <x:c r="H22" s="5" t="str">
        <x:f>IF('平均值OAV_全库'!H70="","",'平均值OAV_全库'!H70)</x:f>
        <x:v>参与浓度设计</x:v>
      </x:c>
      <x:c r="I22" s="5" t="str">
        <x:f>IF('平均值OAV_全库'!I70="","",'平均值OAV_全库'!I70)</x:f>
        <x:v>是</x:v>
      </x:c>
    </x:row>
    <x:row r="23">
      <x:c r="A23" s="5" t="n">
        <x:f>IF('平均值OAV_全库'!A74="","",'平均值OAV_全库'!A74)</x:f>
        <x:v>69</x:v>
      </x:c>
      <x:c r="B23" s="5" t="str">
        <x:f>IF('平均值OAV_全库'!B74="","",'平均值OAV_全库'!B74)</x:f>
        <x:v>异戊酸乙酯（3-甲基丁酸乙酯）</x:v>
      </x:c>
      <x:c r="C23" s="5" t="str">
        <x:f>IF('平均值OAV_全库'!C74="","",'平均值OAV_全库'!C74)</x:f>
        <x:v>108-64-5</x:v>
      </x:c>
      <x:c r="D23" s="5" t="n">
        <x:f>IF('平均值OAV_全库'!D74="","",'平均值OAV_全库'!D74)</x:f>
        <x:v>45</x:v>
      </x:c>
      <x:c r="E23" s="6" t="n">
        <x:f>IF('平均值OAV_全库'!E74="","",'平均值OAV_全库'!E74)</x:f>
        <x:v>6.89</x:v>
      </x:c>
      <x:c r="F23" s="6" t="n">
        <x:f>IF('平均值OAV_全库'!F74="","",'平均值OAV_全库'!F74)</x:f>
        <x:v>1755.1405200000002</x:v>
      </x:c>
      <x:c r="G23" s="6" t="n">
        <x:f>IF('平均值OAV_全库'!G74="","",'平均值OAV_全库'!G74)</x:f>
        <x:v>254.73737590711178</x:v>
      </x:c>
      <x:c r="H23" s="5" t="str">
        <x:f>IF('平均值OAV_全库'!H74="","",'平均值OAV_全库'!H74)</x:f>
        <x:v>参与浓度设计</x:v>
      </x:c>
      <x:c r="I23" s="5" t="str">
        <x:f>IF('平均值OAV_全库'!I74="","",'平均值OAV_全库'!I74)</x:f>
        <x:v>是</x:v>
      </x:c>
    </x:row>
    <x:row r="24">
      <x:c r="A24" s="5" t="n">
        <x:f>IF('平均值OAV_全库'!A80="","",'平均值OAV_全库'!A80)</x:f>
        <x:v>75</x:v>
      </x:c>
      <x:c r="B24" s="5" t="str">
        <x:f>IF('平均值OAV_全库'!B80="","",'平均值OAV_全库'!B80)</x:f>
        <x:v>戊酸</x:v>
      </x:c>
      <x:c r="C24" s="5" t="str">
        <x:f>IF('平均值OAV_全库'!C80="","",'平均值OAV_全库'!C80)</x:f>
        <x:v>109-52-4</x:v>
      </x:c>
      <x:c r="D24" s="5" t="n">
        <x:f>IF('平均值OAV_全库'!D80="","",'平均值OAV_全库'!D80)</x:f>
        <x:v>91</x:v>
      </x:c>
      <x:c r="E24" s="6" t="n">
        <x:f>IF('平均值OAV_全库'!E80="","",'平均值OAV_全库'!E80)</x:f>
        <x:v>389</x:v>
      </x:c>
      <x:c r="F24" s="6" t="n">
        <x:f>IF('平均值OAV_全库'!F80="","",'平均值OAV_全库'!F80)</x:f>
        <x:v>12082.561978021977</x:v>
      </x:c>
      <x:c r="G24" s="6" t="n">
        <x:f>IF('平均值OAV_全库'!G80="","",'平均值OAV_全库'!G80)</x:f>
        <x:v>31.06057063758863</x:v>
      </x:c>
      <x:c r="H24" s="5" t="str">
        <x:f>IF('平均值OAV_全库'!H80="","",'平均值OAV_全库'!H80)</x:f>
        <x:v>参与浓度设计</x:v>
      </x:c>
      <x:c r="I24" s="5" t="str">
        <x:f>IF('平均值OAV_全库'!I80="","",'平均值OAV_全库'!I80)</x:f>
        <x:v>是</x:v>
      </x:c>
    </x:row>
    <x:row r="25">
      <x:c r="A25" s="5" t="n">
        <x:f>IF('平均值OAV_全库'!A84="","",'平均值OAV_全库'!A84)</x:f>
        <x:v>79</x:v>
      </x:c>
      <x:c r="B25" s="5" t="str">
        <x:f>IF('平均值OAV_全库'!B84="","",'平均值OAV_全库'!B84)</x:f>
        <x:v>癸酸乙酯</x:v>
      </x:c>
      <x:c r="C25" s="5" t="str">
        <x:f>IF('平均值OAV_全库'!C84="","",'平均值OAV_全库'!C84)</x:f>
        <x:v>110-38-3</x:v>
      </x:c>
      <x:c r="D25" s="5" t="n">
        <x:f>IF('平均值OAV_全库'!D84="","",'平均值OAV_全库'!D84)</x:f>
        <x:v>89</x:v>
      </x:c>
      <x:c r="E25" s="6" t="n">
        <x:f>IF('平均值OAV_全库'!E84="","",'平均值OAV_全库'!E84)</x:f>
        <x:v>1120</x:v>
      </x:c>
      <x:c r="F25" s="6" t="n">
        <x:f>IF('平均值OAV_全库'!F84="","",'平均值OAV_全库'!F84)</x:f>
        <x:v>4700.830561797755</x:v>
      </x:c>
      <x:c r="G25" s="6" t="n">
        <x:f>IF('平均值OAV_全库'!G84="","",'平均值OAV_全库'!G84)</x:f>
        <x:v>4.197170144462281</x:v>
      </x:c>
      <x:c r="H25" s="5" t="str">
        <x:f>IF('平均值OAV_全库'!H84="","",'平均值OAV_全库'!H84)</x:f>
        <x:v>参与浓度设计</x:v>
      </x:c>
      <x:c r="I25" s="5" t="str">
        <x:f>IF('平均值OAV_全库'!I84="","",'平均值OAV_全库'!I84)</x:f>
        <x:v>是</x:v>
      </x:c>
    </x:row>
    <x:row r="26">
      <x:c r="A26" s="5" t="n">
        <x:f>IF('平均值OAV_全库'!A90="","",'平均值OAV_全库'!A90)</x:f>
        <x:v>85</x:v>
      </x:c>
      <x:c r="B26" s="5" t="str">
        <x:f>IF('平均值OAV_全库'!B90="","",'平均值OAV_全库'!B90)</x:f>
        <x:v>1-己醇</x:v>
      </x:c>
      <x:c r="C26" s="5" t="str">
        <x:f>IF('平均值OAV_全库'!C90="","",'平均值OAV_全库'!C90)</x:f>
        <x:v>111-27-3</x:v>
      </x:c>
      <x:c r="D26" s="5" t="n">
        <x:f>IF('平均值OAV_全库'!D90="","",'平均值OAV_全库'!D90)</x:f>
        <x:v>95</x:v>
      </x:c>
      <x:c r="E26" s="6" t="n">
        <x:f>IF('平均值OAV_全库'!E90="","",'平均值OAV_全库'!E90)</x:f>
        <x:v>5370</x:v>
      </x:c>
      <x:c r="F26" s="6" t="n">
        <x:f>IF('平均值OAV_全库'!F90="","",'平均值OAV_全库'!F90)</x:f>
        <x:v>153318.30499999996</x:v>
      </x:c>
      <x:c r="G26" s="6" t="n">
        <x:f>IF('平均值OAV_全库'!G90="","",'平均值OAV_全库'!G90)</x:f>
        <x:v>28.550894785847294</x:v>
      </x:c>
      <x:c r="H26" s="5" t="str">
        <x:f>IF('平均值OAV_全库'!H90="","",'平均值OAV_全库'!H90)</x:f>
        <x:v>参与浓度设计</x:v>
      </x:c>
      <x:c r="I26" s="5" t="str">
        <x:f>IF('平均值OAV_全库'!I90="","",'平均值OAV_全库'!I90)</x:f>
        <x:v>是</x:v>
      </x:c>
    </x:row>
    <x:row r="27">
      <x:c r="A27" s="5" t="n">
        <x:f>IF('平均值OAV_全库'!A95="","",'平均值OAV_全库'!A95)</x:f>
        <x:v>90</x:v>
      </x:c>
      <x:c r="B27" s="5" t="str">
        <x:f>IF('平均值OAV_全库'!B95="","",'平均值OAV_全库'!B95)</x:f>
        <x:v>1-辛醇</x:v>
      </x:c>
      <x:c r="C27" s="5" t="str">
        <x:f>IF('平均值OAV_全库'!C95="","",'平均值OAV_全库'!C95)</x:f>
        <x:v>111-87-5</x:v>
      </x:c>
      <x:c r="D27" s="5" t="n">
        <x:f>IF('平均值OAV_全库'!D95="","",'平均值OAV_全库'!D95)</x:f>
        <x:v>53</x:v>
      </x:c>
      <x:c r="E27" s="6" t="n">
        <x:f>IF('平均值OAV_全库'!E95="","",'平均值OAV_全库'!E95)</x:f>
        <x:v>1100</x:v>
      </x:c>
      <x:c r="F27" s="6" t="n">
        <x:f>IF('平均值OAV_全库'!F95="","",'平均值OAV_全库'!F95)</x:f>
        <x:v>2260.9195283018867</x:v>
      </x:c>
      <x:c r="G27" s="6" t="n">
        <x:f>IF('平均值OAV_全库'!G95="","",'平均值OAV_全库'!G95)</x:f>
        <x:v>2.0553813893653516</x:v>
      </x:c>
      <x:c r="H27" s="5" t="str">
        <x:f>IF('平均值OAV_全库'!H95="","",'平均值OAV_全库'!H95)</x:f>
        <x:v>参与浓度设计</x:v>
      </x:c>
      <x:c r="I27" s="5" t="str">
        <x:f>IF('平均值OAV_全库'!I95="","",'平均值OAV_全库'!I95)</x:f>
        <x:v>是</x:v>
      </x:c>
    </x:row>
    <x:row r="28">
      <x:c r="A28" s="5" t="n">
        <x:f>IF('平均值OAV_全库'!A110="","",'平均值OAV_全库'!A110)</x:f>
        <x:v>105</x:v>
      </x:c>
      <x:c r="B28" s="5" t="str">
        <x:f>IF('平均值OAV_全库'!B110="","",'平均值OAV_全库'!B110)</x:f>
        <x:v>苯乙醛</x:v>
      </x:c>
      <x:c r="C28" s="5" t="str">
        <x:f>IF('平均值OAV_全库'!C110="","",'平均值OAV_全库'!C110)</x:f>
        <x:v>122-78-1</x:v>
      </x:c>
      <x:c r="D28" s="5" t="n">
        <x:f>IF('平均值OAV_全库'!D110="","",'平均值OAV_全库'!D110)</x:f>
        <x:v>44</x:v>
      </x:c>
      <x:c r="E28" s="6" t="n">
        <x:f>IF('平均值OAV_全库'!E110="","",'平均值OAV_全库'!E110)</x:f>
        <x:v>262</x:v>
      </x:c>
      <x:c r="F28" s="6" t="n">
        <x:f>IF('平均值OAV_全库'!F110="","",'平均值OAV_全库'!F110)</x:f>
        <x:v>1623.2574999999995</x:v>
      </x:c>
      <x:c r="G28" s="6" t="n">
        <x:f>IF('平均值OAV_全库'!G110="","",'平均值OAV_全库'!G110)</x:f>
        <x:v>6.1956393129770975</x:v>
      </x:c>
      <x:c r="H28" s="5" t="str">
        <x:f>IF('平均值OAV_全库'!H110="","",'平均值OAV_全库'!H110)</x:f>
        <x:v>参与浓度设计</x:v>
      </x:c>
      <x:c r="I28" s="5" t="str">
        <x:f>IF('平均值OAV_全库'!I110="","",'平均值OAV_全库'!I110)</x:f>
        <x:v>是</x:v>
      </x:c>
    </x:row>
    <x:row r="29">
      <x:c r="A29" s="5" t="n">
        <x:f>IF('平均值OAV_全库'!A111="","",'平均值OAV_全库'!A111)</x:f>
        <x:v>106</x:v>
      </x:c>
      <x:c r="B29" s="5" t="str">
        <x:f>IF('平均值OAV_全库'!B111="","",'平均值OAV_全库'!B111)</x:f>
        <x:v>4-乙基苯酚</x:v>
      </x:c>
      <x:c r="C29" s="5" t="str">
        <x:f>IF('平均值OAV_全库'!C111="","",'平均值OAV_全库'!C111)</x:f>
        <x:v>123-07-9</x:v>
      </x:c>
      <x:c r="D29" s="5" t="n">
        <x:f>IF('平均值OAV_全库'!D111="","",'平均值OAV_全库'!D111)</x:f>
        <x:v>51</x:v>
      </x:c>
      <x:c r="E29" s="6" t="n">
        <x:f>IF('平均值OAV_全库'!E111="","",'平均值OAV_全库'!E111)</x:f>
        <x:v>123</x:v>
      </x:c>
      <x:c r="F29" s="6" t="n">
        <x:f>IF('平均值OAV_全库'!F111="","",'平均值OAV_全库'!F111)</x:f>
        <x:v>312.7970588235294</x:v>
      </x:c>
      <x:c r="G29" s="6" t="n">
        <x:f>IF('平均值OAV_全库'!G111="","",'平均值OAV_全库'!G111)</x:f>
        <x:v>2.543065518890483</x:v>
      </x:c>
      <x:c r="H29" s="5" t="str">
        <x:f>IF('平均值OAV_全库'!H111="","",'平均值OAV_全库'!H111)</x:f>
        <x:v>参与浓度设计</x:v>
      </x:c>
      <x:c r="I29" s="5" t="str">
        <x:f>IF('平均值OAV_全库'!I111="","",'平均值OAV_全库'!I111)</x:f>
        <x:v>是</x:v>
      </x:c>
    </x:row>
    <x:row r="30">
      <x:c r="A30" s="5" t="n">
        <x:f>IF('平均值OAV_全库'!A115="","",'平均值OAV_全库'!A115)</x:f>
        <x:v>110</x:v>
      </x:c>
      <x:c r="B30" s="5" t="str">
        <x:f>IF('平均值OAV_全库'!B115="","",'平均值OAV_全库'!B115)</x:f>
        <x:v>3-甲基-1-丁醇（异戊醇）</x:v>
      </x:c>
      <x:c r="C30" s="5" t="str">
        <x:f>IF('平均值OAV_全库'!C115="","",'平均值OAV_全库'!C115)</x:f>
        <x:v>123-51-3</x:v>
      </x:c>
      <x:c r="D30" s="5" t="n">
        <x:f>IF('平均值OAV_全库'!D115="","",'平均值OAV_全库'!D115)</x:f>
        <x:v>94</x:v>
      </x:c>
      <x:c r="E30" s="6" t="n">
        <x:f>IF('平均值OAV_全库'!E115="","",'平均值OAV_全库'!E115)</x:f>
        <x:v>179191</x:v>
      </x:c>
      <x:c r="F30" s="6" t="n">
        <x:f>IF('平均值OAV_全库'!F115="","",'平均值OAV_全库'!F115)</x:f>
        <x:v>104175.5097553192</x:v>
      </x:c>
      <x:c r="G30" s="6" t="n">
        <x:f>IF('平均值OAV_全库'!G115="","",'平均值OAV_全库'!G115)</x:f>
        <x:v>0.5813657480304212</x:v>
      </x:c>
      <x:c r="H30" s="5" t="str">
        <x:f>IF('平均值OAV_全库'!H115="","",'平均值OAV_全库'!H115)</x:f>
        <x:v>固定基底候选</x:v>
      </x:c>
      <x:c r="I30" s="5" t="str">
        <x:f>IF('平均值OAV_全库'!I115="","",'平均值OAV_全库'!I115)</x:f>
        <x:v>是</x:v>
      </x:c>
    </x:row>
    <x:row r="31">
      <x:c r="A31" s="5" t="n">
        <x:f>IF('平均值OAV_全库'!A116="","",'平均值OAV_全库'!A116)</x:f>
        <x:v>111</x:v>
      </x:c>
      <x:c r="B31" s="5" t="str">
        <x:f>IF('平均值OAV_全库'!B116="","",'平均值OAV_全库'!B116)</x:f>
        <x:v>己酸乙酯</x:v>
      </x:c>
      <x:c r="C31" s="5" t="str">
        <x:f>IF('平均值OAV_全库'!C116="","",'平均值OAV_全库'!C116)</x:f>
        <x:v>123-66-0</x:v>
      </x:c>
      <x:c r="D31" s="5" t="n">
        <x:f>IF('平均值OAV_全库'!D116="","",'平均值OAV_全库'!D116)</x:f>
        <x:v>99</x:v>
      </x:c>
      <x:c r="E31" s="6" t="n">
        <x:f>IF('平均值OAV_全库'!E116="","",'平均值OAV_全库'!E116)</x:f>
        <x:v>55.3</x:v>
      </x:c>
      <x:c r="F31" s="6" t="n">
        <x:f>IF('平均值OAV_全库'!F116="","",'平均值OAV_全库'!F116)</x:f>
        <x:v>789273.030487879</x:v>
      </x:c>
      <x:c r="G31" s="6" t="n">
        <x:f>IF('平均值OAV_全库'!G116="","",'平均值OAV_全库'!G116)</x:f>
        <x:v>14272.568363252785</x:v>
      </x:c>
      <x:c r="H31" s="5" t="str">
        <x:f>IF('平均值OAV_全库'!H116="","",'平均值OAV_全库'!H116)</x:f>
        <x:v>参与浓度设计</x:v>
      </x:c>
      <x:c r="I31" s="5" t="str">
        <x:f>IF('平均值OAV_全库'!I116="","",'平均值OAV_全库'!I116)</x:f>
        <x:v>是</x:v>
      </x:c>
    </x:row>
    <x:row r="32">
      <x:c r="A32" s="5" t="n">
        <x:f>IF('平均值OAV_全库'!A119="","",'平均值OAV_全库'!A119)</x:f>
        <x:v>114</x:v>
      </x:c>
      <x:c r="B32" s="5" t="str">
        <x:f>IF('平均值OAV_全库'!B119="","",'平均值OAV_全库'!B119)</x:f>
        <x:v>乙酸丁酯</x:v>
      </x:c>
      <x:c r="C32" s="5" t="str">
        <x:f>IF('平均值OAV_全库'!C119="","",'平均值OAV_全库'!C119)</x:f>
        <x:v>123-86-4</x:v>
      </x:c>
      <x:c r="D32" s="5" t="n">
        <x:f>IF('平均值OAV_全库'!D119="","",'平均值OAV_全库'!D119)</x:f>
        <x:v>30</x:v>
      </x:c>
      <x:c r="E32" s="6" t="n">
        <x:f>IF('平均值OAV_全库'!E119="","",'平均值OAV_全库'!E119)</x:f>
        <x:v>1800</x:v>
      </x:c>
      <x:c r="F32" s="6" t="n">
        <x:f>IF('平均值OAV_全库'!F119="","",'平均值OAV_全库'!F119)</x:f>
        <x:v>4783.743</x:v>
      </x:c>
      <x:c r="G32" s="6" t="n">
        <x:f>IF('平均值OAV_全库'!G119="","",'平均值OAV_全库'!G119)</x:f>
        <x:v>2.6576350000000004</x:v>
      </x:c>
      <x:c r="H32" s="5" t="str">
        <x:f>IF('平均值OAV_全库'!H119="","",'平均值OAV_全库'!H119)</x:f>
        <x:v>参与浓度设计</x:v>
      </x:c>
      <x:c r="I32" s="5" t="str">
        <x:f>IF('平均值OAV_全库'!I119="","",'平均值OAV_全库'!I119)</x:f>
        <x:v>是</x:v>
      </x:c>
    </x:row>
    <x:row r="33">
      <x:c r="A33" s="5" t="n">
        <x:f>IF('平均值OAV_全库'!A120="","",'平均值OAV_全库'!A120)</x:f>
        <x:v>115</x:v>
      </x:c>
      <x:c r="B33" s="5" t="str">
        <x:f>IF('平均值OAV_全库'!B120="","",'平均值OAV_全库'!B120)</x:f>
        <x:v>乙酸异戊酯</x:v>
      </x:c>
      <x:c r="C33" s="5" t="str">
        <x:f>IF('平均值OAV_全库'!C120="","",'平均值OAV_全库'!C120)</x:f>
        <x:v>123-92-2</x:v>
      </x:c>
      <x:c r="D33" s="5" t="n">
        <x:f>IF('平均值OAV_全库'!D120="","",'平均值OAV_全库'!D120)</x:f>
        <x:v>48</x:v>
      </x:c>
      <x:c r="E33" s="6" t="n">
        <x:f>IF('平均值OAV_全库'!E120="","",'平均值OAV_全库'!E120)</x:f>
        <x:v>93.9</x:v>
      </x:c>
      <x:c r="F33" s="6" t="n">
        <x:f>IF('平均值OAV_全库'!F120="","",'平均值OAV_全库'!F120)</x:f>
        <x:v>1579.5084729166665</x:v>
      </x:c>
      <x:c r="G33" s="6" t="n">
        <x:f>IF('平均值OAV_全库'!G120="","",'平均值OAV_全库'!G120)</x:f>
        <x:v>16.82117649538516</x:v>
      </x:c>
      <x:c r="H33" s="5" t="str">
        <x:f>IF('平均值OAV_全库'!H120="","",'平均值OAV_全库'!H120)</x:f>
        <x:v>参与浓度设计</x:v>
      </x:c>
      <x:c r="I33" s="5" t="str">
        <x:f>IF('平均值OAV_全库'!I120="","",'平均值OAV_全库'!I120)</x:f>
        <x:v>是</x:v>
      </x:c>
    </x:row>
    <x:row r="34">
      <x:c r="A34" s="5" t="n">
        <x:f>IF('平均值OAV_全库'!A122="","",'平均值OAV_全库'!A122)</x:f>
        <x:v>117</x:v>
      </x:c>
      <x:c r="B34" s="5" t="str">
        <x:f>IF('平均值OAV_全库'!B122="","",'平均值OAV_全库'!B122)</x:f>
        <x:v>辛酸</x:v>
      </x:c>
      <x:c r="C34" s="5" t="str">
        <x:f>IF('平均值OAV_全库'!C122="","",'平均值OAV_全库'!C122)</x:f>
        <x:v>124-07-2</x:v>
      </x:c>
      <x:c r="D34" s="5" t="n">
        <x:f>IF('平均值OAV_全库'!D122="","",'平均值OAV_全库'!D122)</x:f>
        <x:v>79</x:v>
      </x:c>
      <x:c r="E34" s="6" t="n">
        <x:f>IF('平均值OAV_全库'!E122="","",'平均值OAV_全库'!E122)</x:f>
        <x:v>2700</x:v>
      </x:c>
      <x:c r="F34" s="6" t="n">
        <x:f>IF('平均值OAV_全库'!F122="","",'平均值OAV_全库'!F122)</x:f>
        <x:v>9014.793860759495</x:v>
      </x:c>
      <x:c r="G34" s="6" t="n">
        <x:f>IF('平均值OAV_全库'!G122="","",'平均值OAV_全库'!G122)</x:f>
        <x:v>3.338812541022035</x:v>
      </x:c>
      <x:c r="H34" s="5" t="str">
        <x:f>IF('平均值OAV_全库'!H122="","",'平均值OAV_全库'!H122)</x:f>
        <x:v>参与浓度设计</x:v>
      </x:c>
      <x:c r="I34" s="5" t="str">
        <x:f>IF('平均值OAV_全库'!I122="","",'平均值OAV_全库'!I122)</x:f>
        <x:v>是</x:v>
      </x:c>
    </x:row>
    <x:row r="35">
      <x:c r="A35" s="5" t="n">
        <x:f>IF('平均值OAV_全库'!A129="","",'平均值OAV_全库'!A129)</x:f>
        <x:v>124</x:v>
      </x:c>
      <x:c r="B35" s="5" t="str">
        <x:f>IF('平均值OAV_全库'!B129="","",'平均值OAV_全库'!B129)</x:f>
        <x:v>乙酸乙酯</x:v>
      </x:c>
      <x:c r="C35" s="5" t="str">
        <x:f>IF('平均值OAV_全库'!C129="","",'平均值OAV_全库'!C129)</x:f>
        <x:v>141-78-6</x:v>
      </x:c>
      <x:c r="D35" s="5" t="n">
        <x:f>IF('平均值OAV_全库'!D129="","",'平均值OAV_全库'!D129)</x:f>
        <x:v>84</x:v>
      </x:c>
      <x:c r="E35" s="6" t="n">
        <x:f>IF('平均值OAV_全库'!E129="","",'平均值OAV_全库'!E129)</x:f>
        <x:v>32552</x:v>
      </x:c>
      <x:c r="F35" s="6" t="n">
        <x:f>IF('平均值OAV_全库'!F129="","",'平均值OAV_全库'!F129)</x:f>
        <x:v>405974.90656785714</x:v>
      </x:c>
      <x:c r="G35" s="6" t="n">
        <x:f>IF('平均值OAV_全库'!G129="","",'平均值OAV_全库'!G129)</x:f>
        <x:v>12.471581057012077</x:v>
      </x:c>
      <x:c r="H35" s="5" t="str">
        <x:f>IF('平均值OAV_全库'!H129="","",'平均值OAV_全库'!H129)</x:f>
        <x:v>参与浓度设计</x:v>
      </x:c>
      <x:c r="I35" s="5" t="str">
        <x:f>IF('平均值OAV_全库'!I129="","",'平均值OAV_全库'!I129)</x:f>
        <x:v>是</x:v>
      </x:c>
    </x:row>
    <x:row r="36">
      <x:c r="A36" s="5" t="n">
        <x:f>IF('平均值OAV_全库'!A131="","",'平均值OAV_全库'!A131)</x:f>
        <x:v>126</x:v>
      </x:c>
      <x:c r="B36" s="5" t="str">
        <x:f>IF('平均值OAV_全库'!B131="","",'平均值OAV_全库'!B131)</x:f>
        <x:v>己酸</x:v>
      </x:c>
      <x:c r="C36" s="5" t="str">
        <x:f>IF('平均值OAV_全库'!C131="","",'平均值OAV_全库'!C131)</x:f>
        <x:v>142-62-1</x:v>
      </x:c>
      <x:c r="D36" s="5" t="n">
        <x:f>IF('平均值OAV_全库'!D131="","",'平均值OAV_全库'!D131)</x:f>
        <x:v>89</x:v>
      </x:c>
      <x:c r="E36" s="6" t="n">
        <x:f>IF('平均值OAV_全库'!E131="","",'平均值OAV_全库'!E131)</x:f>
        <x:v>2520</x:v>
      </x:c>
      <x:c r="F36" s="6" t="n">
        <x:f>IF('平均值OAV_全库'!F131="","",'平均值OAV_全库'!F131)</x:f>
        <x:v>285035.6582966292</x:v>
      </x:c>
      <x:c r="G36" s="6" t="n">
        <x:f>IF('平均值OAV_全库'!G131="","",'平均值OAV_全库'!G131)</x:f>
        <x:v>113.10938821294809</x:v>
      </x:c>
      <x:c r="H36" s="5" t="str">
        <x:f>IF('平均值OAV_全库'!H131="","",'平均值OAV_全库'!H131)</x:f>
        <x:v>参与浓度设计</x:v>
      </x:c>
      <x:c r="I36" s="5" t="str">
        <x:f>IF('平均值OAV_全库'!I131="","",'平均值OAV_全库'!I131)</x:f>
        <x:v>是</x:v>
      </x:c>
    </x:row>
    <x:row r="37">
      <x:c r="A37" s="5" t="n">
        <x:f>IF('平均值OAV_全库'!A141="","",'平均值OAV_全库'!A141)</x:f>
        <x:v>136</x:v>
      </x:c>
      <x:c r="B37" s="5" t="str">
        <x:f>IF('平均值OAV_全库'!B141="","",'平均值OAV_全库'!B141)</x:f>
        <x:v>异戊酸/3-甲基丁酸</x:v>
      </x:c>
      <x:c r="C37" s="5" t="str">
        <x:f>IF('平均值OAV_全库'!C141="","",'平均值OAV_全库'!C141)</x:f>
        <x:v>503-74-2</x:v>
      </x:c>
      <x:c r="D37" s="5" t="n">
        <x:f>IF('平均值OAV_全库'!D141="","",'平均值OAV_全库'!D141)</x:f>
        <x:v>73</x:v>
      </x:c>
      <x:c r="E37" s="6" t="n">
        <x:f>IF('平均值OAV_全库'!E141="","",'平均值OAV_全库'!E141)</x:f>
        <x:v>1050</x:v>
      </x:c>
      <x:c r="F37" s="6" t="n">
        <x:f>IF('平均值OAV_全库'!F141="","",'平均值OAV_全库'!F141)</x:f>
        <x:v>7411.161910958901</x:v>
      </x:c>
      <x:c r="G37" s="6" t="n">
        <x:f>IF('平均值OAV_全库'!G141="","",'平均值OAV_全库'!G141)</x:f>
        <x:v>7.058249439008478</x:v>
      </x:c>
      <x:c r="H37" s="5" t="str">
        <x:f>IF('平均值OAV_全库'!H141="","",'平均值OAV_全库'!H141)</x:f>
        <x:v>参与浓度设计</x:v>
      </x:c>
      <x:c r="I37" s="5" t="str">
        <x:f>IF('平均值OAV_全库'!I141="","",'平均值OAV_全库'!I141)</x:f>
        <x:v>是</x:v>
      </x:c>
    </x:row>
    <x:row r="38">
      <x:c r="A38" s="5" t="n">
        <x:f>IF('平均值OAV_全库'!A146="","",'平均值OAV_全库'!A146)</x:f>
        <x:v>141</x:v>
      </x:c>
      <x:c r="B38" s="5" t="str">
        <x:f>IF('平均值OAV_全库'!B146="","",'平均值OAV_全库'!B146)</x:f>
        <x:v>戊酸乙酯</x:v>
      </x:c>
      <x:c r="C38" s="5" t="str">
        <x:f>IF('平均值OAV_全库'!C146="","",'平均值OAV_全库'!C146)</x:f>
        <x:v>539-82-2</x:v>
      </x:c>
      <x:c r="D38" s="5" t="n">
        <x:f>IF('平均值OAV_全库'!D146="","",'平均值OAV_全库'!D146)</x:f>
        <x:v>99</x:v>
      </x:c>
      <x:c r="E38" s="6" t="n">
        <x:f>IF('平均值OAV_全库'!E146="","",'平均值OAV_全库'!E146)</x:f>
        <x:v>26.8</x:v>
      </x:c>
      <x:c r="F38" s="6" t="n">
        <x:f>IF('平均值OAV_全库'!F146="","",'平均值OAV_全库'!F146)</x:f>
        <x:v>33384.87269292928</x:v>
      </x:c>
      <x:c r="G38" s="6" t="n">
        <x:f>IF('平均值OAV_全库'!G146="","",'平均值OAV_全库'!G146)</x:f>
        <x:v>1245.7042049600477</x:v>
      </x:c>
      <x:c r="H38" s="5" t="str">
        <x:f>IF('平均值OAV_全库'!H146="","",'平均值OAV_全库'!H146)</x:f>
        <x:v>参与浓度设计</x:v>
      </x:c>
      <x:c r="I38" s="5" t="str">
        <x:f>IF('平均值OAV_全库'!I146="","",'平均值OAV_全库'!I146)</x:f>
        <x:v>是</x:v>
      </x:c>
    </x:row>
    <x:row r="39">
      <x:c r="A39" s="5" t="n">
        <x:f>IF('平均值OAV_全库'!A157="","",'平均值OAV_全库'!A157)</x:f>
        <x:v>152</x:v>
      </x:c>
      <x:c r="B39" s="5" t="str">
        <x:f>IF('平均值OAV_全库'!B157="","",'平均值OAV_全库'!B157)</x:f>
        <x:v>异戊醛</x:v>
      </x:c>
      <x:c r="C39" s="5" t="str">
        <x:f>IF('平均值OAV_全库'!C157="","",'平均值OAV_全库'!C157)</x:f>
        <x:v>590-86-3</x:v>
      </x:c>
      <x:c r="D39" s="5" t="n">
        <x:f>IF('平均值OAV_全库'!D157="","",'平均值OAV_全库'!D157)</x:f>
        <x:v>53</x:v>
      </x:c>
      <x:c r="E39" s="6" t="n">
        <x:f>IF('平均值OAV_全库'!E157="","",'平均值OAV_全库'!E157)</x:f>
        <x:v>16.5</x:v>
      </x:c>
      <x:c r="F39" s="6" t="n">
        <x:f>IF('平均值OAV_全库'!F157="","",'平均值OAV_全库'!F157)</x:f>
        <x:v>18916.951509433962</x:v>
      </x:c>
      <x:c r="G39" s="6" t="n">
        <x:f>IF('平均值OAV_全库'!G157="","",'平均值OAV_全库'!G157)</x:f>
        <x:v>1146.4819096626643</x:v>
      </x:c>
      <x:c r="H39" s="5" t="str">
        <x:f>IF('平均值OAV_全库'!H157="","",'平均值OAV_全库'!H157)</x:f>
        <x:v>参与浓度设计</x:v>
      </x:c>
      <x:c r="I39" s="5" t="str">
        <x:f>IF('平均值OAV_全库'!I157="","",'平均值OAV_全库'!I157)</x:f>
        <x:v>是</x:v>
      </x:c>
    </x:row>
    <x:row r="40">
      <x:c r="A40" s="5" t="n">
        <x:f>IF('平均值OAV_全库'!A170="","",'平均值OAV_全库'!A170)</x:f>
        <x:v>165</x:v>
      </x:c>
      <x:c r="B40" s="5" t="str">
        <x:f>IF('平均值OAV_全库'!B170="","",'平均值OAV_全库'!B170)</x:f>
        <x:v>己酸丁酯</x:v>
      </x:c>
      <x:c r="C40" s="5" t="str">
        <x:f>IF('平均值OAV_全库'!C170="","",'平均值OAV_全库'!C170)</x:f>
        <x:v>626-82-4</x:v>
      </x:c>
      <x:c r="D40" s="5" t="n">
        <x:f>IF('平均值OAV_全库'!D170="","",'平均值OAV_全库'!D170)</x:f>
        <x:v>68</x:v>
      </x:c>
      <x:c r="E40" s="6" t="n">
        <x:f>IF('平均值OAV_全库'!E170="","",'平均值OAV_全库'!E170)</x:f>
        <x:v>677.84</x:v>
      </x:c>
      <x:c r="F40" s="6" t="n">
        <x:f>IF('平均值OAV_全库'!F170="","",'平均值OAV_全库'!F170)</x:f>
        <x:v>9731.50534264706</x:v>
      </x:c>
      <x:c r="G40" s="6" t="n">
        <x:f>IF('平均值OAV_全库'!G170="","",'平均值OAV_全库'!G170)</x:f>
        <x:v>14.35664071557751</x:v>
      </x:c>
      <x:c r="H40" s="5" t="str">
        <x:f>IF('平均值OAV_全库'!H170="","",'平均值OAV_全库'!H170)</x:f>
        <x:v>参与浓度设计</x:v>
      </x:c>
      <x:c r="I40" s="5" t="str">
        <x:f>IF('平均值OAV_全库'!I170="","",'平均值OAV_全库'!I170)</x:f>
        <x:v>是</x:v>
      </x:c>
    </x:row>
    <x:row r="41">
      <x:c r="A41" s="5" t="n">
        <x:f>IF('平均值OAV_全库'!A191="","",'平均值OAV_全库'!A191)</x:f>
        <x:v>186</x:v>
      </x:c>
      <x:c r="B41" s="5" t="str">
        <x:f>IF('平均值OAV_全库'!B191="","",'平均值OAV_全库'!B191)</x:f>
        <x:v>3-苯基丙酸乙酯</x:v>
      </x:c>
      <x:c r="C41" s="5" t="str">
        <x:f>IF('平均值OAV_全库'!C191="","",'平均值OAV_全库'!C191)</x:f>
        <x:v>2021-28-5</x:v>
      </x:c>
      <x:c r="D41" s="5" t="n">
        <x:f>IF('平均值OAV_全库'!D191="","",'平均值OAV_全库'!D191)</x:f>
        <x:v>81</x:v>
      </x:c>
      <x:c r="E41" s="6" t="n">
        <x:f>IF('平均值OAV_全库'!E191="","",'平均值OAV_全库'!E191)</x:f>
        <x:v>125</x:v>
      </x:c>
      <x:c r="F41" s="6" t="n">
        <x:f>IF('平均值OAV_全库'!F191="","",'平均值OAV_全库'!F191)</x:f>
        <x:v>766782.762962963</x:v>
      </x:c>
      <x:c r="G41" s="6" t="n">
        <x:f>IF('平均值OAV_全库'!G191="","",'平均值OAV_全库'!G191)</x:f>
        <x:v>6134.262103703703</x:v>
      </x:c>
      <x:c r="H41" s="5" t="str">
        <x:f>IF('平均值OAV_全库'!H191="","",'平均值OAV_全库'!H191)</x:f>
        <x:v>参与浓度设计</x:v>
      </x:c>
      <x:c r="I41" s="5" t="str">
        <x:f>IF('平均值OAV_全库'!I191="","",'平均值OAV_全库'!I191)</x:f>
        <x:v>是</x:v>
      </x:c>
    </x:row>
    <x:row r="42">
      <x:c r="A42" s="5" t="n">
        <x:f>IF('平均值OAV_全库'!A212="","",'平均值OAV_全库'!A212)</x:f>
        <x:v>207</x:v>
      </x:c>
      <x:c r="B42" s="5" t="str">
        <x:f>IF('平均值OAV_全库'!B212="","",'平均值OAV_全库'!B212)</x:f>
        <x:v>1-辛烯-3-醇</x:v>
      </x:c>
      <x:c r="C42" s="5" t="str">
        <x:f>IF('平均值OAV_全库'!C212="","",'平均值OAV_全库'!C212)</x:f>
        <x:v>3391-86-4</x:v>
      </x:c>
      <x:c r="D42" s="5" t="n">
        <x:f>IF('平均值OAV_全库'!D212="","",'平均值OAV_全库'!D212)</x:f>
        <x:v>19</x:v>
      </x:c>
      <x:c r="E42" s="6" t="n">
        <x:f>IF('平均值OAV_全库'!E212="","",'平均值OAV_全库'!E212)</x:f>
        <x:v>6.12</x:v>
      </x:c>
      <x:c r="F42" s="6" t="n">
        <x:f>IF('平均值OAV_全库'!F212="","",'平均值OAV_全库'!F212)</x:f>
        <x:v>109.01</x:v>
      </x:c>
      <x:c r="G42" s="6" t="n">
        <x:f>IF('平均值OAV_全库'!G212="","",'平均值OAV_全库'!G212)</x:f>
        <x:v>17.812091503267975</x:v>
      </x:c>
      <x:c r="H42" s="5" t="str">
        <x:f>IF('平均值OAV_全库'!H212="","",'平均值OAV_全库'!H212)</x:f>
        <x:v>参与浓度设计</x:v>
      </x:c>
      <x:c r="I42" s="5" t="str">
        <x:f>IF('平均值OAV_全库'!I212="","",'平均值OAV_全库'!I212)</x:f>
        <x:v>是</x:v>
      </x:c>
    </x:row>
    <x:row r="43">
      <x:c r="A43" s="5" t="n">
        <x:f>IF('平均值OAV_全库'!A214="","",'平均值OAV_全库'!A214)</x:f>
        <x:v>209</x:v>
      </x:c>
      <x:c r="B43" s="5" t="str">
        <x:f>IF('平均值OAV_全库'!B214="","",'平均值OAV_全库'!B214)</x:f>
        <x:v>二甲基三硫醚</x:v>
      </x:c>
      <x:c r="C43" s="5" t="str">
        <x:f>IF('平均值OAV_全库'!C214="","",'平均值OAV_全库'!C214)</x:f>
        <x:v>3658-80-8</x:v>
      </x:c>
      <x:c r="D43" s="5" t="n">
        <x:f>IF('平均值OAV_全库'!D214="","",'平均值OAV_全库'!D214)</x:f>
        <x:v>28</x:v>
      </x:c>
      <x:c r="E43" s="6" t="n">
        <x:f>IF('平均值OAV_全库'!E214="","",'平均值OAV_全库'!E214)</x:f>
        <x:v>0.36</x:v>
      </x:c>
      <x:c r="F43" s="6" t="n">
        <x:f>IF('平均值OAV_全库'!F214="","",'平均值OAV_全库'!F214)</x:f>
        <x:v>1141.1705964285713</x:v>
      </x:c>
      <x:c r="G43" s="6" t="n">
        <x:f>IF('平均值OAV_全库'!G214="","",'平均值OAV_全库'!G214)</x:f>
        <x:v>3169.918323412698</x:v>
      </x:c>
      <x:c r="H43" s="5" t="str">
        <x:f>IF('平均值OAV_全库'!H214="","",'平均值OAV_全库'!H214)</x:f>
        <x:v>参与浓度设计</x:v>
      </x:c>
      <x:c r="I43" s="5" t="str">
        <x:f>IF('平均值OAV_全库'!I214="","",'平均值OAV_全库'!I214)</x:f>
        <x:v>是</x:v>
      </x:c>
    </x:row>
    <x:row r="44">
      <x:c r="A44" s="5" t="n">
        <x:f>IF('平均值OAV_全库'!A232="","",'平均值OAV_全库'!A232)</x:f>
        <x:v>227</x:v>
      </x:c>
      <x:c r="B44" s="5" t="str">
        <x:f>IF('平均值OAV_全库'!B232="","",'平均值OAV_全库'!B232)</x:f>
        <x:v>己酸己酯</x:v>
      </x:c>
      <x:c r="C44" s="5" t="str">
        <x:f>IF('平均值OAV_全库'!C232="","",'平均值OAV_全库'!C232)</x:f>
        <x:v>6378-65-0</x:v>
      </x:c>
      <x:c r="D44" s="5" t="n">
        <x:f>IF('平均值OAV_全库'!D232="","",'平均值OAV_全库'!D232)</x:f>
        <x:v>86</x:v>
      </x:c>
      <x:c r="E44" s="6" t="n">
        <x:f>IF('平均值OAV_全库'!E232="","",'平均值OAV_全库'!E232)</x:f>
        <x:v>1891</x:v>
      </x:c>
      <x:c r="F44" s="6" t="n">
        <x:f>IF('平均值OAV_全库'!F232="","",'平均值OAV_全库'!F232)</x:f>
        <x:v>25072.419999999995</x:v>
      </x:c>
      <x:c r="G44" s="6" t="n">
        <x:f>IF('平均值OAV_全库'!G232="","",'平均值OAV_全库'!G232)</x:f>
        <x:v>13.258815441565307</x:v>
      </x:c>
      <x:c r="H44" s="5" t="str">
        <x:f>IF('平均值OAV_全库'!H232="","",'平均值OAV_全库'!H232)</x:f>
        <x:v>参与浓度设计</x:v>
      </x:c>
      <x:c r="I44" s="5" t="str">
        <x:f>IF('平均值OAV_全库'!I232="","",'平均值OAV_全库'!I232)</x:f>
        <x:v>是</x:v>
      </x:c>
    </x:row>
    <x:row r="45">
      <x:c r="A45" s="5" t="n">
        <x:f>IF('平均值OAV_全库'!A237="","",'平均值OAV_全库'!A237)</x:f>
        <x:v>232</x:v>
      </x:c>
      <x:c r="B45" s="5" t="str">
        <x:f>IF('平均值OAV_全库'!B237="","",'平均值OAV_全库'!B237)</x:f>
        <x:v>2-甲基丁酸乙酯</x:v>
      </x:c>
      <x:c r="C45" s="5" t="str">
        <x:f>IF('平均值OAV_全库'!C237="","",'平均值OAV_全库'!C237)</x:f>
        <x:v>7452-79-1</x:v>
      </x:c>
      <x:c r="D45" s="5" t="n">
        <x:f>IF('平均值OAV_全库'!D237="","",'平均值OAV_全库'!D237)</x:f>
        <x:v>35</x:v>
      </x:c>
      <x:c r="E45" s="6" t="n">
        <x:f>IF('平均值OAV_全库'!E237="","",'平均值OAV_全库'!E237)</x:f>
        <x:v>18</x:v>
      </x:c>
      <x:c r="F45" s="6" t="n">
        <x:f>IF('平均值OAV_全库'!F237="","",'平均值OAV_全库'!F237)</x:f>
        <x:v>553.7311428571429</x:v>
      </x:c>
      <x:c r="G45" s="6" t="n">
        <x:f>IF('平均值OAV_全库'!G237="","",'平均值OAV_全库'!G237)</x:f>
        <x:v>30.762841269841275</x:v>
      </x:c>
      <x:c r="H45" s="5" t="str">
        <x:f>IF('平均值OAV_全库'!H237="","",'平均值OAV_全库'!H237)</x:f>
        <x:v>参与浓度设计</x:v>
      </x:c>
      <x:c r="I45" s="5" t="str">
        <x:f>IF('平均值OAV_全库'!I237="","",'平均值OAV_全库'!I237)</x:f>
        <x:v>是</x:v>
      </x:c>
    </x:row>
    <x:row r="46">
      <x:c r="A46" s="5" t="n">
        <x:f>IF('平均值OAV_全库'!A260="","",'平均值OAV_全库'!A260)</x:f>
        <x:v>255</x:v>
      </x:c>
      <x:c r="B46" s="5" t="str">
        <x:f>IF('平均值OAV_全库'!B260="","",'平均值OAV_全库'!B260)</x:f>
        <x:v>β-大马酮</x:v>
      </x:c>
      <x:c r="C46" s="5" t="str">
        <x:f>IF('平均值OAV_全库'!C260="","",'平均值OAV_全库'!C260)</x:f>
        <x:v>23726-93-4</x:v>
      </x:c>
      <x:c r="D46" s="5" t="n">
        <x:f>IF('平均值OAV_全库'!D260="","",'平均值OAV_全库'!D260)</x:f>
        <x:v>26</x:v>
      </x:c>
      <x:c r="E46" s="6" t="n">
        <x:f>IF('平均值OAV_全库'!E260="","",'平均值OAV_全库'!E260)</x:f>
        <x:v>0.12</x:v>
      </x:c>
      <x:c r="F46" s="6" t="n">
        <x:f>IF('平均值OAV_全库'!F260="","",'平均值OAV_全库'!F260)</x:f>
        <x:v>10.73141153846154</x:v>
      </x:c>
      <x:c r="G46" s="6" t="n">
        <x:f>IF('平均值OAV_全库'!G260="","",'平均值OAV_全库'!G260)</x:f>
        <x:v>89.4284294871795</x:v>
      </x:c>
      <x:c r="H46" s="5" t="str">
        <x:f>IF('平均值OAV_全库'!H260="","",'平均值OAV_全库'!H260)</x:f>
        <x:v>参与浓度设计</x:v>
      </x:c>
      <x:c r="I46" s="5" t="str">
        <x:f>IF('平均值OAV_全库'!I260="","",'平均值OAV_全库'!I260)</x:f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bf8406c640e146f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2">
      <x:c r="A2" t="str">
        <x:v>全库373行均值及OAV；平均OAV&lt;1仅作为候选基底标记，不自动加入本轮。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有效浓度数</x:v>
      </x:c>
      <x:c r="E5" s="17" t="str">
        <x:v>周表阈值μg/L</x:v>
      </x:c>
      <x:c r="F5" s="17" t="str">
        <x:v>平均浓度μg/L</x:v>
      </x:c>
      <x:c r="G5" s="17" t="str">
        <x:v>平均浓度OAV</x:v>
      </x:c>
      <x:c r="H5" s="17" t="str">
        <x:v>按平均OAV分配</x:v>
      </x:c>
      <x:c r="I5" s="17" t="str">
        <x:v>是否本轮41种</x:v>
      </x:c>
    </x:row>
    <x:row r="6">
      <x:c r="A6" s="5" t="n">
        <x:f>'均值原始浓度'!A6</x:f>
        <x:v>1</x:v>
      </x:c>
      <x:c r="B6" s="5" t="str">
        <x:f>IF('均值原始浓度'!B6="","",'均值原始浓度'!B6)</x:f>
        <x:v>乳酸a</x:v>
      </x:c>
      <x:c r="C6" s="5" t="str">
        <x:f>IF('均值原始浓度'!C6="","",'均值原始浓度'!C6)</x:f>
        <x:v>50-21-5</x:v>
      </x:c>
      <x:c r="D6" s="5" t="n">
        <x:f>COUNT('均值原始浓度'!E6:DM6)</x:f>
        <x:v>14</x:v>
      </x:c>
      <x:c r="E6" s="6" t="str">
        <x:f>IF('均值原始浓度'!D6&gt;0,'均值原始浓度'!D6,"")</x:f>
      </x:c>
      <x:c r="F6" s="6" t="n">
        <x:f>IF(D6=0,"",AVERAGE('均值原始浓度'!E6:DM6))</x:f>
        <x:v>647.2935714285713</x:v>
      </x:c>
      <x:c r="G6" s="6" t="str">
        <x:f>IF(AND(D6&gt;0,ISNUMBER(E6),E6&gt;0),F6/E6,"")</x:f>
      </x:c>
      <x:c r="H6" s="5" t="str">
        <x:f>IF(NOT(ISNUMBER(G6)),"待定",IF(G6&lt;1,"固定基底候选","参与浓度设计"))</x:f>
        <x:v>待定</x:v>
      </x:c>
      <x:c r="I6" s="5" t="str">
        <x:f>"否"</x:f>
        <x:v>否</x:v>
      </x:c>
    </x:row>
    <x:row r="7">
      <x:c r="A7" s="5" t="n">
        <x:f>'均值原始浓度'!A7</x:f>
        <x:v>2</x:v>
      </x:c>
      <x:c r="B7" s="5" t="str">
        <x:f>IF('均值原始浓度'!B7="","",'均值原始浓度'!B7)</x:f>
        <x:v>丙二醇</x:v>
      </x:c>
      <x:c r="C7" s="5" t="str">
        <x:f>IF('均值原始浓度'!C7="","",'均值原始浓度'!C7)</x:f>
        <x:v>57-55-6</x:v>
      </x:c>
      <x:c r="D7" s="5" t="n">
        <x:f>COUNT('均值原始浓度'!E7:DM7)</x:f>
        <x:v>8</x:v>
      </x:c>
      <x:c r="E7" s="6" t="str">
        <x:f>IF('均值原始浓度'!D7&gt;0,'均值原始浓度'!D7,"")</x:f>
      </x:c>
      <x:c r="F7" s="6" t="n">
        <x:f>IF(D7=0,"",AVERAGE('均值原始浓度'!E7:DM7))</x:f>
        <x:v>3169.9162499999998</x:v>
      </x:c>
      <x:c r="G7" s="6" t="str">
        <x:f>IF(AND(D7&gt;0,ISNUMBER(E7),E7&gt;0),F7/E7,"")</x:f>
      </x:c>
      <x:c r="H7" s="5" t="str">
        <x:f>IF(NOT(ISNUMBER(G7)),"待定",IF(G7&lt;1,"固定基底候选","参与浓度设计"))</x:f>
        <x:v>待定</x:v>
      </x:c>
      <x:c r="I7" s="5" t="str">
        <x:f>"否"</x:f>
        <x:v>否</x:v>
      </x:c>
    </x:row>
    <x:row r="8">
      <x:c r="A8" s="5" t="n">
        <x:f>'均值原始浓度'!A8</x:f>
        <x:v>3</x:v>
      </x:c>
      <x:c r="B8" s="5" t="str">
        <x:f>IF('均值原始浓度'!B8="","",'均值原始浓度'!B8)</x:f>
        <x:v>2-苯乙醇</x:v>
      </x:c>
      <x:c r="C8" s="5" t="str">
        <x:f>IF('均值原始浓度'!C8="","",'均值原始浓度'!C8)</x:f>
        <x:v>60-12-8</x:v>
      </x:c>
      <x:c r="D8" s="5" t="n">
        <x:f>COUNT('均值原始浓度'!E8:DM8)</x:f>
        <x:v>69</x:v>
      </x:c>
      <x:c r="E8" s="6" t="n">
        <x:f>IF('均值原始浓度'!D8&gt;0,'均值原始浓度'!D8,"")</x:f>
        <x:v>28900</x:v>
      </x:c>
      <x:c r="F8" s="6" t="n">
        <x:f>IF(D8=0,"",AVERAGE('均值原始浓度'!E8:DM8))</x:f>
        <x:v>1941.7153985507246</x:v>
      </x:c>
      <x:c r="G8" s="6" t="n">
        <x:f>IF(AND(D8&gt;0,ISNUMBER(E8),E8&gt;0),F8/E8,"")</x:f>
        <x:v>0.06718738403289705</x:v>
      </x:c>
      <x:c r="H8" s="5" t="str">
        <x:f>IF(NOT(ISNUMBER(G8)),"待定",IF(G8&lt;1,"固定基底候选","参与浓度设计"))</x:f>
        <x:v>固定基底候选</x:v>
      </x:c>
      <x:c r="I8" s="5" t="str">
        <x:f>"否"</x:f>
        <x:v>否</x:v>
      </x:c>
    </x:row>
    <x:row r="9">
      <x:c r="A9" s="5" t="n">
        <x:f>'均值原始浓度'!A9</x:f>
        <x:v>4</x:v>
      </x:c>
      <x:c r="B9" s="5" t="str">
        <x:f>IF('均值原始浓度'!B9="","",'均值原始浓度'!B9)</x:f>
      </x:c>
      <x:c r="C9" s="5" t="str">
        <x:f>IF('均值原始浓度'!C9="","",'均值原始浓度'!C9)</x:f>
        <x:v>64-18-6</x:v>
      </x:c>
      <x:c r="D9" s="5" t="n">
        <x:f>COUNT('均值原始浓度'!E9:DM9)</x:f>
        <x:v>3</x:v>
      </x:c>
      <x:c r="E9" s="6" t="str">
        <x:f>IF('均值原始浓度'!D9&gt;0,'均值原始浓度'!D9,"")</x:f>
      </x:c>
      <x:c r="F9" s="6" t="n">
        <x:f>IF(D9=0,"",AVERAGE('均值原始浓度'!E9:DM9))</x:f>
        <x:v>178.71</x:v>
      </x:c>
      <x:c r="G9" s="6" t="str">
        <x:f>IF(AND(D9&gt;0,ISNUMBER(E9),E9&gt;0),F9/E9,"")</x:f>
      </x:c>
      <x:c r="H9" s="5" t="str">
        <x:f>IF(NOT(ISNUMBER(G9)),"待定",IF(G9&lt;1,"固定基底候选","参与浓度设计"))</x:f>
        <x:v>待定</x:v>
      </x:c>
      <x:c r="I9" s="5" t="str">
        <x:f>"否"</x:f>
        <x:v>否</x:v>
      </x:c>
    </x:row>
    <x:row r="10">
      <x:c r="A10" s="5" t="n">
        <x:f>'均值原始浓度'!A10</x:f>
        <x:v>5</x:v>
      </x:c>
      <x:c r="B10" s="5" t="str">
        <x:f>IF('均值原始浓度'!B10="","",'均值原始浓度'!B10)</x:f>
        <x:v>乙酸</x:v>
      </x:c>
      <x:c r="C10" s="5" t="str">
        <x:f>IF('均值原始浓度'!C10="","",'均值原始浓度'!C10)</x:f>
        <x:v>64-19-7</x:v>
      </x:c>
      <x:c r="D10" s="5" t="n">
        <x:f>COUNT('均值原始浓度'!E10:DM10)</x:f>
        <x:v>93</x:v>
      </x:c>
      <x:c r="E10" s="6" t="n">
        <x:f>IF('均值原始浓度'!D10&gt;0,'均值原始浓度'!D10,"")</x:f>
        <x:v>160000</x:v>
      </x:c>
      <x:c r="F10" s="6" t="n">
        <x:f>IF(D10=0,"",AVERAGE('均值原始浓度'!E10:DM10))</x:f>
        <x:v>219125.9626344086</x:v>
      </x:c>
      <x:c r="G10" s="6" t="n">
        <x:f>IF(AND(D10&gt;0,ISNUMBER(E10),E10&gt;0),F10/E10,"")</x:f>
        <x:v>1.3695372664650538</x:v>
      </x:c>
      <x:c r="H10" s="5" t="str">
        <x:f>IF(NOT(ISNUMBER(G10)),"待定",IF(G10&lt;1,"固定基底候选","参与浓度设计"))</x:f>
        <x:v>参与浓度设计</x:v>
      </x:c>
      <x:c r="I10" s="5" t="str">
        <x:f>"是"</x:f>
        <x:v>是</x:v>
      </x:c>
    </x:row>
    <x:row r="11">
      <x:c r="A11" s="5" t="n">
        <x:f>'均值原始浓度'!A11</x:f>
        <x:v>6</x:v>
      </x:c>
      <x:c r="B11" s="5" t="str">
        <x:f>IF('均值原始浓度'!B11="","",'均值原始浓度'!B11)</x:f>
      </x:c>
      <x:c r="C11" s="5" t="str">
        <x:f>IF('均值原始浓度'!C11="","",'均值原始浓度'!C11)</x:f>
        <x:v>66-13-6</x:v>
      </x:c>
      <x:c r="D11" s="5" t="n">
        <x:f>COUNT('均值原始浓度'!E11:DM11)</x:f>
        <x:v>4</x:v>
      </x:c>
      <x:c r="E11" s="6" t="str">
        <x:f>IF('均值原始浓度'!D11&gt;0,'均值原始浓度'!D11,"")</x:f>
      </x:c>
      <x:c r="F11" s="6" t="n">
        <x:f>IF(D11=0,"",AVERAGE('均值原始浓度'!E11:DM11))</x:f>
        <x:v>37.1825</x:v>
      </x:c>
      <x:c r="G11" s="6" t="str">
        <x:f>IF(AND(D11&gt;0,ISNUMBER(E11),E11&gt;0),F11/E11,"")</x:f>
      </x:c>
      <x:c r="H11" s="5" t="str">
        <x:f>IF(NOT(ISNUMBER(G11)),"待定",IF(G11&lt;1,"固定基底候选","参与浓度设计"))</x:f>
        <x:v>待定</x:v>
      </x:c>
      <x:c r="I11" s="5" t="str">
        <x:f>"否"</x:f>
        <x:v>否</x:v>
      </x:c>
    </x:row>
    <x:row r="12">
      <x:c r="A12" s="5" t="n">
        <x:f>'均值原始浓度'!A12</x:f>
        <x:v>7</x:v>
      </x:c>
      <x:c r="B12" s="5" t="str">
        <x:f>IF('均值原始浓度'!B12="","",'均值原始浓度'!B12)</x:f>
        <x:v>己醛</x:v>
      </x:c>
      <x:c r="C12" s="5" t="str">
        <x:f>IF('均值原始浓度'!C12="","",'均值原始浓度'!C12)</x:f>
        <x:v>66-25-1</x:v>
      </x:c>
      <x:c r="D12" s="5" t="n">
        <x:f>COUNT('均值原始浓度'!E12:DM12)</x:f>
        <x:v>29</x:v>
      </x:c>
      <x:c r="E12" s="6" t="n">
        <x:f>IF('均值原始浓度'!D12&gt;0,'均值原始浓度'!D12,"")</x:f>
        <x:v>25.5</x:v>
      </x:c>
      <x:c r="F12" s="6" t="n">
        <x:f>IF(D12=0,"",AVERAGE('均值原始浓度'!E12:DM12))</x:f>
        <x:v>929.3797689655172</x:v>
      </x:c>
      <x:c r="G12" s="6" t="n">
        <x:f>IF(AND(D12&gt;0,ISNUMBER(E12),E12&gt;0),F12/E12,"")</x:f>
        <x:v>36.44626544962813</x:v>
      </x:c>
      <x:c r="H12" s="5" t="str">
        <x:f>IF(NOT(ISNUMBER(G12)),"待定",IF(G12&lt;1,"固定基底候选","参与浓度设计"))</x:f>
        <x:v>参与浓度设计</x:v>
      </x:c>
      <x:c r="I12" s="5" t="str">
        <x:f>"是"</x:f>
        <x:v>是</x:v>
      </x:c>
    </x:row>
    <x:row r="13">
      <x:c r="A13" s="5" t="n">
        <x:f>'均值原始浓度'!A13</x:f>
        <x:v>8</x:v>
      </x:c>
      <x:c r="B13" s="5" t="str">
        <x:f>IF('均值原始浓度'!B13="","",'均值原始浓度'!B13)</x:f>
        <x:v>甲醇</x:v>
      </x:c>
      <x:c r="C13" s="5" t="str">
        <x:f>IF('均值原始浓度'!C13="","",'均值原始浓度'!C13)</x:f>
        <x:v>67-56-1</x:v>
      </x:c>
      <x:c r="D13" s="5" t="n">
        <x:f>COUNT('均值原始浓度'!E13:DM13)</x:f>
        <x:v>15</x:v>
      </x:c>
      <x:c r="E13" s="6" t="str">
        <x:f>IF('均值原始浓度'!D13&gt;0,'均值原始浓度'!D13,"")</x:f>
      </x:c>
      <x:c r="F13" s="6" t="n">
        <x:f>IF(D13=0,"",AVERAGE('均值原始浓度'!E13:DM13))</x:f>
        <x:v>126172.66666666667</x:v>
      </x:c>
      <x:c r="G13" s="6" t="str">
        <x:f>IF(AND(D13&gt;0,ISNUMBER(E13),E13&gt;0),F13/E13,"")</x:f>
      </x:c>
      <x:c r="H13" s="5" t="str">
        <x:f>IF(NOT(ISNUMBER(G13)),"待定",IF(G13&lt;1,"固定基底候选","参与浓度设计"))</x:f>
        <x:v>待定</x:v>
      </x:c>
      <x:c r="I13" s="5" t="str">
        <x:f>"否"</x:f>
        <x:v>否</x:v>
      </x:c>
    </x:row>
    <x:row r="14">
      <x:c r="A14" s="5" t="n">
        <x:f>'均值原始浓度'!A14</x:f>
        <x:v>9</x:v>
      </x:c>
      <x:c r="B14" s="5" t="str">
        <x:f>IF('均值原始浓度'!B14="","",'均值原始浓度'!B14)</x:f>
        <x:v>丙酮</x:v>
      </x:c>
      <x:c r="C14" s="5" t="str">
        <x:f>IF('均值原始浓度'!C14="","",'均值原始浓度'!C14)</x:f>
        <x:v>67-64-1</x:v>
      </x:c>
      <x:c r="D14" s="5" t="n">
        <x:f>COUNT('均值原始浓度'!E14:DM14)</x:f>
        <x:v>10</x:v>
      </x:c>
      <x:c r="E14" s="6" t="str">
        <x:f>IF('均值原始浓度'!D14&gt;0,'均值原始浓度'!D14,"")</x:f>
      </x:c>
      <x:c r="F14" s="6" t="n">
        <x:f>IF(D14=0,"",AVERAGE('均值原始浓度'!E14:DM14))</x:f>
        <x:v>9900.732</x:v>
      </x:c>
      <x:c r="G14" s="6" t="str">
        <x:f>IF(AND(D14&gt;0,ISNUMBER(E14),E14&gt;0),F14/E14,"")</x:f>
      </x:c>
      <x:c r="H14" s="5" t="str">
        <x:f>IF(NOT(ISNUMBER(G14)),"待定",IF(G14&lt;1,"固定基底候选","参与浓度设计"))</x:f>
        <x:v>待定</x:v>
      </x:c>
      <x:c r="I14" s="5" t="str">
        <x:f>"否"</x:f>
        <x:v>否</x:v>
      </x:c>
    </x:row>
    <x:row r="15">
      <x:c r="A15" s="5" t="n">
        <x:f>'均值原始浓度'!A15</x:f>
        <x:v>10</x:v>
      </x:c>
      <x:c r="B15" s="5" t="str">
        <x:f>IF('均值原始浓度'!B15="","",'均值原始浓度'!B15)</x:f>
        <x:v>1-丙醇</x:v>
      </x:c>
      <x:c r="C15" s="5" t="str">
        <x:f>IF('均值原始浓度'!C15="","",'均值原始浓度'!C15)</x:f>
        <x:v>71-23-8</x:v>
      </x:c>
      <x:c r="D15" s="5" t="n">
        <x:f>COUNT('均值原始浓度'!E15:DM15)</x:f>
        <x:v>58</x:v>
      </x:c>
      <x:c r="E15" s="6" t="n">
        <x:f>IF('均值原始浓度'!D15&gt;0,'均值原始浓度'!D15,"")</x:f>
        <x:v>109000</x:v>
      </x:c>
      <x:c r="F15" s="6" t="n">
        <x:f>IF(D15=0,"",AVERAGE('均值原始浓度'!E15:DM15))</x:f>
        <x:v>92796.92267241378</x:v>
      </x:c>
      <x:c r="G15" s="6" t="n">
        <x:f>IF(AND(D15&gt;0,ISNUMBER(E15),E15&gt;0),F15/E15,"")</x:f>
        <x:v>0.8513479144258146</x:v>
      </x:c>
      <x:c r="H15" s="5" t="str">
        <x:f>IF(NOT(ISNUMBER(G15)),"待定",IF(G15&lt;1,"固定基底候选","参与浓度设计"))</x:f>
        <x:v>固定基底候选</x:v>
      </x:c>
      <x:c r="I15" s="5" t="str">
        <x:f>"是"</x:f>
        <x:v>是</x:v>
      </x:c>
    </x:row>
    <x:row r="16">
      <x:c r="A16" s="5" t="n">
        <x:f>'均值原始浓度'!A16</x:f>
        <x:v>11</x:v>
      </x:c>
      <x:c r="B16" s="5" t="str">
        <x:f>IF('均值原始浓度'!B16="","",'均值原始浓度'!B16)</x:f>
        <x:v>1-丁醇</x:v>
      </x:c>
      <x:c r="C16" s="5" t="str">
        <x:f>IF('均值原始浓度'!C16="","",'均值原始浓度'!C16)</x:f>
        <x:v>71-36-3</x:v>
      </x:c>
      <x:c r="D16" s="5" t="n">
        <x:f>COUNT('均值原始浓度'!E16:DM16)</x:f>
        <x:v>92</x:v>
      </x:c>
      <x:c r="E16" s="6" t="n">
        <x:f>IF('均值原始浓度'!D16&gt;0,'均值原始浓度'!D16,"")</x:f>
        <x:v>2733</x:v>
      </x:c>
      <x:c r="F16" s="6" t="n">
        <x:f>IF(D16=0,"",AVERAGE('均值原始浓度'!E16:DM16))</x:f>
        <x:v>96959.68971086957</x:v>
      </x:c>
      <x:c r="G16" s="6" t="n">
        <x:f>IF(AND(D16&gt;0,ISNUMBER(E16),E16&gt;0),F16/E16,"")</x:f>
        <x:v>35.477383721503685</x:v>
      </x:c>
      <x:c r="H16" s="5" t="str">
        <x:f>IF(NOT(ISNUMBER(G16)),"待定",IF(G16&lt;1,"固定基底候选","参与浓度设计"))</x:f>
        <x:v>参与浓度设计</x:v>
      </x:c>
      <x:c r="I16" s="5" t="str">
        <x:f>"是"</x:f>
        <x:v>是</x:v>
      </x:c>
    </x:row>
    <x:row r="17">
      <x:c r="A17" s="5" t="n">
        <x:f>'均值原始浓度'!A17</x:f>
        <x:v>12</x:v>
      </x:c>
      <x:c r="B17" s="5" t="str">
        <x:f>IF('均值原始浓度'!B17="","",'均值原始浓度'!B17)</x:f>
        <x:v>正戊醇</x:v>
      </x:c>
      <x:c r="C17" s="5" t="str">
        <x:f>IF('均值原始浓度'!C17="","",'均值原始浓度'!C17)</x:f>
        <x:v>71-41-0</x:v>
      </x:c>
      <x:c r="D17" s="5" t="n">
        <x:f>COUNT('均值原始浓度'!E17:DM17)</x:f>
        <x:v>60</x:v>
      </x:c>
      <x:c r="E17" s="6" t="n">
        <x:f>IF('均值原始浓度'!D17&gt;0,'均值原始浓度'!D17,"")</x:f>
        <x:v>37400</x:v>
      </x:c>
      <x:c r="F17" s="6" t="n">
        <x:f>IF(D17=0,"",AVERAGE('均值原始浓度'!E17:DM17))</x:f>
        <x:v>4868.285499999999</x:v>
      </x:c>
      <x:c r="G17" s="6" t="n">
        <x:f>IF(AND(D17&gt;0,ISNUMBER(E17),E17&gt;0),F17/E17,"")</x:f>
        <x:v>0.13016806149732618</x:v>
      </x:c>
      <x:c r="H17" s="5" t="str">
        <x:f>IF(NOT(ISNUMBER(G17)),"待定",IF(G17&lt;1,"固定基底候选","参与浓度设计"))</x:f>
        <x:v>固定基底候选</x:v>
      </x:c>
      <x:c r="I17" s="5" t="str">
        <x:f>"否"</x:f>
        <x:v>否</x:v>
      </x:c>
    </x:row>
    <x:row r="18">
      <x:c r="A18" s="5" t="n">
        <x:f>'均值原始浓度'!A18</x:f>
        <x:v>13</x:v>
      </x:c>
      <x:c r="B18" s="5" t="str">
        <x:f>IF('均值原始浓度'!B18="","",'均值原始浓度'!B18)</x:f>
        <x:v>甲基硫醇</x:v>
      </x:c>
      <x:c r="C18" s="5" t="str">
        <x:f>IF('均值原始浓度'!C18="","",'均值原始浓度'!C18)</x:f>
        <x:v>74-93-1</x:v>
      </x:c>
      <x:c r="D18" s="5" t="n">
        <x:f>COUNT('均值原始浓度'!E18:DM18)</x:f>
        <x:v>2</x:v>
      </x:c>
      <x:c r="E18" s="6" t="str">
        <x:f>IF('均值原始浓度'!D18&gt;0,'均值原始浓度'!D18,"")</x:f>
      </x:c>
      <x:c r="F18" s="6" t="n">
        <x:f>IF(D18=0,"",AVERAGE('均值原始浓度'!E18:DM18))</x:f>
        <x:v>3.5</x:v>
      </x:c>
      <x:c r="G18" s="6" t="str">
        <x:f>IF(AND(D18&gt;0,ISNUMBER(E18),E18&gt;0),F18/E18,"")</x:f>
      </x:c>
      <x:c r="H18" s="5" t="str">
        <x:f>IF(NOT(ISNUMBER(G18)),"待定",IF(G18&lt;1,"固定基底候选","参与浓度设计"))</x:f>
        <x:v>待定</x:v>
      </x:c>
      <x:c r="I18" s="5" t="str">
        <x:f>"否"</x:f>
        <x:v>否</x:v>
      </x:c>
    </x:row>
    <x:row r="19">
      <x:c r="A19" s="5" t="n">
        <x:f>'均值原始浓度'!A19</x:f>
        <x:v>14</x:v>
      </x:c>
      <x:c r="B19" s="5" t="str">
        <x:f>IF('均值原始浓度'!B19="","",'均值原始浓度'!B19)</x:f>
        <x:v>乙醛</x:v>
      </x:c>
      <x:c r="C19" s="5" t="str">
        <x:f>IF('均值原始浓度'!C19="","",'均值原始浓度'!C19)</x:f>
        <x:v>75-07-0</x:v>
      </x:c>
      <x:c r="D19" s="5" t="n">
        <x:f>COUNT('均值原始浓度'!E19:DM19)</x:f>
        <x:v>45</x:v>
      </x:c>
      <x:c r="E19" s="6" t="n">
        <x:f>IF('均值原始浓度'!D19&gt;0,'均值原始浓度'!D19,"")</x:f>
        <x:v>14393.85</x:v>
      </x:c>
      <x:c r="F19" s="6" t="n">
        <x:f>IF(D19=0,"",AVERAGE('均值原始浓度'!E19:DM19))</x:f>
        <x:v>59086.378295555565</x:v>
      </x:c>
      <x:c r="G19" s="6" t="n">
        <x:f>IF(AND(D19&gt;0,ISNUMBER(E19),E19&gt;0),F19/E19,"")</x:f>
        <x:v>4.104973880897436</x:v>
      </x:c>
      <x:c r="H19" s="5" t="str">
        <x:f>IF(NOT(ISNUMBER(G19)),"待定",IF(G19&lt;1,"固定基底候选","参与浓度设计"))</x:f>
        <x:v>参与浓度设计</x:v>
      </x:c>
      <x:c r="I19" s="5" t="str">
        <x:f>"否"</x:f>
        <x:v>否</x:v>
      </x:c>
    </x:row>
    <x:row r="20">
      <x:c r="A20" s="5" t="n">
        <x:f>'均值原始浓度'!A20</x:f>
        <x:v>15</x:v>
      </x:c>
      <x:c r="B20" s="5" t="str">
        <x:f>IF('均值原始浓度'!B20="","",'均值原始浓度'!B20)</x:f>
      </x:c>
      <x:c r="C20" s="5" t="str">
        <x:f>IF('均值原始浓度'!C20="","",'均值原始浓度'!C20)</x:f>
        <x:v>77-53-2</x:v>
      </x:c>
      <x:c r="D20" s="5" t="n">
        <x:f>COUNT('均值原始浓度'!E20:DM20)</x:f>
        <x:v>3</x:v>
      </x:c>
      <x:c r="E20" s="6" t="str">
        <x:f>IF('均值原始浓度'!D20&gt;0,'均值原始浓度'!D20,"")</x:f>
      </x:c>
      <x:c r="F20" s="6" t="n">
        <x:f>IF(D20=0,"",AVERAGE('均值原始浓度'!E20:DM20))</x:f>
        <x:v>1.0599999999999998</x:v>
      </x:c>
      <x:c r="G20" s="6" t="str">
        <x:f>IF(AND(D20&gt;0,ISNUMBER(E20),E20&gt;0),F20/E20,"")</x:f>
      </x:c>
      <x:c r="H20" s="5" t="str">
        <x:f>IF(NOT(ISNUMBER(G20)),"待定",IF(G20&lt;1,"固定基底候选","参与浓度设计"))</x:f>
        <x:v>待定</x:v>
      </x:c>
      <x:c r="I20" s="5" t="str">
        <x:f>"否"</x:f>
        <x:v>否</x:v>
      </x:c>
    </x:row>
    <x:row r="21">
      <x:c r="A21" s="5" t="n">
        <x:f>'均值原始浓度'!A21</x:f>
        <x:v>16</x:v>
      </x:c>
      <x:c r="B21" s="5" t="str">
        <x:f>IF('均值原始浓度'!B21="","",'均值原始浓度'!B21)</x:f>
      </x:c>
      <x:c r="C21" s="5" t="str">
        <x:f>IF('均值原始浓度'!C21="","",'均值原始浓度'!C21)</x:f>
        <x:v>78-70-6</x:v>
      </x:c>
      <x:c r="D21" s="5" t="n">
        <x:f>COUNT('均值原始浓度'!E21:DM21)</x:f>
        <x:v>1</x:v>
      </x:c>
      <x:c r="E21" s="6" t="str">
        <x:f>IF('均值原始浓度'!D21&gt;0,'均值原始浓度'!D21,"")</x:f>
      </x:c>
      <x:c r="F21" s="6" t="n">
        <x:f>IF(D21=0,"",AVERAGE('均值原始浓度'!E21:DM21))</x:f>
        <x:v>0.61</x:v>
      </x:c>
      <x:c r="G21" s="6" t="str">
        <x:f>IF(AND(D21&gt;0,ISNUMBER(E21),E21&gt;0),F21/E21,"")</x:f>
      </x:c>
      <x:c r="H21" s="5" t="str">
        <x:f>IF(NOT(ISNUMBER(G21)),"待定",IF(G21&lt;1,"固定基底候选","参与浓度设计"))</x:f>
        <x:v>待定</x:v>
      </x:c>
      <x:c r="I21" s="5" t="str">
        <x:f>"否"</x:f>
        <x:v>否</x:v>
      </x:c>
    </x:row>
    <x:row r="22">
      <x:c r="A22" s="5" t="n">
        <x:f>'均值原始浓度'!A22</x:f>
        <x:v>17</x:v>
      </x:c>
      <x:c r="B22" s="5" t="str">
        <x:f>IF('均值原始浓度'!B22="","",'均值原始浓度'!B22)</x:f>
        <x:v>异丁醇</x:v>
      </x:c>
      <x:c r="C22" s="5" t="str">
        <x:f>IF('均值原始浓度'!C22="","",'均值原始浓度'!C22)</x:f>
        <x:v>78-83-1</x:v>
      </x:c>
      <x:c r="D22" s="5" t="n">
        <x:f>COUNT('均值原始浓度'!E22:DM22)</x:f>
        <x:v>91</x:v>
      </x:c>
      <x:c r="E22" s="6" t="n">
        <x:f>IF('均值原始浓度'!D22&gt;0,'均值原始浓度'!D22,"")</x:f>
        <x:v>28300</x:v>
      </x:c>
      <x:c r="F22" s="6" t="n">
        <x:f>IF(D22=0,"",AVERAGE('均值原始浓度'!E22:DM22))</x:f>
        <x:v>30556.797802197798</x:v>
      </x:c>
      <x:c r="G22" s="6" t="n">
        <x:f>IF(AND(D22&gt;0,ISNUMBER(E22),E22&gt;0),F22/E22,"")</x:f>
        <x:v>1.079745505378014</x:v>
      </x:c>
      <x:c r="H22" s="5" t="str">
        <x:f>IF(NOT(ISNUMBER(G22)),"待定",IF(G22&lt;1,"固定基底候选","参与浓度设计"))</x:f>
        <x:v>参与浓度设计</x:v>
      </x:c>
      <x:c r="I22" s="5" t="str">
        <x:f>"是"</x:f>
        <x:v>是</x:v>
      </x:c>
    </x:row>
    <x:row r="23">
      <x:c r="A23" s="5" t="n">
        <x:f>'均值原始浓度'!A23</x:f>
        <x:v>18</x:v>
      </x:c>
      <x:c r="B23" s="5" t="str">
        <x:f>IF('均值原始浓度'!B23="","",'均值原始浓度'!B23)</x:f>
        <x:v>2-甲基丙醛</x:v>
      </x:c>
      <x:c r="C23" s="5" t="str">
        <x:f>IF('均值原始浓度'!C23="","",'均值原始浓度'!C23)</x:f>
        <x:v>78-84-2</x:v>
      </x:c>
      <x:c r="D23" s="5" t="n">
        <x:f>COUNT('均值原始浓度'!E23:DM23)</x:f>
        <x:v>34</x:v>
      </x:c>
      <x:c r="E23" s="6" t="n">
        <x:f>IF('均值原始浓度'!D23&gt;0,'均值原始浓度'!D23,"")</x:f>
        <x:v>5.9</x:v>
      </x:c>
      <x:c r="F23" s="6" t="n">
        <x:f>IF(D23=0,"",AVERAGE('均值原始浓度'!E23:DM23))</x:f>
        <x:v>4698.341470588235</x:v>
      </x:c>
      <x:c r="G23" s="6" t="n">
        <x:f>IF(AND(D23&gt;0,ISNUMBER(E23),E23&gt;0),F23/E23,"")</x:f>
        <x:v>796.3290628115652</x:v>
      </x:c>
      <x:c r="H23" s="5" t="str">
        <x:f>IF(NOT(ISNUMBER(G23)),"待定",IF(G23&lt;1,"固定基底候选","参与浓度设计"))</x:f>
        <x:v>参与浓度设计</x:v>
      </x:c>
      <x:c r="I23" s="5" t="str">
        <x:f>"是"</x:f>
        <x:v>是</x:v>
      </x:c>
    </x:row>
    <x:row r="24">
      <x:c r="A24" s="5" t="n">
        <x:f>'均值原始浓度'!A24</x:f>
        <x:v>19</x:v>
      </x:c>
      <x:c r="B24" s="5" t="str">
        <x:f>IF('均值原始浓度'!B24="","",'均值原始浓度'!B24)</x:f>
        <x:v>2-丁醇a</x:v>
      </x:c>
      <x:c r="C24" s="5" t="str">
        <x:f>IF('均值原始浓度'!C24="","",'均值原始浓度'!C24)</x:f>
        <x:v>78-92-2</x:v>
      </x:c>
      <x:c r="D24" s="5" t="n">
        <x:f>COUNT('均值原始浓度'!E24:DM24)</x:f>
        <x:v>61</x:v>
      </x:c>
      <x:c r="E24" s="6" t="n">
        <x:f>IF('均值原始浓度'!D24&gt;0,'均值原始浓度'!D24,"")</x:f>
        <x:v>50000</x:v>
      </x:c>
      <x:c r="F24" s="6" t="n">
        <x:f>IF(D24=0,"",AVERAGE('均值原始浓度'!E24:DM24))</x:f>
        <x:v>13516.622786885244</x:v>
      </x:c>
      <x:c r="G24" s="6" t="n">
        <x:f>IF(AND(D24&gt;0,ISNUMBER(E24),E24&gt;0),F24/E24,"")</x:f>
        <x:v>0.27033245573770487</x:v>
      </x:c>
      <x:c r="H24" s="5" t="str">
        <x:f>IF(NOT(ISNUMBER(G24)),"待定",IF(G24&lt;1,"固定基底候选","参与浓度设计"))</x:f>
        <x:v>固定基底候选</x:v>
      </x:c>
      <x:c r="I24" s="5" t="str">
        <x:f>"否"</x:f>
        <x:v>否</x:v>
      </x:c>
    </x:row>
    <x:row r="25">
      <x:c r="A25" s="5" t="n">
        <x:f>'均值原始浓度'!A25</x:f>
        <x:v>20</x:v>
      </x:c>
      <x:c r="B25" s="5" t="str">
        <x:f>IF('均值原始浓度'!B25="","",'均值原始浓度'!B25)</x:f>
        <x:v>丙酸</x:v>
      </x:c>
      <x:c r="C25" s="5" t="str">
        <x:f>IF('均值原始浓度'!C25="","",'均值原始浓度'!C25)</x:f>
        <x:v>79-09-4</x:v>
      </x:c>
      <x:c r="D25" s="5" t="n">
        <x:f>COUNT('均值原始浓度'!E25:DM25)</x:f>
        <x:v>62</x:v>
      </x:c>
      <x:c r="E25" s="6" t="n">
        <x:f>IF('均值原始浓度'!D25&gt;0,'均值原始浓度'!D25,"")</x:f>
        <x:v>18200</x:v>
      </x:c>
      <x:c r="F25" s="6" t="n">
        <x:f>IF(D25=0,"",AVERAGE('均值原始浓度'!E25:DM25))</x:f>
        <x:v>4666.88185483871</x:v>
      </x:c>
      <x:c r="G25" s="6" t="n">
        <x:f>IF(AND(D25&gt;0,ISNUMBER(E25),E25&gt;0),F25/E25,"")</x:f>
        <x:v>0.25642207993619287</x:v>
      </x:c>
      <x:c r="H25" s="5" t="str">
        <x:f>IF(NOT(ISNUMBER(G25)),"待定",IF(G25&lt;1,"固定基底候选","参与浓度设计"))</x:f>
        <x:v>固定基底候选</x:v>
      </x:c>
      <x:c r="I25" s="5" t="str">
        <x:f>"否"</x:f>
        <x:v>否</x:v>
      </x:c>
    </x:row>
    <x:row r="26">
      <x:c r="A26" s="5" t="n">
        <x:f>'均值原始浓度'!A26</x:f>
        <x:v>21</x:v>
      </x:c>
      <x:c r="B26" s="5" t="str">
        <x:f>IF('均值原始浓度'!B26="","",'均值原始浓度'!B26)</x:f>
        <x:v>异丁酸</x:v>
      </x:c>
      <x:c r="C26" s="5" t="str">
        <x:f>IF('均值原始浓度'!C26="","",'均值原始浓度'!C26)</x:f>
        <x:v>79-31-2</x:v>
      </x:c>
      <x:c r="D26" s="5" t="n">
        <x:f>COUNT('均值原始浓度'!E26:DM26)</x:f>
        <x:v>68</x:v>
      </x:c>
      <x:c r="E26" s="6" t="n">
        <x:f>IF('均值原始浓度'!D26&gt;0,'均值原始浓度'!D26,"")</x:f>
        <x:v>1580</x:v>
      </x:c>
      <x:c r="F26" s="6" t="n">
        <x:f>IF(D26=0,"",AVERAGE('均值原始浓度'!E26:DM26))</x:f>
        <x:v>1735.828970588235</x:v>
      </x:c>
      <x:c r="G26" s="6" t="n">
        <x:f>IF(AND(D26&gt;0,ISNUMBER(E26),E26&gt;0),F26/E26,"")</x:f>
        <x:v>1.0986259307520474</x:v>
      </x:c>
      <x:c r="H26" s="5" t="str">
        <x:f>IF(NOT(ISNUMBER(G26)),"待定",IF(G26&lt;1,"固定基底候选","参与浓度设计"))</x:f>
        <x:v>参与浓度设计</x:v>
      </x:c>
      <x:c r="I26" s="5" t="str">
        <x:f>"是"</x:f>
        <x:v>是</x:v>
      </x:c>
    </x:row>
    <x:row r="27">
      <x:c r="A27" s="5" t="n">
        <x:f>'均值原始浓度'!A27</x:f>
        <x:v>22</x:v>
      </x:c>
      <x:c r="B27" s="5" t="str">
        <x:f>IF('均值原始浓度'!B27="","",'均值原始浓度'!B27)</x:f>
      </x:c>
      <x:c r="C27" s="5" t="str">
        <x:f>IF('均值原始浓度'!C27="","",'均值原始浓度'!C27)</x:f>
        <x:v>83-34-1</x:v>
      </x:c>
      <x:c r="D27" s="5" t="n">
        <x:f>COUNT('均值原始浓度'!E27:DM27)</x:f>
        <x:v>1</x:v>
      </x:c>
      <x:c r="E27" s="6" t="str">
        <x:f>IF('均值原始浓度'!D27&gt;0,'均值原始浓度'!D27,"")</x:f>
      </x:c>
      <x:c r="F27" s="6" t="n">
        <x:f>IF(D27=0,"",AVERAGE('均值原始浓度'!E27:DM27))</x:f>
        <x:v>46</x:v>
      </x:c>
      <x:c r="G27" s="6" t="str">
        <x:f>IF(AND(D27&gt;0,ISNUMBER(E27),E27&gt;0),F27/E27,"")</x:f>
      </x:c>
      <x:c r="H27" s="5" t="str">
        <x:f>IF(NOT(ISNUMBER(G27)),"待定",IF(G27&lt;1,"固定基底候选","参与浓度设计"))</x:f>
        <x:v>待定</x:v>
      </x:c>
      <x:c r="I27" s="5" t="str">
        <x:f>"否"</x:f>
        <x:v>否</x:v>
      </x:c>
    </x:row>
    <x:row r="28">
      <x:c r="A28" s="5" t="n">
        <x:f>'均值原始浓度'!A28</x:f>
        <x:v>23</x:v>
      </x:c>
      <x:c r="B28" s="5" t="str">
        <x:f>IF('均值原始浓度'!B28="","",'均值原始浓度'!B28)</x:f>
      </x:c>
      <x:c r="C28" s="5" t="str">
        <x:f>IF('均值原始浓度'!C28="","",'均值原始浓度'!C28)</x:f>
        <x:v>84-74-2</x:v>
      </x:c>
      <x:c r="D28" s="5" t="n">
        <x:f>COUNT('均值原始浓度'!E28:DM28)</x:f>
        <x:v>6</x:v>
      </x:c>
      <x:c r="E28" s="6" t="str">
        <x:f>IF('均值原始浓度'!D28&gt;0,'均值原始浓度'!D28,"")</x:f>
      </x:c>
      <x:c r="F28" s="6" t="n">
        <x:f>IF(D28=0,"",AVERAGE('均值原始浓度'!E28:DM28))</x:f>
        <x:v>1051.8333333333333</x:v>
      </x:c>
      <x:c r="G28" s="6" t="str">
        <x:f>IF(AND(D28&gt;0,ISNUMBER(E28),E28&gt;0),F28/E28,"")</x:f>
      </x:c>
      <x:c r="H28" s="5" t="str">
        <x:f>IF(NOT(ISNUMBER(G28)),"待定",IF(G28&lt;1,"固定基底候选","参与浓度设计"))</x:f>
        <x:v>待定</x:v>
      </x:c>
      <x:c r="I28" s="5" t="str">
        <x:f>"否"</x:f>
        <x:v>否</x:v>
      </x:c>
    </x:row>
    <x:row r="29">
      <x:c r="A29" s="5" t="n">
        <x:f>'均值原始浓度'!A29</x:f>
        <x:v>24</x:v>
      </x:c>
      <x:c r="B29" s="5" t="str">
        <x:f>IF('均值原始浓度'!B29="","",'均值原始浓度'!B29)</x:f>
        <x:v>百里酚</x:v>
      </x:c>
      <x:c r="C29" s="5" t="str">
        <x:f>IF('均值原始浓度'!C29="","",'均值原始浓度'!C29)</x:f>
        <x:v>89-83-8</x:v>
      </x:c>
      <x:c r="D29" s="5" t="n">
        <x:f>COUNT('均值原始浓度'!E29:DM29)</x:f>
        <x:v>1</x:v>
      </x:c>
      <x:c r="E29" s="6" t="str">
        <x:f>IF('均值原始浓度'!D29&gt;0,'均值原始浓度'!D29,"")</x:f>
      </x:c>
      <x:c r="F29" s="6" t="n">
        <x:f>IF(D29=0,"",AVERAGE('均值原始浓度'!E29:DM29))</x:f>
        <x:v>1</x:v>
      </x:c>
      <x:c r="G29" s="6" t="str">
        <x:f>IF(AND(D29&gt;0,ISNUMBER(E29),E29&gt;0),F29/E29,"")</x:f>
      </x:c>
      <x:c r="H29" s="5" t="str">
        <x:f>IF(NOT(ISNUMBER(G29)),"待定",IF(G29&lt;1,"固定基底候选","参与浓度设计"))</x:f>
        <x:v>待定</x:v>
      </x:c>
      <x:c r="I29" s="5" t="str">
        <x:f>"否"</x:f>
        <x:v>否</x:v>
      </x:c>
    </x:row>
    <x:row r="30">
      <x:c r="A30" s="5" t="n">
        <x:f>'均值原始浓度'!A30</x:f>
        <x:v>25</x:v>
      </x:c>
      <x:c r="B30" s="5" t="str">
        <x:f>IF('均值原始浓度'!B30="","",'均值原始浓度'!B30)</x:f>
        <x:v>愈创木酚</x:v>
      </x:c>
      <x:c r="C30" s="5" t="str">
        <x:f>IF('均值原始浓度'!C30="","",'均值原始浓度'!C30)</x:f>
        <x:v>90-05-1</x:v>
      </x:c>
      <x:c r="D30" s="5" t="n">
        <x:f>COUNT('均值原始浓度'!E30:DM30)</x:f>
        <x:v>9</x:v>
      </x:c>
      <x:c r="E30" s="6" t="n">
        <x:f>IF('均值原始浓度'!D30&gt;0,'均值原始浓度'!D30,"")</x:f>
        <x:v>9.2</x:v>
      </x:c>
      <x:c r="F30" s="6" t="n">
        <x:f>IF(D30=0,"",AVERAGE('均值原始浓度'!E30:DM30))</x:f>
        <x:v>23711.11111111111</x:v>
      </x:c>
      <x:c r="G30" s="6" t="n">
        <x:f>IF(AND(D30&gt;0,ISNUMBER(E30),E30&gt;0),F30/E30,"")</x:f>
        <x:v>2577.294685990338</x:v>
      </x:c>
      <x:c r="H30" s="5" t="str">
        <x:f>IF(NOT(ISNUMBER(G30)),"待定",IF(G30&lt;1,"固定基底候选","参与浓度设计"))</x:f>
        <x:v>参与浓度设计</x:v>
      </x:c>
      <x:c r="I30" s="5" t="str">
        <x:f>"否"</x:f>
        <x:v>否</x:v>
      </x:c>
    </x:row>
    <x:row r="31">
      <x:c r="A31" s="5" t="n">
        <x:f>'均值原始浓度'!A31</x:f>
        <x:v>26</x:v>
      </x:c>
      <x:c r="B31" s="5" t="str">
        <x:f>IF('均值原始浓度'!B31="","",'均值原始浓度'!B31)</x:f>
        <x:v>2-甲氧基-4-甲基苯酚（2-甲氧基对甲酚）</x:v>
      </x:c>
      <x:c r="C31" s="5" t="str">
        <x:f>IF('均值原始浓度'!C31="","",'均值原始浓度'!C31)</x:f>
        <x:v>93-51-6</x:v>
      </x:c>
      <x:c r="D31" s="5" t="n">
        <x:f>COUNT('均值原始浓度'!E31:DM31)</x:f>
        <x:v>34</x:v>
      </x:c>
      <x:c r="E31" s="6" t="str">
        <x:f>IF('均值原始浓度'!D31&gt;0,'均值原始浓度'!D31,"")</x:f>
      </x:c>
      <x:c r="F31" s="6" t="n">
        <x:f>IF(D31=0,"",AVERAGE('均值原始浓度'!E31:DM31))</x:f>
        <x:v>418.61000000000007</x:v>
      </x:c>
      <x:c r="G31" s="6" t="str">
        <x:f>IF(AND(D31&gt;0,ISNUMBER(E31),E31&gt;0),F31/E31,"")</x:f>
      </x:c>
      <x:c r="H31" s="5" t="str">
        <x:f>IF(NOT(ISNUMBER(G31)),"待定",IF(G31&lt;1,"固定基底候选","参与浓度设计"))</x:f>
        <x:v>待定</x:v>
      </x:c>
      <x:c r="I31" s="5" t="str">
        <x:f>"否"</x:f>
        <x:v>否</x:v>
      </x:c>
    </x:row>
    <x:row r="32">
      <x:c r="A32" s="5" t="n">
        <x:f>'均值原始浓度'!A32</x:f>
        <x:v>27</x:v>
      </x:c>
      <x:c r="B32" s="5" t="str">
        <x:f>IF('均值原始浓度'!B32="","",'均值原始浓度'!B32)</x:f>
        <x:v>苯甲酸甲酯</x:v>
      </x:c>
      <x:c r="C32" s="5" t="str">
        <x:f>IF('均值原始浓度'!C32="","",'均值原始浓度'!C32)</x:f>
        <x:v>93-58-3</x:v>
      </x:c>
      <x:c r="D32" s="5" t="n">
        <x:f>COUNT('均值原始浓度'!E32:DM32)</x:f>
        <x:v>13</x:v>
      </x:c>
      <x:c r="E32" s="6" t="str">
        <x:f>IF('均值原始浓度'!D32&gt;0,'均值原始浓度'!D32,"")</x:f>
      </x:c>
      <x:c r="F32" s="6" t="n">
        <x:f>IF(D32=0,"",AVERAGE('均值原始浓度'!E32:DM32))</x:f>
        <x:v>115.71461538461539</x:v>
      </x:c>
      <x:c r="G32" s="6" t="str">
        <x:f>IF(AND(D32&gt;0,ISNUMBER(E32),E32&gt;0),F32/E32,"")</x:f>
      </x:c>
      <x:c r="H32" s="5" t="str">
        <x:f>IF(NOT(ISNUMBER(G32)),"待定",IF(G32&lt;1,"固定基底候选","参与浓度设计"))</x:f>
        <x:v>待定</x:v>
      </x:c>
      <x:c r="I32" s="5" t="str">
        <x:f>"否"</x:f>
        <x:v>否</x:v>
      </x:c>
    </x:row>
    <x:row r="33">
      <x:c r="A33" s="5" t="n">
        <x:f>'均值原始浓度'!A33</x:f>
        <x:v>28</x:v>
      </x:c>
      <x:c r="B33" s="5" t="str">
        <x:f>IF('均值原始浓度'!B33="","",'均值原始浓度'!B33)</x:f>
        <x:v>苯甲酸乙酯</x:v>
      </x:c>
      <x:c r="C33" s="5" t="str">
        <x:f>IF('均值原始浓度'!C33="","",'均值原始浓度'!C33)</x:f>
        <x:v>93-89-0</x:v>
      </x:c>
      <x:c r="D33" s="5" t="n">
        <x:f>COUNT('均值原始浓度'!E33:DM33)</x:f>
        <x:v>36</x:v>
      </x:c>
      <x:c r="E33" s="6" t="n">
        <x:f>IF('均值原始浓度'!D33&gt;0,'均值原始浓度'!D33,"")</x:f>
        <x:v>407</x:v>
      </x:c>
      <x:c r="F33" s="6" t="n">
        <x:f>IF(D33=0,"",AVERAGE('均值原始浓度'!E33:DM33))</x:f>
        <x:v>487.05916666666667</x:v>
      </x:c>
      <x:c r="G33" s="6" t="n">
        <x:f>IF(AND(D33&gt;0,ISNUMBER(E33),E33&gt;0),F33/E33,"")</x:f>
        <x:v>1.1967055692055693</x:v>
      </x:c>
      <x:c r="H33" s="5" t="str">
        <x:f>IF(NOT(ISNUMBER(G33)),"待定",IF(G33&lt;1,"固定基底候选","参与浓度设计"))</x:f>
        <x:v>参与浓度设计</x:v>
      </x:c>
      <x:c r="I33" s="5" t="str">
        <x:f>"否"</x:f>
        <x:v>否</x:v>
      </x:c>
    </x:row>
    <x:row r="34">
      <x:c r="A34" s="5" t="n">
        <x:f>'均值原始浓度'!A34</x:f>
        <x:v>29</x:v>
      </x:c>
      <x:c r="B34" s="5" t="str">
        <x:f>IF('均值原始浓度'!B34="","",'均值原始浓度'!B34)</x:f>
        <x:v>2-甲基丁醛</x:v>
      </x:c>
      <x:c r="C34" s="5" t="str">
        <x:f>IF('均值原始浓度'!C34="","",'均值原始浓度'!C34)</x:f>
        <x:v>96-17-3</x:v>
      </x:c>
      <x:c r="D34" s="5" t="n">
        <x:f>COUNT('均值原始浓度'!E34:DM34)</x:f>
        <x:v>5</x:v>
      </x:c>
      <x:c r="E34" s="6" t="str">
        <x:f>IF('均值原始浓度'!D34&gt;0,'均值原始浓度'!D34,"")</x:f>
      </x:c>
      <x:c r="F34" s="6" t="n">
        <x:f>IF(D34=0,"",AVERAGE('均值原始浓度'!E34:DM34))</x:f>
        <x:v>92.924</x:v>
      </x:c>
      <x:c r="G34" s="6" t="str">
        <x:f>IF(AND(D34&gt;0,ISNUMBER(E34),E34&gt;0),F34/E34,"")</x:f>
      </x:c>
      <x:c r="H34" s="5" t="str">
        <x:f>IF(NOT(ISNUMBER(G34)),"待定",IF(G34&lt;1,"固定基底候选","参与浓度设计"))</x:f>
        <x:v>待定</x:v>
      </x:c>
      <x:c r="I34" s="5" t="str">
        <x:f>"否"</x:f>
        <x:v>否</x:v>
      </x:c>
    </x:row>
    <x:row r="35">
      <x:c r="A35" s="5" t="n">
        <x:f>'均值原始浓度'!A35</x:f>
        <x:v>30</x:v>
      </x:c>
      <x:c r="B35" s="5" t="str">
        <x:f>IF('均值原始浓度'!B35="","",'均值原始浓度'!B35)</x:f>
      </x:c>
      <x:c r="C35" s="5" t="str">
        <x:f>IF('均值原始浓度'!C35="","",'均值原始浓度'!C35)</x:f>
        <x:v>96-41-3</x:v>
      </x:c>
      <x:c r="D35" s="5" t="n">
        <x:f>COUNT('均值原始浓度'!E35:DM35)</x:f>
        <x:v>8</x:v>
      </x:c>
      <x:c r="E35" s="6" t="str">
        <x:f>IF('均值原始浓度'!D35&gt;0,'均值原始浓度'!D35,"")</x:f>
      </x:c>
      <x:c r="F35" s="6" t="n">
        <x:f>IF(D35=0,"",AVERAGE('均值原始浓度'!E35:DM35))</x:f>
        <x:v>11290</x:v>
      </x:c>
      <x:c r="G35" s="6" t="str">
        <x:f>IF(AND(D35&gt;0,ISNUMBER(E35),E35&gt;0),F35/E35,"")</x:f>
      </x:c>
      <x:c r="H35" s="5" t="str">
        <x:f>IF(NOT(ISNUMBER(G35)),"待定",IF(G35&lt;1,"固定基底候选","参与浓度设计"))</x:f>
        <x:v>待定</x:v>
      </x:c>
      <x:c r="I35" s="5" t="str">
        <x:f>"否"</x:f>
        <x:v>否</x:v>
      </x:c>
    </x:row>
    <x:row r="36">
      <x:c r="A36" s="5" t="n">
        <x:f>'均值原始浓度'!A36</x:f>
        <x:v>31</x:v>
      </x:c>
      <x:c r="B36" s="5" t="str">
        <x:f>IF('均值原始浓度'!B36="","",'均值原始浓度'!B36)</x:f>
        <x:v>γ-丁内酯</x:v>
      </x:c>
      <x:c r="C36" s="5" t="str">
        <x:f>IF('均值原始浓度'!C36="","",'均值原始浓度'!C36)</x:f>
        <x:v>96-48-0</x:v>
      </x:c>
      <x:c r="D36" s="5" t="n">
        <x:f>COUNT('均值原始浓度'!E36:DM36)</x:f>
        <x:v>13</x:v>
      </x:c>
      <x:c r="E36" s="6" t="str">
        <x:f>IF('均值原始浓度'!D36&gt;0,'均值原始浓度'!D36,"")</x:f>
      </x:c>
      <x:c r="F36" s="6" t="n">
        <x:f>IF(D36=0,"",AVERAGE('均值原始浓度'!E36:DM36))</x:f>
        <x:v>7.253846153846154</x:v>
      </x:c>
      <x:c r="G36" s="6" t="str">
        <x:f>IF(AND(D36&gt;0,ISNUMBER(E36),E36&gt;0),F36/E36,"")</x:f>
      </x:c>
      <x:c r="H36" s="5" t="str">
        <x:f>IF(NOT(ISNUMBER(G36)),"待定",IF(G36&lt;1,"固定基底候选","参与浓度设计"))</x:f>
        <x:v>待定</x:v>
      </x:c>
      <x:c r="I36" s="5" t="str">
        <x:f>"否"</x:f>
        <x:v>否</x:v>
      </x:c>
    </x:row>
    <x:row r="37">
      <x:c r="A37" s="5" t="n">
        <x:f>'均值原始浓度'!A37</x:f>
        <x:v>32</x:v>
      </x:c>
      <x:c r="B37" s="5" t="str">
        <x:f>IF('均值原始浓度'!B37="","",'均值原始浓度'!B37)</x:f>
        <x:v>异丁酸乙酯</x:v>
      </x:c>
      <x:c r="C37" s="5" t="str">
        <x:f>IF('均值原始浓度'!C37="","",'均值原始浓度'!C37)</x:f>
        <x:v>97-62-1</x:v>
      </x:c>
      <x:c r="D37" s="5" t="n">
        <x:f>COUNT('均值原始浓度'!E37:DM37)</x:f>
        <x:v>44</x:v>
      </x:c>
      <x:c r="E37" s="6" t="n">
        <x:f>IF('均值原始浓度'!D37&gt;0,'均值原始浓度'!D37,"")</x:f>
        <x:v>57.5</x:v>
      </x:c>
      <x:c r="F37" s="6" t="n">
        <x:f>IF(D37=0,"",AVERAGE('均值原始浓度'!E37:DM37))</x:f>
        <x:v>6751.238940909092</x:v>
      </x:c>
      <x:c r="G37" s="6" t="n">
        <x:f>IF(AND(D37&gt;0,ISNUMBER(E37),E37&gt;0),F37/E37,"")</x:f>
        <x:v>117.41285114624507</x:v>
      </x:c>
      <x:c r="H37" s="5" t="str">
        <x:f>IF(NOT(ISNUMBER(G37)),"待定",IF(G37&lt;1,"固定基底候选","参与浓度设计"))</x:f>
        <x:v>参与浓度设计</x:v>
      </x:c>
      <x:c r="I37" s="5" t="str">
        <x:f>"是"</x:f>
        <x:v>是</x:v>
      </x:c>
    </x:row>
    <x:row r="38">
      <x:c r="A38" s="5" t="n">
        <x:f>'均值原始浓度'!A38</x:f>
        <x:v>33</x:v>
      </x:c>
      <x:c r="B38" s="5" t="str">
        <x:f>IF('均值原始浓度'!B38="","",'均值原始浓度'!B38)</x:f>
        <x:v>乳酸乙酯</x:v>
      </x:c>
      <x:c r="C38" s="5" t="str">
        <x:f>IF('均值原始浓度'!C38="","",'均值原始浓度'!C38)</x:f>
        <x:v>97-64-3</x:v>
      </x:c>
      <x:c r="D38" s="5" t="n">
        <x:f>COUNT('均值原始浓度'!E38:DM38)</x:f>
        <x:v>71</x:v>
      </x:c>
      <x:c r="E38" s="6" t="n">
        <x:f>IF('均值原始浓度'!D38&gt;0,'均值原始浓度'!D38,"")</x:f>
        <x:v>100000</x:v>
      </x:c>
      <x:c r="F38" s="6" t="n">
        <x:f>IF(D38=0,"",AVERAGE('均值原始浓度'!E38:DM38))</x:f>
        <x:v>102475.45227746479</x:v>
      </x:c>
      <x:c r="G38" s="6" t="n">
        <x:f>IF(AND(D38&gt;0,ISNUMBER(E38),E38&gt;0),F38/E38,"")</x:f>
        <x:v>1.024754522774648</x:v>
      </x:c>
      <x:c r="H38" s="5" t="str">
        <x:f>IF(NOT(ISNUMBER(G38)),"待定",IF(G38&lt;1,"固定基底候选","参与浓度设计"))</x:f>
        <x:v>参与浓度设计</x:v>
      </x:c>
      <x:c r="I38" s="5" t="str">
        <x:f>"否"</x:f>
        <x:v>否</x:v>
      </x:c>
    </x:row>
    <x:row r="39">
      <x:c r="A39" s="5" t="n">
        <x:f>'均值原始浓度'!A39</x:f>
        <x:v>34</x:v>
      </x:c>
      <x:c r="B39" s="5" t="str">
        <x:f>IF('均值原始浓度'!B39="","",'均值原始浓度'!B39)</x:f>
        <x:v>糠醇</x:v>
      </x:c>
      <x:c r="C39" s="5" t="str">
        <x:f>IF('均值原始浓度'!C39="","",'均值原始浓度'!C39)</x:f>
        <x:v>98-00-0</x:v>
      </x:c>
      <x:c r="D39" s="5" t="n">
        <x:f>COUNT('均值原始浓度'!E39:DM39)</x:f>
        <x:v>43</x:v>
      </x:c>
      <x:c r="E39" s="6" t="n">
        <x:f>IF('均值原始浓度'!D39&gt;0,'均值原始浓度'!D39,"")</x:f>
        <x:v>15000</x:v>
      </x:c>
      <x:c r="F39" s="6" t="n">
        <x:f>IF(D39=0,"",AVERAGE('均值原始浓度'!E39:DM39))</x:f>
        <x:v>31170.38116279069</x:v>
      </x:c>
      <x:c r="G39" s="6" t="n">
        <x:f>IF(AND(D39&gt;0,ISNUMBER(E39),E39&gt;0),F39/E39,"")</x:f>
        <x:v>2.0780254108527125</x:v>
      </x:c>
      <x:c r="H39" s="5" t="str">
        <x:f>IF(NOT(ISNUMBER(G39)),"待定",IF(G39&lt;1,"固定基底候选","参与浓度设计"))</x:f>
        <x:v>参与浓度设计</x:v>
      </x:c>
      <x:c r="I39" s="5" t="str">
        <x:f>"否"</x:f>
        <x:v>否</x:v>
      </x:c>
    </x:row>
    <x:row r="40">
      <x:c r="A40" s="5" t="n">
        <x:f>'均值原始浓度'!A40</x:f>
        <x:v>35</x:v>
      </x:c>
      <x:c r="B40" s="5" t="str">
        <x:f>IF('均值原始浓度'!B40="","",'均值原始浓度'!B40)</x:f>
        <x:v>糠醛</x:v>
      </x:c>
      <x:c r="C40" s="5" t="str">
        <x:f>IF('均值原始浓度'!C40="","",'均值原始浓度'!C40)</x:f>
        <x:v>98-01-1</x:v>
      </x:c>
      <x:c r="D40" s="5" t="n">
        <x:f>COUNT('均值原始浓度'!E40:DM40)</x:f>
        <x:v>71</x:v>
      </x:c>
      <x:c r="E40" s="6" t="n">
        <x:f>IF('均值原始浓度'!D40&gt;0,'均值原始浓度'!D40,"")</x:f>
        <x:v>44000</x:v>
      </x:c>
      <x:c r="F40" s="6" t="n">
        <x:f>IF(D40=0,"",AVERAGE('均值原始浓度'!E40:DM40))</x:f>
        <x:v>23224.134577464785</x:v>
      </x:c>
      <x:c r="G40" s="6" t="n">
        <x:f>IF(AND(D40&gt;0,ISNUMBER(E40),E40&gt;0),F40/E40,"")</x:f>
        <x:v>0.5278212403969269</x:v>
      </x:c>
      <x:c r="H40" s="5" t="str">
        <x:f>IF(NOT(ISNUMBER(G40)),"待定",IF(G40&lt;1,"固定基底候选","参与浓度设计"))</x:f>
        <x:v>固定基底候选</x:v>
      </x:c>
      <x:c r="I40" s="5" t="str">
        <x:f>"否"</x:f>
        <x:v>否</x:v>
      </x:c>
    </x:row>
    <x:row r="41">
      <x:c r="A41" s="5" t="n">
        <x:f>'均值原始浓度'!A41</x:f>
        <x:v>36</x:v>
      </x:c>
      <x:c r="B41" s="5" t="str">
        <x:f>IF('均值原始浓度'!B41="","",'均值原始浓度'!B41)</x:f>
      </x:c>
      <x:c r="C41" s="5" t="str">
        <x:f>IF('均值原始浓度'!C41="","",'均值原始浓度'!C41)</x:f>
        <x:v>98-03-3</x:v>
      </x:c>
      <x:c r="D41" s="5" t="n">
        <x:f>COUNT('均值原始浓度'!E41:DM41)</x:f>
        <x:v>2</x:v>
      </x:c>
      <x:c r="E41" s="6" t="str">
        <x:f>IF('均值原始浓度'!D41&gt;0,'均值原始浓度'!D41,"")</x:f>
      </x:c>
      <x:c r="F41" s="6" t="n">
        <x:f>IF(D41=0,"",AVERAGE('均值原始浓度'!E41:DM41))</x:f>
        <x:v>16.5</x:v>
      </x:c>
      <x:c r="G41" s="6" t="str">
        <x:f>IF(AND(D41&gt;0,ISNUMBER(E41),E41&gt;0),F41/E41,"")</x:f>
      </x:c>
      <x:c r="H41" s="5" t="str">
        <x:f>IF(NOT(ISNUMBER(G41)),"待定",IF(G41&lt;1,"固定基底候选","参与浓度设计"))</x:f>
        <x:v>待定</x:v>
      </x:c>
      <x:c r="I41" s="5" t="str">
        <x:f>"否"</x:f>
        <x:v>否</x:v>
      </x:c>
    </x:row>
    <x:row r="42">
      <x:c r="A42" s="5" t="n">
        <x:f>'均值原始浓度'!A42</x:f>
        <x:v>37</x:v>
      </x:c>
      <x:c r="B42" s="5" t="str">
        <x:f>IF('均值原始浓度'!B42="","",'均值原始浓度'!B42)</x:f>
        <x:v>苯乙酮</x:v>
      </x:c>
      <x:c r="C42" s="5" t="str">
        <x:f>IF('均值原始浓度'!C42="","",'均值原始浓度'!C42)</x:f>
        <x:v>98-86-2</x:v>
      </x:c>
      <x:c r="D42" s="5" t="n">
        <x:f>COUNT('均值原始浓度'!E42:DM42)</x:f>
        <x:v>31</x:v>
      </x:c>
      <x:c r="E42" s="6" t="n">
        <x:f>IF('均值原始浓度'!D42&gt;0,'均值原始浓度'!D42,"")</x:f>
        <x:v>256</x:v>
      </x:c>
      <x:c r="F42" s="6" t="n">
        <x:f>IF(D42=0,"",AVERAGE('均值原始浓度'!E42:DM42))</x:f>
        <x:v>76.79967741935484</x:v>
      </x:c>
      <x:c r="G42" s="6" t="n">
        <x:f>IF(AND(D42&gt;0,ISNUMBER(E42),E42&gt;0),F42/E42,"")</x:f>
        <x:v>0.29999873991935483</x:v>
      </x:c>
      <x:c r="H42" s="5" t="str">
        <x:f>IF(NOT(ISNUMBER(G42)),"待定",IF(G42&lt;1,"固定基底候选","参与浓度设计"))</x:f>
        <x:v>固定基底候选</x:v>
      </x:c>
      <x:c r="I42" s="5" t="str">
        <x:f>"否"</x:f>
        <x:v>否</x:v>
      </x:c>
    </x:row>
    <x:row r="43">
      <x:c r="A43" s="5" t="n">
        <x:f>'均值原始浓度'!A43</x:f>
        <x:v>38</x:v>
      </x:c>
      <x:c r="B43" s="5" t="str">
        <x:f>IF('均值原始浓度'!B43="","",'均值原始浓度'!B43)</x:f>
        <x:v>苯甲醇</x:v>
      </x:c>
      <x:c r="C43" s="5" t="str">
        <x:f>IF('均值原始浓度'!C43="","",'均值原始浓度'!C43)</x:f>
        <x:v>100-51-6</x:v>
      </x:c>
      <x:c r="D43" s="5" t="n">
        <x:f>COUNT('均值原始浓度'!E43:DM43)</x:f>
        <x:v>17</x:v>
      </x:c>
      <x:c r="E43" s="6" t="n">
        <x:f>IF('均值原始浓度'!D43&gt;0,'均值原始浓度'!D43,"")</x:f>
        <x:v>40927</x:v>
      </x:c>
      <x:c r="F43" s="6" t="n">
        <x:f>IF(D43=0,"",AVERAGE('均值原始浓度'!E43:DM43))</x:f>
        <x:v>43.46</x:v>
      </x:c>
      <x:c r="G43" s="6" t="n">
        <x:f>IF(AND(D43&gt;0,ISNUMBER(E43),E43&gt;0),F43/E43,"")</x:f>
        <x:v>0.0010618906834119286</x:v>
      </x:c>
      <x:c r="H43" s="5" t="str">
        <x:f>IF(NOT(ISNUMBER(G43)),"待定",IF(G43&lt;1,"固定基底候选","参与浓度设计"))</x:f>
        <x:v>固定基底候选</x:v>
      </x:c>
      <x:c r="I43" s="5" t="str">
        <x:f>"否"</x:f>
        <x:v>否</x:v>
      </x:c>
    </x:row>
    <x:row r="44">
      <x:c r="A44" s="5" t="n">
        <x:f>'均值原始浓度'!A44</x:f>
        <x:v>39</x:v>
      </x:c>
      <x:c r="B44" s="5" t="str">
        <x:f>IF('均值原始浓度'!B44="","",'均值原始浓度'!B44)</x:f>
        <x:v>苯甲醛</x:v>
      </x:c>
      <x:c r="C44" s="5" t="str">
        <x:f>IF('均值原始浓度'!C44="","",'均值原始浓度'!C44)</x:f>
        <x:v>100-52-7</x:v>
      </x:c>
      <x:c r="D44" s="5" t="n">
        <x:f>COUNT('均值原始浓度'!E44:DM44)</x:f>
        <x:v>44</x:v>
      </x:c>
      <x:c r="E44" s="6" t="n">
        <x:f>IF('均值原始浓度'!D44&gt;0,'均值原始浓度'!D44,"")</x:f>
        <x:v>4203</x:v>
      </x:c>
      <x:c r="F44" s="6" t="n">
        <x:f>IF(D44=0,"",AVERAGE('均值原始浓度'!E44:DM44))</x:f>
        <x:v>2547.5472727272727</x:v>
      </x:c>
      <x:c r="G44" s="6" t="n">
        <x:f>IF(AND(D44&gt;0,ISNUMBER(E44),E44&gt;0),F44/E44,"")</x:f>
        <x:v>0.6061259273678974</x:v>
      </x:c>
      <x:c r="H44" s="5" t="str">
        <x:f>IF(NOT(ISNUMBER(G44)),"待定",IF(G44&lt;1,"固定基底候选","参与浓度设计"))</x:f>
        <x:v>固定基底候选</x:v>
      </x:c>
      <x:c r="I44" s="5" t="str">
        <x:f>"否"</x:f>
        <x:v>否</x:v>
      </x:c>
    </x:row>
    <x:row r="45">
      <x:c r="A45" s="5" t="n">
        <x:f>'均值原始浓度'!A45</x:f>
        <x:v>40</x:v>
      </x:c>
      <x:c r="B45" s="5" t="str">
        <x:f>IF('均值原始浓度'!B45="","",'均值原始浓度'!B45)</x:f>
        <x:v>苯乙酸乙酯</x:v>
      </x:c>
      <x:c r="C45" s="5" t="str">
        <x:f>IF('均值原始浓度'!C45="","",'均值原始浓度'!C45)</x:f>
        <x:v>101-97-3</x:v>
      </x:c>
      <x:c r="D45" s="5" t="n">
        <x:f>COUNT('均值原始浓度'!E45:DM45)</x:f>
        <x:v>85</x:v>
      </x:c>
      <x:c r="E45" s="6" t="n">
        <x:f>IF('均值原始浓度'!D45&gt;0,'均值原始浓度'!D45,"")</x:f>
        <x:v>407</x:v>
      </x:c>
      <x:c r="F45" s="6" t="n">
        <x:f>IF(D45=0,"",AVERAGE('均值原始浓度'!E45:DM45))</x:f>
        <x:v>3169.6081176470575</x:v>
      </x:c>
      <x:c r="G45" s="6" t="n">
        <x:f>IF(AND(D45&gt;0,ISNUMBER(E45),E45&gt;0),F45/E45,"")</x:f>
        <x:v>7.787734932793753</x:v>
      </x:c>
      <x:c r="H45" s="5" t="str">
        <x:f>IF(NOT(ISNUMBER(G45)),"待定",IF(G45&lt;1,"固定基底候选","参与浓度设计"))</x:f>
        <x:v>参与浓度设计</x:v>
      </x:c>
      <x:c r="I45" s="5" t="str">
        <x:f>"是"</x:f>
        <x:v>是</x:v>
      </x:c>
    </x:row>
    <x:row r="46">
      <x:c r="A46" s="5" t="n">
        <x:f>'均值原始浓度'!A46</x:f>
        <x:v>41</x:v>
      </x:c>
      <x:c r="B46" s="5" t="str">
        <x:f>IF('均值原始浓度'!B46="","",'均值原始浓度'!B46)</x:f>
        <x:v>乙酸苯乙酯</x:v>
      </x:c>
      <x:c r="C46" s="5" t="str">
        <x:f>IF('均值原始浓度'!C46="","",'均值原始浓度'!C46)</x:f>
        <x:v>103-45-7</x:v>
      </x:c>
      <x:c r="D46" s="5" t="n">
        <x:f>COUNT('均值原始浓度'!E46:DM46)</x:f>
        <x:v>59</x:v>
      </x:c>
      <x:c r="E46" s="6" t="n">
        <x:f>IF('均值原始浓度'!D46&gt;0,'均值原始浓度'!D46,"")</x:f>
        <x:v>909</x:v>
      </x:c>
      <x:c r="F46" s="6" t="n">
        <x:f>IF(D46=0,"",AVERAGE('均值原始浓度'!E46:DM46))</x:f>
        <x:v>7385.813644067793</x:v>
      </x:c>
      <x:c r="G46" s="6" t="n">
        <x:f>IF(AND(D46&gt;0,ISNUMBER(E46),E46&gt;0),F46/E46,"")</x:f>
        <x:v>8.125207529227495</x:v>
      </x:c>
      <x:c r="H46" s="5" t="str">
        <x:f>IF(NOT(ISNUMBER(G46)),"待定",IF(G46&lt;1,"固定基底候选","参与浓度设计"))</x:f>
        <x:v>参与浓度设计</x:v>
      </x:c>
      <x:c r="I46" s="5" t="str">
        <x:f>"是"</x:f>
        <x:v>是</x:v>
      </x:c>
    </x:row>
    <x:row r="47">
      <x:c r="A47" s="5" t="n">
        <x:f>'均值原始浓度'!A47</x:f>
        <x:v>42</x:v>
      </x:c>
      <x:c r="B47" s="5" t="str">
        <x:f>IF('均值原始浓度'!B47="","",'均值原始浓度'!B47)</x:f>
        <x:v>异丁酸苯乙酯</x:v>
      </x:c>
      <x:c r="C47" s="5" t="str">
        <x:f>IF('均值原始浓度'!C47="","",'均值原始浓度'!C47)</x:f>
        <x:v>103-48-0</x:v>
      </x:c>
      <x:c r="D47" s="5" t="n">
        <x:f>COUNT('均值原始浓度'!E47:DM47)</x:f>
        <x:v>1</x:v>
      </x:c>
      <x:c r="E47" s="6" t="str">
        <x:f>IF('均值原始浓度'!D47&gt;0,'均值原始浓度'!D47,"")</x:f>
      </x:c>
      <x:c r="F47" s="6" t="n">
        <x:f>IF(D47=0,"",AVERAGE('均值原始浓度'!E47:DM47))</x:f>
        <x:v>152</x:v>
      </x:c>
      <x:c r="G47" s="6" t="str">
        <x:f>IF(AND(D47&gt;0,ISNUMBER(E47),E47&gt;0),F47/E47,"")</x:f>
      </x:c>
      <x:c r="H47" s="5" t="str">
        <x:f>IF(NOT(ISNUMBER(G47)),"待定",IF(G47&lt;1,"固定基底候选","参与浓度设计"))</x:f>
        <x:v>待定</x:v>
      </x:c>
      <x:c r="I47" s="5" t="str">
        <x:f>"否"</x:f>
        <x:v>否</x:v>
      </x:c>
    </x:row>
    <x:row r="48">
      <x:c r="A48" s="5" t="n">
        <x:f>'均值原始浓度'!A48</x:f>
        <x:v>43</x:v>
      </x:c>
      <x:c r="B48" s="5" t="str">
        <x:f>IF('均值原始浓度'!B48="","",'均值原始浓度'!B48)</x:f>
        <x:v>丁酸-2-苯乙酯</x:v>
      </x:c>
      <x:c r="C48" s="5" t="str">
        <x:f>IF('均值原始浓度'!C48="","",'均值原始浓度'!C48)</x:f>
        <x:v>103-52-6</x:v>
      </x:c>
      <x:c r="D48" s="5" t="n">
        <x:f>COUNT('均值原始浓度'!E48:DM48)</x:f>
        <x:v>22</x:v>
      </x:c>
      <x:c r="E48" s="6" t="str">
        <x:f>IF('均值原始浓度'!D48&gt;0,'均值原始浓度'!D48,"")</x:f>
      </x:c>
      <x:c r="F48" s="6" t="n">
        <x:f>IF(D48=0,"",AVERAGE('均值原始浓度'!E48:DM48))</x:f>
        <x:v>152.06977272727275</x:v>
      </x:c>
      <x:c r="G48" s="6" t="str">
        <x:f>IF(AND(D48&gt;0,ISNUMBER(E48),E48&gt;0),F48/E48,"")</x:f>
      </x:c>
      <x:c r="H48" s="5" t="str">
        <x:f>IF(NOT(ISNUMBER(G48)),"待定",IF(G48&lt;1,"固定基底候选","参与浓度设计"))</x:f>
        <x:v>待定</x:v>
      </x:c>
      <x:c r="I48" s="5" t="str">
        <x:f>"否"</x:f>
        <x:v>否</x:v>
      </x:c>
    </x:row>
    <x:row r="49">
      <x:c r="A49" s="5" t="n">
        <x:f>'均值原始浓度'!A49</x:f>
        <x:v>44</x:v>
      </x:c>
      <x:c r="B49" s="5" t="str">
        <x:f>IF('均值原始浓度'!B49="","",'均值原始浓度'!B49)</x:f>
      </x:c>
      <x:c r="C49" s="5" t="str">
        <x:f>IF('均值原始浓度'!C49="","",'均值原始浓度'!C49)</x:f>
        <x:v>103-82-2</x:v>
      </x:c>
      <x:c r="D49" s="5" t="n">
        <x:f>COUNT('均值原始浓度'!E49:DM49)</x:f>
        <x:v>2</x:v>
      </x:c>
      <x:c r="E49" s="6" t="str">
        <x:f>IF('均值原始浓度'!D49&gt;0,'均值原始浓度'!D49,"")</x:f>
      </x:c>
      <x:c r="F49" s="6" t="n">
        <x:f>IF(D49=0,"",AVERAGE('均值原始浓度'!E49:DM49))</x:f>
        <x:v>442</x:v>
      </x:c>
      <x:c r="G49" s="6" t="str">
        <x:f>IF(AND(D49&gt;0,ISNUMBER(E49),E49&gt;0),F49/E49,"")</x:f>
      </x:c>
      <x:c r="H49" s="5" t="str">
        <x:f>IF(NOT(ISNUMBER(G49)),"待定",IF(G49&lt;1,"固定基底候选","参与浓度设计"))</x:f>
        <x:v>待定</x:v>
      </x:c>
      <x:c r="I49" s="5" t="str">
        <x:f>"否"</x:f>
        <x:v>否</x:v>
      </x:c>
    </x:row>
    <x:row r="50">
      <x:c r="A50" s="5" t="n">
        <x:f>'均值原始浓度'!A50</x:f>
        <x:v>45</x:v>
      </x:c>
      <x:c r="B50" s="5" t="str">
        <x:f>IF('均值原始浓度'!B50="","",'均值原始浓度'!B50)</x:f>
        <x:v>γ-辛内酯</x:v>
      </x:c>
      <x:c r="C50" s="5" t="str">
        <x:f>IF('均值原始浓度'!C50="","",'均值原始浓度'!C50)</x:f>
        <x:v>104-50-7</x:v>
      </x:c>
      <x:c r="D50" s="5" t="n">
        <x:f>COUNT('均值原始浓度'!E50:DM50)</x:f>
        <x:v>12</x:v>
      </x:c>
      <x:c r="E50" s="6" t="n">
        <x:f>IF('均值原始浓度'!D50&gt;0,'均值原始浓度'!D50,"")</x:f>
        <x:v>2816</x:v>
      </x:c>
      <x:c r="F50" s="6" t="n">
        <x:f>IF(D50=0,"",AVERAGE('均值原始浓度'!E50:DM50))</x:f>
        <x:v>17.273541666666667</x:v>
      </x:c>
      <x:c r="G50" s="6" t="n">
        <x:f>IF(AND(D50&gt;0,ISNUMBER(E50),E50&gt;0),F50/E50,"")</x:f>
        <x:v>0.006134070194128788</x:v>
      </x:c>
      <x:c r="H50" s="5" t="str">
        <x:f>IF(NOT(ISNUMBER(G50)),"待定",IF(G50&lt;1,"固定基底候选","参与浓度设计"))</x:f>
        <x:v>固定基底候选</x:v>
      </x:c>
      <x:c r="I50" s="5" t="str">
        <x:f>"否"</x:f>
        <x:v>否</x:v>
      </x:c>
    </x:row>
    <x:row r="51">
      <x:c r="A51" s="5" t="n">
        <x:f>'均值原始浓度'!A51</x:f>
        <x:v>46</x:v>
      </x:c>
      <x:c r="B51" s="5" t="str">
        <x:f>IF('均值原始浓度'!B51="","",'均值原始浓度'!B51)</x:f>
        <x:v>γ-壬内酯</x:v>
      </x:c>
      <x:c r="C51" s="5" t="str">
        <x:f>IF('均值原始浓度'!C51="","",'均值原始浓度'!C51)</x:f>
        <x:v>104-61-0</x:v>
      </x:c>
      <x:c r="D51" s="5" t="n">
        <x:f>COUNT('均值原始浓度'!E51:DM51)</x:f>
        <x:v>21</x:v>
      </x:c>
      <x:c r="E51" s="6" t="n">
        <x:f>IF('均值原始浓度'!D51&gt;0,'均值原始浓度'!D51,"")</x:f>
        <x:v>90.7</x:v>
      </x:c>
      <x:c r="F51" s="6" t="n">
        <x:f>IF(D51=0,"",AVERAGE('均值原始浓度'!E51:DM51))</x:f>
        <x:v>79.48738095238097</x:v>
      </x:c>
      <x:c r="G51" s="6" t="n">
        <x:f>IF(AND(D51&gt;0,ISNUMBER(E51),E51&gt;0),F51/E51,"")</x:f>
        <x:v>0.8763768572478607</x:v>
      </x:c>
      <x:c r="H51" s="5" t="str">
        <x:f>IF(NOT(ISNUMBER(G51)),"待定",IF(G51&lt;1,"固定基底候选","参与浓度设计"))</x:f>
        <x:v>固定基底候选</x:v>
      </x:c>
      <x:c r="I51" s="5" t="str">
        <x:f>"否"</x:f>
        <x:v>否</x:v>
      </x:c>
    </x:row>
    <x:row r="52">
      <x:c r="A52" s="5" t="n">
        <x:f>'均值原始浓度'!A52</x:f>
        <x:v>47</x:v>
      </x:c>
      <x:c r="B52" s="5" t="str">
        <x:f>IF('均值原始浓度'!B52="","",'均值原始浓度'!B52)</x:f>
      </x:c>
      <x:c r="C52" s="5" t="str">
        <x:f>IF('均值原始浓度'!C52="","",'均值原始浓度'!C52)</x:f>
        <x:v>104-67-6</x:v>
      </x:c>
      <x:c r="D52" s="5" t="n">
        <x:f>COUNT('均值原始浓度'!E52:DM52)</x:f>
        <x:v>2</x:v>
      </x:c>
      <x:c r="E52" s="6" t="str">
        <x:f>IF('均值原始浓度'!D52&gt;0,'均值原始浓度'!D52,"")</x:f>
      </x:c>
      <x:c r="F52" s="6" t="n">
        <x:f>IF(D52=0,"",AVERAGE('均值原始浓度'!E52:DM52))</x:f>
        <x:v>0.18</x:v>
      </x:c>
      <x:c r="G52" s="6" t="str">
        <x:f>IF(AND(D52&gt;0,ISNUMBER(E52),E52&gt;0),F52/E52,"")</x:f>
      </x:c>
      <x:c r="H52" s="5" t="str">
        <x:f>IF(NOT(ISNUMBER(G52)),"待定",IF(G52&lt;1,"固定基底候选","参与浓度设计"))</x:f>
        <x:v>待定</x:v>
      </x:c>
      <x:c r="I52" s="5" t="str">
        <x:f>"否"</x:f>
        <x:v>否</x:v>
      </x:c>
    </x:row>
    <x:row r="53">
      <x:c r="A53" s="5" t="n">
        <x:f>'均值原始浓度'!A53</x:f>
        <x:v>48</x:v>
      </x:c>
      <x:c r="B53" s="5" t="str">
        <x:f>IF('均值原始浓度'!B53="","",'均值原始浓度'!B53)</x:f>
        <x:v>γ-庚内酯</x:v>
      </x:c>
      <x:c r="C53" s="5" t="str">
        <x:f>IF('均值原始浓度'!C53="","",'均值原始浓度'!C53)</x:f>
        <x:v>105-21-5</x:v>
      </x:c>
      <x:c r="D53" s="5" t="n">
        <x:f>COUNT('均值原始浓度'!E53:DM53)</x:f>
        <x:v>10</x:v>
      </x:c>
      <x:c r="E53" s="6" t="n">
        <x:f>IF('均值原始浓度'!D53&gt;0,'均值原始浓度'!D53,"")</x:f>
        <x:v>1000</x:v>
      </x:c>
      <x:c r="F53" s="6" t="n">
        <x:f>IF(D53=0,"",AVERAGE('均值原始浓度'!E53:DM53))</x:f>
        <x:v>7.4159999999999995</x:v>
      </x:c>
      <x:c r="G53" s="6" t="n">
        <x:f>IF(AND(D53&gt;0,ISNUMBER(E53),E53&gt;0),F53/E53,"")</x:f>
        <x:v>0.007416</x:v>
      </x:c>
      <x:c r="H53" s="5" t="str">
        <x:f>IF(NOT(ISNUMBER(G53)),"待定",IF(G53&lt;1,"固定基底候选","参与浓度设计"))</x:f>
        <x:v>固定基底候选</x:v>
      </x:c>
      <x:c r="I53" s="5" t="str">
        <x:f>"否"</x:f>
        <x:v>否</x:v>
      </x:c>
    </x:row>
    <x:row r="54">
      <x:c r="A54" s="5" t="n">
        <x:f>'均值原始浓度'!A54</x:f>
        <x:v>49</x:v>
      </x:c>
      <x:c r="B54" s="5" t="str">
        <x:f>IF('均值原始浓度'!B54="","",'均值原始浓度'!B54)</x:f>
        <x:v>丙酸乙酯a</x:v>
      </x:c>
      <x:c r="C54" s="5" t="str">
        <x:f>IF('均值原始浓度'!C54="","",'均值原始浓度'!C54)</x:f>
        <x:v>105-37-3</x:v>
      </x:c>
      <x:c r="D54" s="5" t="n">
        <x:f>COUNT('均值原始浓度'!E54:DM54)</x:f>
        <x:v>29</x:v>
      </x:c>
      <x:c r="E54" s="6" t="str">
        <x:f>IF('均值原始浓度'!D54&gt;0,'均值原始浓度'!D54,"")</x:f>
      </x:c>
      <x:c r="F54" s="6" t="n">
        <x:f>IF(D54=0,"",AVERAGE('均值原始浓度'!E54:DM54))</x:f>
        <x:v>2279.7424137931034</x:v>
      </x:c>
      <x:c r="G54" s="6" t="str">
        <x:f>IF(AND(D54&gt;0,ISNUMBER(E54),E54&gt;0),F54/E54,"")</x:f>
      </x:c>
      <x:c r="H54" s="5" t="str">
        <x:f>IF(NOT(ISNUMBER(G54)),"待定",IF(G54&lt;1,"固定基底候选","参与浓度设计"))</x:f>
        <x:v>待定</x:v>
      </x:c>
      <x:c r="I54" s="5" t="str">
        <x:f>"否"</x:f>
        <x:v>否</x:v>
      </x:c>
    </x:row>
    <x:row r="55">
      <x:c r="A55" s="5" t="n">
        <x:f>'均值原始浓度'!A55</x:f>
        <x:v>50</x:v>
      </x:c>
      <x:c r="B55" s="5" t="str">
        <x:f>IF('均值原始浓度'!B55="","",'均值原始浓度'!B55)</x:f>
      </x:c>
      <x:c r="C55" s="5" t="str">
        <x:f>IF('均值原始浓度'!C55="","",'均值原始浓度'!C55)</x:f>
        <x:v>105-43-1</x:v>
      </x:c>
      <x:c r="D55" s="5" t="n">
        <x:f>COUNT('均值原始浓度'!E55:DM55)</x:f>
        <x:v>6</x:v>
      </x:c>
      <x:c r="E55" s="6" t="str">
        <x:f>IF('均值原始浓度'!D55&gt;0,'均值原始浓度'!D55,"")</x:f>
      </x:c>
      <x:c r="F55" s="6" t="n">
        <x:f>IF(D55=0,"",AVERAGE('均值原始浓度'!E55:DM55))</x:f>
        <x:v>23.215000000000003</x:v>
      </x:c>
      <x:c r="G55" s="6" t="str">
        <x:f>IF(AND(D55&gt;0,ISNUMBER(E55),E55&gt;0),F55/E55,"")</x:f>
      </x:c>
      <x:c r="H55" s="5" t="str">
        <x:f>IF(NOT(ISNUMBER(G55)),"待定",IF(G55&lt;1,"固定基底候选","参与浓度设计"))</x:f>
        <x:v>待定</x:v>
      </x:c>
      <x:c r="I55" s="5" t="str">
        <x:f>"否"</x:f>
        <x:v>否</x:v>
      </x:c>
    </x:row>
    <x:row r="56">
      <x:c r="A56" s="5" t="n">
        <x:f>'均值原始浓度'!A56</x:f>
        <x:v>51</x:v>
      </x:c>
      <x:c r="B56" s="5" t="str">
        <x:f>IF('均值原始浓度'!B56="","",'均值原始浓度'!B56)</x:f>
        <x:v>乙酸仲丁酯</x:v>
      </x:c>
      <x:c r="C56" s="5" t="str">
        <x:f>IF('均值原始浓度'!C56="","",'均值原始浓度'!C56)</x:f>
        <x:v>105-46-4</x:v>
      </x:c>
      <x:c r="D56" s="5" t="n">
        <x:f>COUNT('均值原始浓度'!E56:DM56)</x:f>
        <x:v>2</x:v>
      </x:c>
      <x:c r="E56" s="6" t="str">
        <x:f>IF('均值原始浓度'!D56&gt;0,'均值原始浓度'!D56,"")</x:f>
      </x:c>
      <x:c r="F56" s="6" t="n">
        <x:f>IF(D56=0,"",AVERAGE('均值原始浓度'!E56:DM56))</x:f>
        <x:v>277</x:v>
      </x:c>
      <x:c r="G56" s="6" t="str">
        <x:f>IF(AND(D56&gt;0,ISNUMBER(E56),E56&gt;0),F56/E56,"")</x:f>
      </x:c>
      <x:c r="H56" s="5" t="str">
        <x:f>IF(NOT(ISNUMBER(G56)),"待定",IF(G56&lt;1,"固定基底候选","参与浓度设计"))</x:f>
        <x:v>待定</x:v>
      </x:c>
      <x:c r="I56" s="5" t="str">
        <x:f>"否"</x:f>
        <x:v>否</x:v>
      </x:c>
    </x:row>
    <x:row r="57">
      <x:c r="A57" s="5" t="n">
        <x:f>'均值原始浓度'!A57</x:f>
        <x:v>52</x:v>
      </x:c>
      <x:c r="B57" s="5" t="str">
        <x:f>IF('均值原始浓度'!B57="","",'均值原始浓度'!B57)</x:f>
        <x:v>丁酸乙酯</x:v>
      </x:c>
      <x:c r="C57" s="5" t="str">
        <x:f>IF('均值原始浓度'!C57="","",'均值原始浓度'!C57)</x:f>
        <x:v>105-54-4</x:v>
      </x:c>
      <x:c r="D57" s="5" t="n">
        <x:f>COUNT('均值原始浓度'!E57:DM57)</x:f>
        <x:v>97</x:v>
      </x:c>
      <x:c r="E57" s="6" t="n">
        <x:f>IF('均值原始浓度'!D57&gt;0,'均值原始浓度'!D57,"")</x:f>
        <x:v>81.5</x:v>
      </x:c>
      <x:c r="F57" s="6" t="n">
        <x:f>IF(D57=0,"",AVERAGE('均值原始浓度'!E57:DM57))</x:f>
        <x:v>106943.00625463917</x:v>
      </x:c>
      <x:c r="G57" s="6" t="n">
        <x:f>IF(AND(D57&gt;0,ISNUMBER(E57),E57&gt;0),F57/E57,"")</x:f>
        <x:v>1312.1841258237935</x:v>
      </x:c>
      <x:c r="H57" s="5" t="str">
        <x:f>IF(NOT(ISNUMBER(G57)),"待定",IF(G57&lt;1,"固定基底候选","参与浓度设计"))</x:f>
        <x:v>参与浓度设计</x:v>
      </x:c>
      <x:c r="I57" s="5" t="str">
        <x:f>"是"</x:f>
        <x:v>是</x:v>
      </x:c>
    </x:row>
    <x:row r="58">
      <x:c r="A58" s="5" t="n">
        <x:f>'均值原始浓度'!A58</x:f>
        <x:v>53</x:v>
      </x:c>
      <x:c r="B58" s="5" t="str">
        <x:f>IF('均值原始浓度'!B58="","",'均值原始浓度'!B58)</x:f>
        <x:v>乙醛二乙缩醛</x:v>
      </x:c>
      <x:c r="C58" s="5" t="str">
        <x:f>IF('均值原始浓度'!C58="","",'均值原始浓度'!C58)</x:f>
        <x:v>105-57-7</x:v>
      </x:c>
      <x:c r="D58" s="5" t="n">
        <x:f>COUNT('均值原始浓度'!E58:DM58)</x:f>
        <x:v>63</x:v>
      </x:c>
      <x:c r="E58" s="6" t="n">
        <x:f>IF('均值原始浓度'!D58&gt;0,'均值原始浓度'!D58,"")</x:f>
        <x:v>2090</x:v>
      </x:c>
      <x:c r="F58" s="6" t="n">
        <x:f>IF(D58=0,"",AVERAGE('均值原始浓度'!E58:DM58))</x:f>
        <x:v>98196.77275079368</x:v>
      </x:c>
      <x:c r="G58" s="6" t="n">
        <x:f>IF(AND(D58&gt;0,ISNUMBER(E58),E58&gt;0),F58/E58,"")</x:f>
        <x:v>46.98410179463812</x:v>
      </x:c>
      <x:c r="H58" s="5" t="str">
        <x:f>IF(NOT(ISNUMBER(G58)),"待定",IF(G58&lt;1,"固定基底候选","参与浓度设计"))</x:f>
        <x:v>参与浓度设计</x:v>
      </x:c>
      <x:c r="I58" s="5" t="str">
        <x:f>"是"</x:f>
        <x:v>是</x:v>
      </x:c>
    </x:row>
    <x:row r="59">
      <x:c r="A59" s="5" t="n">
        <x:f>'均值原始浓度'!A59</x:f>
        <x:v>54</x:v>
      </x:c>
      <x:c r="B59" s="5" t="str">
        <x:f>IF('均值原始浓度'!B59="","",'均值原始浓度'!B59)</x:f>
        <x:v>丁酸丙酯propyl butanoate</x:v>
      </x:c>
      <x:c r="C59" s="5" t="str">
        <x:f>IF('均值原始浓度'!C59="","",'均值原始浓度'!C59)</x:f>
        <x:v>105-66-8</x:v>
      </x:c>
      <x:c r="D59" s="5" t="n">
        <x:f>COUNT('均值原始浓度'!E59:DM59)</x:f>
        <x:v>4</x:v>
      </x:c>
      <x:c r="E59" s="6" t="str">
        <x:f>IF('均值原始浓度'!D59&gt;0,'均值原始浓度'!D59,"")</x:f>
      </x:c>
      <x:c r="F59" s="6" t="n">
        <x:f>IF(D59=0,"",AVERAGE('均值原始浓度'!E59:DM59))</x:f>
        <x:v>800.25</x:v>
      </x:c>
      <x:c r="G59" s="6" t="str">
        <x:f>IF(AND(D59&gt;0,ISNUMBER(E59),E59&gt;0),F59/E59,"")</x:f>
      </x:c>
      <x:c r="H59" s="5" t="str">
        <x:f>IF(NOT(ISNUMBER(G59)),"待定",IF(G59&lt;1,"固定基底候选","参与浓度设计"))</x:f>
        <x:v>待定</x:v>
      </x:c>
      <x:c r="I59" s="5" t="str">
        <x:f>"否"</x:f>
        <x:v>否</x:v>
      </x:c>
    </x:row>
    <x:row r="60">
      <x:c r="A60" s="5" t="n">
        <x:f>'均值原始浓度'!A60</x:f>
        <x:v>55</x:v>
      </x:c>
      <x:c r="B60" s="5" t="str">
        <x:f>IF('均值原始浓度'!B60="","",'均值原始浓度'!B60)</x:f>
        <x:v>己酸异丁酯</x:v>
      </x:c>
      <x:c r="C60" s="5" t="str">
        <x:f>IF('均值原始浓度'!C60="","",'均值原始浓度'!C60)</x:f>
        <x:v>105-79-3</x:v>
      </x:c>
      <x:c r="D60" s="5" t="n">
        <x:f>COUNT('均值原始浓度'!E60:DM60)</x:f>
        <x:v>55</x:v>
      </x:c>
      <x:c r="E60" s="6" t="n">
        <x:f>IF('均值原始浓度'!D60&gt;0,'均值原始浓度'!D60,"")</x:f>
        <x:v>5350</x:v>
      </x:c>
      <x:c r="F60" s="6" t="n">
        <x:f>IF(D60=0,"",AVERAGE('均值原始浓度'!E60:DM60))</x:f>
        <x:v>2232.47</x:v>
      </x:c>
      <x:c r="G60" s="6" t="n">
        <x:f>IF(AND(D60&gt;0,ISNUMBER(E60),E60&gt;0),F60/E60,"")</x:f>
        <x:v>0.41728411214953265</x:v>
      </x:c>
      <x:c r="H60" s="5" t="str">
        <x:f>IF(NOT(ISNUMBER(G60)),"待定",IF(G60&lt;1,"固定基底候选","参与浓度设计"))</x:f>
        <x:v>固定基底候选</x:v>
      </x:c>
      <x:c r="I60" s="5" t="str">
        <x:f>"否"</x:f>
        <x:v>否</x:v>
      </x:c>
    </x:row>
    <x:row r="61">
      <x:c r="A61" s="5" t="n">
        <x:f>'均值原始浓度'!A61</x:f>
        <x:v>56</x:v>
      </x:c>
      <x:c r="B61" s="5" t="str">
        <x:f>IF('均值原始浓度'!B61="","",'均值原始浓度'!B61)</x:f>
        <x:v>丁酸异戊酯</x:v>
      </x:c>
      <x:c r="C61" s="5" t="str">
        <x:f>IF('均值原始浓度'!C61="","",'均值原始浓度'!C61)</x:f>
        <x:v>106-27-4</x:v>
      </x:c>
      <x:c r="D61" s="5" t="n">
        <x:f>COUNT('均值原始浓度'!E61:DM61)</x:f>
        <x:v>56</x:v>
      </x:c>
      <x:c r="E61" s="6" t="n">
        <x:f>IF('均值原始浓度'!D61&gt;0,'均值原始浓度'!D61,"")</x:f>
        <x:v>915</x:v>
      </x:c>
      <x:c r="F61" s="6" t="n">
        <x:f>IF(D61=0,"",AVERAGE('均值原始浓度'!E61:DM61))</x:f>
        <x:v>1260.4891964285712</x:v>
      </x:c>
      <x:c r="G61" s="6" t="n">
        <x:f>IF(AND(D61&gt;0,ISNUMBER(E61),E61&gt;0),F61/E61,"")</x:f>
        <x:v>1.377583821233411</x:v>
      </x:c>
      <x:c r="H61" s="5" t="str">
        <x:f>IF(NOT(ISNUMBER(G61)),"待定",IF(G61&lt;1,"固定基底候选","参与浓度设计"))</x:f>
        <x:v>参与浓度设计</x:v>
      </x:c>
      <x:c r="I61" s="5" t="str">
        <x:f>"是"</x:f>
        <x:v>是</x:v>
      </x:c>
    </x:row>
    <x:row r="62">
      <x:c r="A62" s="5" t="n">
        <x:f>'均值原始浓度'!A62</x:f>
        <x:v>57</x:v>
      </x:c>
      <x:c r="B62" s="5" t="str">
        <x:f>IF('均值原始浓度'!B62="","",'均值原始浓度'!B62)</x:f>
        <x:v>庚酸乙酯</x:v>
      </x:c>
      <x:c r="C62" s="5" t="str">
        <x:f>IF('均值原始浓度'!C62="","",'均值原始浓度'!C62)</x:f>
        <x:v>106-30-9</x:v>
      </x:c>
      <x:c r="D62" s="5" t="n">
        <x:f>COUNT('均值原始浓度'!E62:DM62)</x:f>
        <x:v>87</x:v>
      </x:c>
      <x:c r="E62" s="6" t="n">
        <x:f>IF('均值原始浓度'!D62&gt;0,'均值原始浓度'!D62,"")</x:f>
        <x:v>13153</x:v>
      </x:c>
      <x:c r="F62" s="6" t="n">
        <x:f>IF(D62=0,"",AVERAGE('均值原始浓度'!E62:DM62))</x:f>
        <x:v>27722.03097701148</x:v>
      </x:c>
      <x:c r="G62" s="6" t="n">
        <x:f>IF(AND(D62&gt;0,ISNUMBER(E62),E62&gt;0),F62/E62,"")</x:f>
        <x:v>2.107658403178855</x:v>
      </x:c>
      <x:c r="H62" s="5" t="str">
        <x:f>IF(NOT(ISNUMBER(G62)),"待定",IF(G62&lt;1,"固定基底候选","参与浓度设计"))</x:f>
        <x:v>参与浓度设计</x:v>
      </x:c>
      <x:c r="I62" s="5" t="str">
        <x:f>"是"</x:f>
        <x:v>是</x:v>
      </x:c>
    </x:row>
    <x:row r="63">
      <x:c r="A63" s="5" t="n">
        <x:f>'均值原始浓度'!A63</x:f>
        <x:v>58</x:v>
      </x:c>
      <x:c r="B63" s="5" t="str">
        <x:f>IF('均值原始浓度'!B63="","",'均值原始浓度'!B63)</x:f>
        <x:v>辛酸乙酯</x:v>
      </x:c>
      <x:c r="C63" s="5" t="str">
        <x:f>IF('均值原始浓度'!C63="","",'均值原始浓度'!C63)</x:f>
        <x:v>106-32-1</x:v>
      </x:c>
      <x:c r="D63" s="5" t="n">
        <x:f>COUNT('均值原始浓度'!E63:DM63)</x:f>
        <x:v>100</x:v>
      </x:c>
      <x:c r="E63" s="6" t="n">
        <x:f>IF('均值原始浓度'!D63&gt;0,'均值原始浓度'!D63,"")</x:f>
        <x:v>12.9</x:v>
      </x:c>
      <x:c r="F63" s="6" t="n">
        <x:f>IF(D63=0,"",AVERAGE('均值原始浓度'!E63:DM63))</x:f>
        <x:v>52698.110949999995</x:v>
      </x:c>
      <x:c r="G63" s="6" t="n">
        <x:f>IF(AND(D63&gt;0,ISNUMBER(E63),E63&gt;0),F63/E63,"")</x:f>
        <x:v>4085.1248798449606</x:v>
      </x:c>
      <x:c r="H63" s="5" t="str">
        <x:f>IF(NOT(ISNUMBER(G63)),"待定",IF(G63&lt;1,"固定基底候选","参与浓度设计"))</x:f>
        <x:v>参与浓度设计</x:v>
      </x:c>
      <x:c r="I63" s="5" t="str">
        <x:f>"是"</x:f>
        <x:v>是</x:v>
      </x:c>
    </x:row>
    <x:row r="64">
      <x:c r="A64" s="5" t="n">
        <x:f>'均值原始浓度'!A64</x:f>
        <x:v>59</x:v>
      </x:c>
      <x:c r="B64" s="5" t="str">
        <x:f>IF('均值原始浓度'!B64="","",'均值原始浓度'!B64)</x:f>
        <x:v>癸酸乙酯</x:v>
      </x:c>
      <x:c r="C64" s="5" t="str">
        <x:f>IF('均值原始浓度'!C64="","",'均值原始浓度'!C64)</x:f>
        <x:v>106-33-2</x:v>
      </x:c>
      <x:c r="D64" s="5" t="n">
        <x:f>COUNT('均值原始浓度'!E64:DM64)</x:f>
        <x:v>67</x:v>
      </x:c>
      <x:c r="E64" s="6" t="n">
        <x:f>IF('均值原始浓度'!D64&gt;0,'均值原始浓度'!D64,"")</x:f>
        <x:v>1120</x:v>
      </x:c>
      <x:c r="F64" s="6" t="n">
        <x:f>IF(D64=0,"",AVERAGE('均值原始浓度'!E64:DM64))</x:f>
        <x:v>1962.0678731343287</x:v>
      </x:c>
      <x:c r="G64" s="6" t="n">
        <x:f>IF(AND(D64&gt;0,ISNUMBER(E64),E64&gt;0),F64/E64,"")</x:f>
        <x:v>1.7518463152985078</x:v>
      </x:c>
      <x:c r="H64" s="5" t="str">
        <x:f>IF(NOT(ISNUMBER(G64)),"待定",IF(G64&lt;1,"固定基底候选","参与浓度设计"))</x:f>
        <x:v>参与浓度设计</x:v>
      </x:c>
      <x:c r="I64" s="5" t="str">
        <x:f>"否"</x:f>
        <x:v>否</x:v>
      </x:c>
    </x:row>
    <x:row r="65">
      <x:c r="A65" s="5" t="n">
        <x:f>'均值原始浓度'!A65</x:f>
        <x:v>60</x:v>
      </x:c>
      <x:c r="B65" s="5" t="str">
        <x:f>IF('均值原始浓度'!B65="","",'均值原始浓度'!B65)</x:f>
        <x:v>丙酸正丙酯</x:v>
      </x:c>
      <x:c r="C65" s="5" t="str">
        <x:f>IF('均值原始浓度'!C65="","",'均值原始浓度'!C65)</x:f>
        <x:v>106-36-5</x:v>
      </x:c>
      <x:c r="D65" s="5" t="n">
        <x:f>COUNT('均值原始浓度'!E65:DM65)</x:f>
        <x:v>1</x:v>
      </x:c>
      <x:c r="E65" s="6" t="str">
        <x:f>IF('均值原始浓度'!D65&gt;0,'均值原始浓度'!D65,"")</x:f>
      </x:c>
      <x:c r="F65" s="6" t="n">
        <x:f>IF(D65=0,"",AVERAGE('均值原始浓度'!E65:DM65))</x:f>
        <x:v>157</x:v>
      </x:c>
      <x:c r="G65" s="6" t="str">
        <x:f>IF(AND(D65&gt;0,ISNUMBER(E65),E65&gt;0),F65/E65,"")</x:f>
      </x:c>
      <x:c r="H65" s="5" t="str">
        <x:f>IF(NOT(ISNUMBER(G65)),"待定",IF(G65&lt;1,"固定基底候选","参与浓度设计"))</x:f>
        <x:v>待定</x:v>
      </x:c>
      <x:c r="I65" s="5" t="str">
        <x:f>"否"</x:f>
        <x:v>否</x:v>
      </x:c>
    </x:row>
    <x:row r="66">
      <x:c r="A66" s="5" t="n">
        <x:f>'均值原始浓度'!A66</x:f>
        <x:v>61</x:v>
      </x:c>
      <x:c r="B66" s="5" t="str">
        <x:f>IF('均值原始浓度'!B66="","",'均值原始浓度'!B66)</x:f>
        <x:v>对甲酚</x:v>
      </x:c>
      <x:c r="C66" s="5" t="str">
        <x:f>IF('均值原始浓度'!C66="","",'均值原始浓度'!C66)</x:f>
        <x:v>106-44-5</x:v>
      </x:c>
      <x:c r="D66" s="5" t="n">
        <x:f>COUNT('均值原始浓度'!E66:DM66)</x:f>
        <x:v>71</x:v>
      </x:c>
      <x:c r="E66" s="6" t="n">
        <x:f>IF('均值原始浓度'!D66&gt;0,'均值原始浓度'!D66,"")</x:f>
        <x:v>167</x:v>
      </x:c>
      <x:c r="F66" s="6" t="n">
        <x:f>IF(D66=0,"",AVERAGE('均值原始浓度'!E66:DM66))</x:f>
        <x:v>959.5609154929575</x:v>
      </x:c>
      <x:c r="G66" s="6" t="n">
        <x:f>IF(AND(D66&gt;0,ISNUMBER(E66),E66&gt;0),F66/E66,"")</x:f>
        <x:v>5.745873745466811</x:v>
      </x:c>
      <x:c r="H66" s="5" t="str">
        <x:f>IF(NOT(ISNUMBER(G66)),"待定",IF(G66&lt;1,"固定基底候选","参与浓度设计"))</x:f>
        <x:v>参与浓度设计</x:v>
      </x:c>
      <x:c r="I66" s="5" t="str">
        <x:f>"是"</x:f>
        <x:v>是</x:v>
      </x:c>
    </x:row>
    <x:row r="67">
      <x:c r="A67" s="5" t="n">
        <x:f>'均值原始浓度'!A67</x:f>
        <x:v>62</x:v>
      </x:c>
      <x:c r="B67" s="5" t="str">
        <x:f>IF('均值原始浓度'!B67="","",'均值原始浓度'!B67)</x:f>
        <x:v>仲辛酮</x:v>
      </x:c>
      <x:c r="C67" s="5" t="str">
        <x:f>IF('均值原始浓度'!C67="","",'均值原始浓度'!C67)</x:f>
        <x:v>106-68-3</x:v>
      </x:c>
      <x:c r="D67" s="5" t="n">
        <x:f>COUNT('均值原始浓度'!E67:DM67)</x:f>
        <x:v>3</x:v>
      </x:c>
      <x:c r="E67" s="6" t="n">
        <x:f>IF('均值原始浓度'!D67&gt;0,'均值原始浓度'!D67,"")</x:f>
        <x:v>250</x:v>
      </x:c>
      <x:c r="F67" s="6" t="n">
        <x:f>IF(D67=0,"",AVERAGE('均值原始浓度'!E67:DM67))</x:f>
        <x:v>16.786666666666665</x:v>
      </x:c>
      <x:c r="G67" s="6" t="n">
        <x:f>IF(AND(D67&gt;0,ISNUMBER(E67),E67&gt;0),F67/E67,"")</x:f>
        <x:v>0.06714666666666666</x:v>
      </x:c>
      <x:c r="H67" s="5" t="str">
        <x:f>IF(NOT(ISNUMBER(G67)),"待定",IF(G67&lt;1,"固定基底候选","参与浓度设计"))</x:f>
        <x:v>固定基底候选</x:v>
      </x:c>
      <x:c r="I67" s="5" t="str">
        <x:f>"否"</x:f>
        <x:v>否</x:v>
      </x:c>
    </x:row>
    <x:row r="68">
      <x:c r="A68" s="5" t="n">
        <x:f>'均值原始浓度'!A68</x:f>
        <x:v>63</x:v>
      </x:c>
      <x:c r="B68" s="5" t="str">
        <x:f>IF('均值原始浓度'!B68="","",'均值原始浓度'!B68)</x:f>
        <x:v>己酸甲酯</x:v>
      </x:c>
      <x:c r="C68" s="5" t="str">
        <x:f>IF('均值原始浓度'!C68="","",'均值原始浓度'!C68)</x:f>
        <x:v>106-70-7</x:v>
      </x:c>
      <x:c r="D68" s="5" t="n">
        <x:f>COUNT('均值原始浓度'!E68:DM68)</x:f>
        <x:v>14</x:v>
      </x:c>
      <x:c r="E68" s="6" t="str">
        <x:f>IF('均值原始浓度'!D68&gt;0,'均值原始浓度'!D68,"")</x:f>
      </x:c>
      <x:c r="F68" s="6" t="n">
        <x:f>IF(D68=0,"",AVERAGE('均值原始浓度'!E68:DM68))</x:f>
        <x:v>745.2071428571428</x:v>
      </x:c>
      <x:c r="G68" s="6" t="str">
        <x:f>IF(AND(D68&gt;0,ISNUMBER(E68),E68&gt;0),F68/E68,"")</x:f>
      </x:c>
      <x:c r="H68" s="5" t="str">
        <x:f>IF(NOT(ISNUMBER(G68)),"待定",IF(G68&lt;1,"固定基底候选","参与浓度设计"))</x:f>
        <x:v>待定</x:v>
      </x:c>
      <x:c r="I68" s="5" t="str">
        <x:f>"否"</x:f>
        <x:v>否</x:v>
      </x:c>
    </x:row>
    <x:row r="69">
      <x:c r="A69" s="5" t="n">
        <x:f>'均值原始浓度'!A69</x:f>
        <x:v>64</x:v>
      </x:c>
      <x:c r="B69" s="5" t="str">
        <x:f>IF('均值原始浓度'!B69="","",'均值原始浓度'!B69)</x:f>
        <x:v>2-戊酮a</x:v>
      </x:c>
      <x:c r="C69" s="5" t="str">
        <x:f>IF('均值原始浓度'!C69="","",'均值原始浓度'!C69)</x:f>
        <x:v>107-87-9</x:v>
      </x:c>
      <x:c r="D69" s="5" t="n">
        <x:f>COUNT('均值原始浓度'!E69:DM69)</x:f>
        <x:v>20</x:v>
      </x:c>
      <x:c r="E69" s="6" t="str">
        <x:f>IF('均值原始浓度'!D69&gt;0,'均值原始浓度'!D69,"")</x:f>
      </x:c>
      <x:c r="F69" s="6" t="n">
        <x:f>IF(D69=0,"",AVERAGE('均值原始浓度'!E69:DM69))</x:f>
        <x:v>8798.57125</x:v>
      </x:c>
      <x:c r="G69" s="6" t="str">
        <x:f>IF(AND(D69&gt;0,ISNUMBER(E69),E69&gt;0),F69/E69,"")</x:f>
      </x:c>
      <x:c r="H69" s="5" t="str">
        <x:f>IF(NOT(ISNUMBER(G69)),"待定",IF(G69&lt;1,"固定基底候选","参与浓度设计"))</x:f>
        <x:v>待定</x:v>
      </x:c>
      <x:c r="I69" s="5" t="str">
        <x:f>"否"</x:f>
        <x:v>否</x:v>
      </x:c>
    </x:row>
    <x:row r="70">
      <x:c r="A70" s="5" t="n">
        <x:f>'均值原始浓度'!A70</x:f>
        <x:v>65</x:v>
      </x:c>
      <x:c r="B70" s="5" t="str">
        <x:f>IF('均值原始浓度'!B70="","",'均值原始浓度'!B70)</x:f>
        <x:v>丁酸</x:v>
      </x:c>
      <x:c r="C70" s="5" t="str">
        <x:f>IF('均值原始浓度'!C70="","",'均值原始浓度'!C70)</x:f>
        <x:v>107-92-6</x:v>
      </x:c>
      <x:c r="D70" s="5" t="n">
        <x:f>COUNT('均值原始浓度'!E70:DM70)</x:f>
        <x:v>84</x:v>
      </x:c>
      <x:c r="E70" s="6" t="n">
        <x:f>IF('均值原始浓度'!D70&gt;0,'均值原始浓度'!D70,"")</x:f>
        <x:v>965</x:v>
      </x:c>
      <x:c r="F70" s="6" t="n">
        <x:f>IF(D70=0,"",AVERAGE('均值原始浓度'!E70:DM70))</x:f>
        <x:v>44345.55047619048</x:v>
      </x:c>
      <x:c r="G70" s="6" t="n">
        <x:f>IF(AND(D70&gt;0,ISNUMBER(E70),E70&gt;0),F70/E70,"")</x:f>
        <x:v>45.95393831729584</x:v>
      </x:c>
      <x:c r="H70" s="5" t="str">
        <x:f>IF(NOT(ISNUMBER(G70)),"待定",IF(G70&lt;1,"固定基底候选","参与浓度设计"))</x:f>
        <x:v>参与浓度设计</x:v>
      </x:c>
      <x:c r="I70" s="5" t="str">
        <x:f>"是"</x:f>
        <x:v>是</x:v>
      </x:c>
    </x:row>
    <x:row r="71">
      <x:c r="A71" s="5" t="n">
        <x:f>'均值原始浓度'!A71</x:f>
        <x:v>66</x:v>
      </x:c>
      <x:c r="B71" s="5" t="str">
        <x:f>IF('均值原始浓度'!B71="","",'均值原始浓度'!B71)</x:f>
        <x:v>γ-戊内酯</x:v>
      </x:c>
      <x:c r="C71" s="5" t="str">
        <x:f>IF('均值原始浓度'!C71="","",'均值原始浓度'!C71)</x:f>
        <x:v>108-29-2</x:v>
      </x:c>
      <x:c r="D71" s="5" t="n">
        <x:f>COUNT('均值原始浓度'!E71:DM71)</x:f>
        <x:v>12</x:v>
      </x:c>
      <x:c r="E71" s="6" t="str">
        <x:f>IF('均值原始浓度'!D71&gt;0,'均值原始浓度'!D71,"")</x:f>
      </x:c>
      <x:c r="F71" s="6" t="n">
        <x:f>IF(D71=0,"",AVERAGE('均值原始浓度'!E71:DM71))</x:f>
        <x:v>7.285833333333332</x:v>
      </x:c>
      <x:c r="G71" s="6" t="str">
        <x:f>IF(AND(D71&gt;0,ISNUMBER(E71),E71&gt;0),F71/E71,"")</x:f>
      </x:c>
      <x:c r="H71" s="5" t="str">
        <x:f>IF(NOT(ISNUMBER(G71)),"待定",IF(G71&lt;1,"固定基底候选","参与浓度设计"))</x:f>
        <x:v>待定</x:v>
      </x:c>
      <x:c r="I71" s="5" t="str">
        <x:f>"否"</x:f>
        <x:v>否</x:v>
      </x:c>
    </x:row>
    <x:row r="72">
      <x:c r="A72" s="5" t="n">
        <x:f>'均值原始浓度'!A72</x:f>
        <x:v>67</x:v>
      </x:c>
      <x:c r="B72" s="5" t="str">
        <x:f>IF('均值原始浓度'!B72="","",'均值原始浓度'!B72)</x:f>
      </x:c>
      <x:c r="C72" s="5" t="str">
        <x:f>IF('均值原始浓度'!C72="","",'均值原始浓度'!C72)</x:f>
        <x:v>108-39-4</x:v>
      </x:c>
      <x:c r="D72" s="5" t="n">
        <x:f>COUNT('均值原始浓度'!E72:DM72)</x:f>
        <x:v>4</x:v>
      </x:c>
      <x:c r="E72" s="6" t="str">
        <x:f>IF('均值原始浓度'!D72&gt;0,'均值原始浓度'!D72,"")</x:f>
      </x:c>
      <x:c r="F72" s="6" t="n">
        <x:f>IF(D72=0,"",AVERAGE('均值原始浓度'!E72:DM72))</x:f>
        <x:v>35.4025</x:v>
      </x:c>
      <x:c r="G72" s="6" t="str">
        <x:f>IF(AND(D72&gt;0,ISNUMBER(E72),E72&gt;0),F72/E72,"")</x:f>
      </x:c>
      <x:c r="H72" s="5" t="str">
        <x:f>IF(NOT(ISNUMBER(G72)),"待定",IF(G72&lt;1,"固定基底候选","参与浓度设计"))</x:f>
        <x:v>待定</x:v>
      </x:c>
      <x:c r="I72" s="5" t="str">
        <x:f>"否"</x:f>
        <x:v>否</x:v>
      </x:c>
    </x:row>
    <x:row r="73">
      <x:c r="A73" s="5" t="n">
        <x:f>'均值原始浓度'!A73</x:f>
        <x:v>68</x:v>
      </x:c>
      <x:c r="B73" s="5" t="str">
        <x:f>IF('均值原始浓度'!B73="","",'均值原始浓度'!B73)</x:f>
        <x:v>2,6-二甲基吡嗪</x:v>
      </x:c>
      <x:c r="C73" s="5" t="str">
        <x:f>IF('均值原始浓度'!C73="","",'均值原始浓度'!C73)</x:f>
        <x:v>108-50-9</x:v>
      </x:c>
      <x:c r="D73" s="5" t="n">
        <x:f>COUNT('均值原始浓度'!E73:DM73)</x:f>
        <x:v>28</x:v>
      </x:c>
      <x:c r="E73" s="6" t="n">
        <x:f>IF('均值原始浓度'!D73&gt;0,'均值原始浓度'!D73,"")</x:f>
        <x:v>791</x:v>
      </x:c>
      <x:c r="F73" s="6" t="n">
        <x:f>IF(D73=0,"",AVERAGE('均值原始浓度'!E73:DM73))</x:f>
        <x:v>657.3473214285715</x:v>
      </x:c>
      <x:c r="G73" s="6" t="n">
        <x:f>IF(AND(D73&gt;0,ISNUMBER(E73),E73&gt;0),F73/E73,"")</x:f>
        <x:v>0.8310332761423154</x:v>
      </x:c>
      <x:c r="H73" s="5" t="str">
        <x:f>IF(NOT(ISNUMBER(G73)),"待定",IF(G73&lt;1,"固定基底候选","参与浓度设计"))</x:f>
        <x:v>固定基底候选</x:v>
      </x:c>
      <x:c r="I73" s="5" t="str">
        <x:f>"否"</x:f>
        <x:v>否</x:v>
      </x:c>
    </x:row>
    <x:row r="74">
      <x:c r="A74" s="5" t="n">
        <x:f>'均值原始浓度'!A74</x:f>
        <x:v>69</x:v>
      </x:c>
      <x:c r="B74" s="5" t="str">
        <x:f>IF('均值原始浓度'!B74="","",'均值原始浓度'!B74)</x:f>
        <x:v>异戊酸乙酯（3-甲基丁酸乙酯）</x:v>
      </x:c>
      <x:c r="C74" s="5" t="str">
        <x:f>IF('均值原始浓度'!C74="","",'均值原始浓度'!C74)</x:f>
        <x:v>108-64-5</x:v>
      </x:c>
      <x:c r="D74" s="5" t="n">
        <x:f>COUNT('均值原始浓度'!E74:DM74)</x:f>
        <x:v>45</x:v>
      </x:c>
      <x:c r="E74" s="6" t="n">
        <x:f>IF('均值原始浓度'!D74&gt;0,'均值原始浓度'!D74,"")</x:f>
        <x:v>6.89</x:v>
      </x:c>
      <x:c r="F74" s="6" t="n">
        <x:f>IF(D74=0,"",AVERAGE('均值原始浓度'!E74:DM74))</x:f>
        <x:v>1755.1405200000002</x:v>
      </x:c>
      <x:c r="G74" s="6" t="n">
        <x:f>IF(AND(D74&gt;0,ISNUMBER(E74),E74&gt;0),F74/E74,"")</x:f>
        <x:v>254.73737590711178</x:v>
      </x:c>
      <x:c r="H74" s="5" t="str">
        <x:f>IF(NOT(ISNUMBER(G74)),"待定",IF(G74&lt;1,"固定基底候选","参与浓度设计"))</x:f>
        <x:v>参与浓度设计</x:v>
      </x:c>
      <x:c r="I74" s="5" t="str">
        <x:f>"是"</x:f>
        <x:v>是</x:v>
      </x:c>
    </x:row>
    <x:row r="75">
      <x:c r="A75" s="5" t="n">
        <x:f>'均值原始浓度'!A75</x:f>
        <x:v>70</x:v>
      </x:c>
      <x:c r="B75" s="5" t="str">
        <x:f>IF('均值原始浓度'!B75="","",'均值原始浓度'!B75)</x:f>
        <x:v>2,6-二甲基-4-庚醇</x:v>
      </x:c>
      <x:c r="C75" s="5" t="str">
        <x:f>IF('均值原始浓度'!C75="","",'均值原始浓度'!C75)</x:f>
        <x:v>108-82-7</x:v>
      </x:c>
      <x:c r="D75" s="5" t="n">
        <x:f>COUNT('均值原始浓度'!E75:DM75)</x:f>
        <x:v>4</x:v>
      </x:c>
      <x:c r="E75" s="6" t="str">
        <x:f>IF('均值原始浓度'!D75&gt;0,'均值原始浓度'!D75,"")</x:f>
      </x:c>
      <x:c r="F75" s="6" t="n">
        <x:f>IF(D75=0,"",AVERAGE('均值原始浓度'!E75:DM75))</x:f>
        <x:v>13.807500000000001</x:v>
      </x:c>
      <x:c r="G75" s="6" t="str">
        <x:f>IF(AND(D75&gt;0,ISNUMBER(E75),E75&gt;0),F75/E75,"")</x:f>
      </x:c>
      <x:c r="H75" s="5" t="str">
        <x:f>IF(NOT(ISNUMBER(G75)),"待定",IF(G75&lt;1,"固定基底候选","参与浓度设计"))</x:f>
        <x:v>待定</x:v>
      </x:c>
      <x:c r="I75" s="5" t="str">
        <x:f>"否"</x:f>
        <x:v>否</x:v>
      </x:c>
    </x:row>
    <x:row r="76">
      <x:c r="A76" s="5" t="n">
        <x:f>'均值原始浓度'!A76</x:f>
        <x:v>71</x:v>
      </x:c>
      <x:c r="B76" s="5" t="str">
        <x:f>IF('均值原始浓度'!B76="","",'均值原始浓度'!B76)</x:f>
        <x:v>苯酚</x:v>
      </x:c>
      <x:c r="C76" s="5" t="str">
        <x:f>IF('均值原始浓度'!C76="","",'均值原始浓度'!C76)</x:f>
        <x:v>108-95-2</x:v>
      </x:c>
      <x:c r="D76" s="5" t="n">
        <x:f>COUNT('均值原始浓度'!E76:DM76)</x:f>
        <x:v>40</x:v>
      </x:c>
      <x:c r="E76" s="6" t="n">
        <x:f>IF('均值原始浓度'!D76&gt;0,'均值原始浓度'!D76,"")</x:f>
        <x:v>40000</x:v>
      </x:c>
      <x:c r="F76" s="6" t="n">
        <x:f>IF(D76=0,"",AVERAGE('均值原始浓度'!E76:DM76))</x:f>
        <x:v>4290.451125</x:v>
      </x:c>
      <x:c r="G76" s="6" t="n">
        <x:f>IF(AND(D76&gt;0,ISNUMBER(E76),E76&gt;0),F76/E76,"")</x:f>
        <x:v>0.10726127812499998</x:v>
      </x:c>
      <x:c r="H76" s="5" t="str">
        <x:f>IF(NOT(ISNUMBER(G76)),"待定",IF(G76&lt;1,"固定基底候选","参与浓度设计"))</x:f>
        <x:v>固定基底候选</x:v>
      </x:c>
      <x:c r="I76" s="5" t="str">
        <x:f>"否"</x:f>
        <x:v>否</x:v>
      </x:c>
    </x:row>
    <x:row r="77">
      <x:c r="A77" s="5" t="n">
        <x:f>'均值原始浓度'!A77</x:f>
        <x:v>72</x:v>
      </x:c>
      <x:c r="B77" s="5" t="str">
        <x:f>IF('均值原始浓度'!B77="","",'均值原始浓度'!B77)</x:f>
        <x:v>2-甲基吡嗪</x:v>
      </x:c>
      <x:c r="C77" s="5" t="str">
        <x:f>IF('均值原始浓度'!C77="","",'均值原始浓度'!C77)</x:f>
        <x:v>109-08-0</x:v>
      </x:c>
      <x:c r="D77" s="5" t="n">
        <x:f>COUNT('均值原始浓度'!E77:DM77)</x:f>
        <x:v>16</x:v>
      </x:c>
      <x:c r="E77" s="6" t="str">
        <x:f>IF('均值原始浓度'!D77&gt;0,'均值原始浓度'!D77,"")</x:f>
      </x:c>
      <x:c r="F77" s="6" t="n">
        <x:f>IF(D77=0,"",AVERAGE('均值原始浓度'!E77:DM77))</x:f>
        <x:v>713.325</x:v>
      </x:c>
      <x:c r="G77" s="6" t="str">
        <x:f>IF(AND(D77&gt;0,ISNUMBER(E77),E77&gt;0),F77/E77,"")</x:f>
      </x:c>
      <x:c r="H77" s="5" t="str">
        <x:f>IF(NOT(ISNUMBER(G77)),"待定",IF(G77&lt;1,"固定基底候选","参与浓度设计"))</x:f>
        <x:v>待定</x:v>
      </x:c>
      <x:c r="I77" s="5" t="str">
        <x:f>"否"</x:f>
        <x:v>否</x:v>
      </x:c>
    </x:row>
    <x:row r="78">
      <x:c r="A78" s="5" t="n">
        <x:f>'均值原始浓度'!A78</x:f>
        <x:v>73</x:v>
      </x:c>
      <x:c r="B78" s="5" t="str">
        <x:f>IF('均值原始浓度'!B78="","",'均值原始浓度'!B78)</x:f>
      </x:c>
      <x:c r="C78" s="5" t="str">
        <x:f>IF('均值原始浓度'!C78="","",'均值原始浓度'!C78)</x:f>
        <x:v>109-20-6</x:v>
      </x:c>
      <x:c r="D78" s="5" t="n">
        <x:f>COUNT('均值原始浓度'!E78:DM78)</x:f>
        <x:v>1</x:v>
      </x:c>
      <x:c r="E78" s="6" t="str">
        <x:f>IF('均值原始浓度'!D78&gt;0,'均值原始浓度'!D78,"")</x:f>
      </x:c>
      <x:c r="F78" s="6" t="n">
        <x:f>IF(D78=0,"",AVERAGE('均值原始浓度'!E78:DM78))</x:f>
        <x:v>0.08</x:v>
      </x:c>
      <x:c r="G78" s="6" t="str">
        <x:f>IF(AND(D78&gt;0,ISNUMBER(E78),E78&gt;0),F78/E78,"")</x:f>
      </x:c>
      <x:c r="H78" s="5" t="str">
        <x:f>IF(NOT(ISNUMBER(G78)),"待定",IF(G78&lt;1,"固定基底候选","参与浓度设计"))</x:f>
        <x:v>待定</x:v>
      </x:c>
      <x:c r="I78" s="5" t="str">
        <x:f>"否"</x:f>
        <x:v>否</x:v>
      </x:c>
    </x:row>
    <x:row r="79">
      <x:c r="A79" s="5" t="n">
        <x:f>'均值原始浓度'!A79</x:f>
        <x:v>74</x:v>
      </x:c>
      <x:c r="B79" s="5" t="str">
        <x:f>IF('均值原始浓度'!B79="","",'均值原始浓度'!B79)</x:f>
        <x:v>丁酸丁酯</x:v>
      </x:c>
      <x:c r="C79" s="5" t="str">
        <x:f>IF('均值原始浓度'!C79="","",'均值原始浓度'!C79)</x:f>
        <x:v>109-21-7</x:v>
      </x:c>
      <x:c r="D79" s="5" t="n">
        <x:f>COUNT('均值原始浓度'!E79:DM79)</x:f>
        <x:v>9</x:v>
      </x:c>
      <x:c r="E79" s="6" t="n">
        <x:f>IF('均值原始浓度'!D79&gt;0,'均值原始浓度'!D79,"")</x:f>
        <x:v>1385.19</x:v>
      </x:c>
      <x:c r="F79" s="6" t="n">
        <x:f>IF(D79=0,"",AVERAGE('均值原始浓度'!E79:DM79))</x:f>
        <x:v>2701.467777777778</x:v>
      </x:c>
      <x:c r="G79" s="6" t="n">
        <x:f>IF(AND(D79&gt;0,ISNUMBER(E79),E79&gt;0),F79/E79,"")</x:f>
        <x:v>1.950250707684706</x:v>
      </x:c>
      <x:c r="H79" s="5" t="str">
        <x:f>IF(NOT(ISNUMBER(G79)),"待定",IF(G79&lt;1,"固定基底候选","参与浓度设计"))</x:f>
        <x:v>参与浓度设计</x:v>
      </x:c>
      <x:c r="I79" s="5" t="str">
        <x:f>"否"</x:f>
        <x:v>否</x:v>
      </x:c>
    </x:row>
    <x:row r="80">
      <x:c r="A80" s="5" t="n">
        <x:f>'均值原始浓度'!A80</x:f>
        <x:v>75</x:v>
      </x:c>
      <x:c r="B80" s="5" t="str">
        <x:f>IF('均值原始浓度'!B80="","",'均值原始浓度'!B80)</x:f>
        <x:v>戊酸</x:v>
      </x:c>
      <x:c r="C80" s="5" t="str">
        <x:f>IF('均值原始浓度'!C80="","",'均值原始浓度'!C80)</x:f>
        <x:v>109-52-4</x:v>
      </x:c>
      <x:c r="D80" s="5" t="n">
        <x:f>COUNT('均值原始浓度'!E80:DM80)</x:f>
        <x:v>91</x:v>
      </x:c>
      <x:c r="E80" s="6" t="n">
        <x:f>IF('均值原始浓度'!D80&gt;0,'均值原始浓度'!D80,"")</x:f>
        <x:v>389</x:v>
      </x:c>
      <x:c r="F80" s="6" t="n">
        <x:f>IF(D80=0,"",AVERAGE('均值原始浓度'!E80:DM80))</x:f>
        <x:v>12082.561978021977</x:v>
      </x:c>
      <x:c r="G80" s="6" t="n">
        <x:f>IF(AND(D80&gt;0,ISNUMBER(E80),E80&gt;0),F80/E80,"")</x:f>
        <x:v>31.06057063758863</x:v>
      </x:c>
      <x:c r="H80" s="5" t="str">
        <x:f>IF(NOT(ISNUMBER(G80)),"待定",IF(G80&lt;1,"固定基底候选","参与浓度设计"))</x:f>
        <x:v>参与浓度设计</x:v>
      </x:c>
      <x:c r="I80" s="5" t="str">
        <x:f>"是"</x:f>
        <x:v>是</x:v>
      </x:c>
    </x:row>
    <x:row r="81">
      <x:c r="A81" s="5" t="n">
        <x:f>'均值原始浓度'!A81</x:f>
        <x:v>76</x:v>
      </x:c>
      <x:c r="B81" s="5" t="str">
        <x:f>IF('均值原始浓度'!B81="","",'均值原始浓度'!B81)</x:f>
        <x:v>乙酸丙酯</x:v>
      </x:c>
      <x:c r="C81" s="5" t="str">
        <x:f>IF('均值原始浓度'!C81="","",'均值原始浓度'!C81)</x:f>
        <x:v>109-60-4</x:v>
      </x:c>
      <x:c r="D81" s="5" t="n">
        <x:f>COUNT('均值原始浓度'!E81:DM81)</x:f>
        <x:v>2</x:v>
      </x:c>
      <x:c r="E81" s="6" t="str">
        <x:f>IF('均值原始浓度'!D81&gt;0,'均值原始浓度'!D81,"")</x:f>
      </x:c>
      <x:c r="F81" s="6" t="n">
        <x:f>IF(D81=0,"",AVERAGE('均值原始浓度'!E81:DM81))</x:f>
        <x:v>601</x:v>
      </x:c>
      <x:c r="G81" s="6" t="str">
        <x:f>IF(AND(D81&gt;0,ISNUMBER(E81),E81&gt;0),F81/E81,"")</x:f>
      </x:c>
      <x:c r="H81" s="5" t="str">
        <x:f>IF(NOT(ISNUMBER(G81)),"待定",IF(G81&lt;1,"固定基底候选","参与浓度设计"))</x:f>
        <x:v>待定</x:v>
      </x:c>
      <x:c r="I81" s="5" t="str">
        <x:f>"否"</x:f>
        <x:v>否</x:v>
      </x:c>
    </x:row>
    <x:row r="82">
      <x:c r="A82" s="5" t="n">
        <x:f>'均值原始浓度'!A82</x:f>
        <x:v>77</x:v>
      </x:c>
      <x:c r="B82" s="5" t="str">
        <x:f>IF('均值原始浓度'!B82="","",'均值原始浓度'!B82)</x:f>
        <x:v>甲酸乙酯</x:v>
      </x:c>
      <x:c r="C82" s="5" t="str">
        <x:f>IF('均值原始浓度'!C82="","",'均值原始浓度'!C82)</x:f>
        <x:v>109-94-4</x:v>
      </x:c>
      <x:c r="D82" s="5" t="n">
        <x:f>COUNT('均值原始浓度'!E82:DM82)</x:f>
        <x:v>13</x:v>
      </x:c>
      <x:c r="E82" s="6" t="str">
        <x:f>IF('均值原始浓度'!D82&gt;0,'均值原始浓度'!D82,"")</x:f>
      </x:c>
      <x:c r="F82" s="6" t="n">
        <x:f>IF(D82=0,"",AVERAGE('均值原始浓度'!E82:DM82))</x:f>
        <x:v>187.57538461538462</x:v>
      </x:c>
      <x:c r="G82" s="6" t="str">
        <x:f>IF(AND(D82&gt;0,ISNUMBER(E82),E82&gt;0),F82/E82,"")</x:f>
      </x:c>
      <x:c r="H82" s="5" t="str">
        <x:f>IF(NOT(ISNUMBER(G82)),"待定",IF(G82&lt;1,"固定基底候选","参与浓度设计"))</x:f>
        <x:v>待定</x:v>
      </x:c>
      <x:c r="I82" s="5" t="str">
        <x:f>"否"</x:f>
        <x:v>否</x:v>
      </x:c>
    </x:row>
    <x:row r="83">
      <x:c r="A83" s="5" t="n">
        <x:f>'均值原始浓度'!A83</x:f>
        <x:v>78</x:v>
      </x:c>
      <x:c r="B83" s="5" t="str">
        <x:f>IF('均值原始浓度'!B83="","",'均值原始浓度'!B83)</x:f>
        <x:v>乙酸异丁酯</x:v>
      </x:c>
      <x:c r="C83" s="5" t="str">
        <x:f>IF('均值原始浓度'!C83="","",'均值原始浓度'!C83)</x:f>
        <x:v>110-19-0</x:v>
      </x:c>
      <x:c r="D83" s="5" t="n">
        <x:f>COUNT('均值原始浓度'!E83:DM83)</x:f>
        <x:v>21</x:v>
      </x:c>
      <x:c r="E83" s="6" t="str">
        <x:f>IF('均值原始浓度'!D83&gt;0,'均值原始浓度'!D83,"")</x:f>
      </x:c>
      <x:c r="F83" s="6" t="n">
        <x:f>IF(D83=0,"",AVERAGE('均值原始浓度'!E83:DM83))</x:f>
        <x:v>7419.732857142858</x:v>
      </x:c>
      <x:c r="G83" s="6" t="str">
        <x:f>IF(AND(D83&gt;0,ISNUMBER(E83),E83&gt;0),F83/E83,"")</x:f>
      </x:c>
      <x:c r="H83" s="5" t="str">
        <x:f>IF(NOT(ISNUMBER(G83)),"待定",IF(G83&lt;1,"固定基底候选","参与浓度设计"))</x:f>
        <x:v>待定</x:v>
      </x:c>
      <x:c r="I83" s="5" t="str">
        <x:f>"否"</x:f>
        <x:v>否</x:v>
      </x:c>
    </x:row>
    <x:row r="84">
      <x:c r="A84" s="5" t="n">
        <x:f>'均值原始浓度'!A84</x:f>
        <x:v>79</x:v>
      </x:c>
      <x:c r="B84" s="5" t="str">
        <x:f>IF('均值原始浓度'!B84="","",'均值原始浓度'!B84)</x:f>
        <x:v>癸酸乙酯</x:v>
      </x:c>
      <x:c r="C84" s="5" t="str">
        <x:f>IF('均值原始浓度'!C84="","",'均值原始浓度'!C84)</x:f>
        <x:v>110-38-3</x:v>
      </x:c>
      <x:c r="D84" s="5" t="n">
        <x:f>COUNT('均值原始浓度'!E84:DM84)</x:f>
        <x:v>89</x:v>
      </x:c>
      <x:c r="E84" s="6" t="n">
        <x:f>IF('均值原始浓度'!D84&gt;0,'均值原始浓度'!D84,"")</x:f>
        <x:v>1120</x:v>
      </x:c>
      <x:c r="F84" s="6" t="n">
        <x:f>IF(D84=0,"",AVERAGE('均值原始浓度'!E84:DM84))</x:f>
        <x:v>4700.830561797755</x:v>
      </x:c>
      <x:c r="G84" s="6" t="n">
        <x:f>IF(AND(D84&gt;0,ISNUMBER(E84),E84&gt;0),F84/E84,"")</x:f>
        <x:v>4.197170144462281</x:v>
      </x:c>
      <x:c r="H84" s="5" t="str">
        <x:f>IF(NOT(ISNUMBER(G84)),"待定",IF(G84&lt;1,"固定基底候选","参与浓度设计"))</x:f>
        <x:v>参与浓度设计</x:v>
      </x:c>
      <x:c r="I84" s="5" t="str">
        <x:f>"是"</x:f>
        <x:v>是</x:v>
      </x:c>
    </x:row>
    <x:row r="85">
      <x:c r="A85" s="5" t="n">
        <x:f>'均值原始浓度'!A85</x:f>
        <x:v>80</x:v>
      </x:c>
      <x:c r="B85" s="5" t="str">
        <x:f>IF('均值原始浓度'!B85="","",'均值原始浓度'!B85)</x:f>
      </x:c>
      <x:c r="C85" s="5" t="str">
        <x:f>IF('均值原始浓度'!C85="","",'均值原始浓度'!C85)</x:f>
        <x:v>110-39-4</x:v>
      </x:c>
      <x:c r="D85" s="5" t="n">
        <x:f>COUNT('均值原始浓度'!E85:DM85)</x:f>
        <x:v>6</x:v>
      </x:c>
      <x:c r="E85" s="6" t="str">
        <x:f>IF('均值原始浓度'!D85&gt;0,'均值原始浓度'!D85,"")</x:f>
      </x:c>
      <x:c r="F85" s="6" t="n">
        <x:f>IF(D85=0,"",AVERAGE('均值原始浓度'!E85:DM85))</x:f>
        <x:v>397.5</x:v>
      </x:c>
      <x:c r="G85" s="6" t="str">
        <x:f>IF(AND(D85&gt;0,ISNUMBER(E85),E85&gt;0),F85/E85,"")</x:f>
      </x:c>
      <x:c r="H85" s="5" t="str">
        <x:f>IF(NOT(ISNUMBER(G85)),"待定",IF(G85&lt;1,"固定基底候选","参与浓度设计"))</x:f>
        <x:v>待定</x:v>
      </x:c>
      <x:c r="I85" s="5" t="str">
        <x:f>"否"</x:f>
        <x:v>否</x:v>
      </x:c>
    </x:row>
    <x:row r="86">
      <x:c r="A86" s="5" t="n">
        <x:f>'均值原始浓度'!A86</x:f>
        <x:v>81</x:v>
      </x:c>
      <x:c r="B86" s="5" t="str">
        <x:f>IF('均值原始浓度'!B86="","",'均值原始浓度'!B86)</x:f>
        <x:v>2-庚酮</x:v>
      </x:c>
      <x:c r="C86" s="5" t="str">
        <x:f>IF('均值原始浓度'!C86="","",'均值原始浓度'!C86)</x:f>
        <x:v>110-43-0</x:v>
      </x:c>
      <x:c r="D86" s="5" t="n">
        <x:f>COUNT('均值原始浓度'!E86:DM86)</x:f>
        <x:v>4</x:v>
      </x:c>
      <x:c r="E86" s="6" t="str">
        <x:f>IF('均值原始浓度'!D86&gt;0,'均值原始浓度'!D86,"")</x:f>
      </x:c>
      <x:c r="F86" s="6" t="n">
        <x:f>IF(D86=0,"",AVERAGE('均值原始浓度'!E86:DM86))</x:f>
        <x:v>240.9075</x:v>
      </x:c>
      <x:c r="G86" s="6" t="str">
        <x:f>IF(AND(D86&gt;0,ISNUMBER(E86),E86&gt;0),F86/E86,"")</x:f>
      </x:c>
      <x:c r="H86" s="5" t="str">
        <x:f>IF(NOT(ISNUMBER(G86)),"待定",IF(G86&lt;1,"固定基底候选","参与浓度设计"))</x:f>
        <x:v>待定</x:v>
      </x:c>
      <x:c r="I86" s="5" t="str">
        <x:f>"否"</x:f>
        <x:v>否</x:v>
      </x:c>
    </x:row>
    <x:row r="87">
      <x:c r="A87" s="5" t="n">
        <x:f>'均值原始浓度'!A87</x:f>
        <x:v>82</x:v>
      </x:c>
      <x:c r="B87" s="5" t="str">
        <x:f>IF('均值原始浓度'!B87="","",'均值原始浓度'!B87)</x:f>
        <x:v>戊醛</x:v>
      </x:c>
      <x:c r="C87" s="5" t="str">
        <x:f>IF('均值原始浓度'!C87="","",'均值原始浓度'!C87)</x:f>
        <x:v>110-62-3</x:v>
      </x:c>
      <x:c r="D87" s="5" t="n">
        <x:f>COUNT('均值原始浓度'!E87:DM87)</x:f>
        <x:v>14</x:v>
      </x:c>
      <x:c r="E87" s="6" t="str">
        <x:f>IF('均值原始浓度'!D87&gt;0,'均值原始浓度'!D87,"")</x:f>
      </x:c>
      <x:c r="F87" s="6" t="n">
        <x:f>IF(D87=0,"",AVERAGE('均值原始浓度'!E87:DM87))</x:f>
        <x:v>122.87928571428571</x:v>
      </x:c>
      <x:c r="G87" s="6" t="str">
        <x:f>IF(AND(D87&gt;0,ISNUMBER(E87),E87&gt;0),F87/E87,"")</x:f>
      </x:c>
      <x:c r="H87" s="5" t="str">
        <x:f>IF(NOT(ISNUMBER(G87)),"待定",IF(G87&lt;1,"固定基底候选","参与浓度设计"))</x:f>
        <x:v>待定</x:v>
      </x:c>
      <x:c r="I87" s="5" t="str">
        <x:f>"否"</x:f>
        <x:v>否</x:v>
      </x:c>
    </x:row>
    <x:row r="88">
      <x:c r="A88" s="5" t="n">
        <x:f>'均值原始浓度'!A88</x:f>
        <x:v>83</x:v>
      </x:c>
      <x:c r="B88" s="5" t="str">
        <x:f>IF('均值原始浓度'!B88="","",'均值原始浓度'!B88)</x:f>
        <x:v>2-辛酮</x:v>
      </x:c>
      <x:c r="C88" s="5" t="str">
        <x:f>IF('均值原始浓度'!C88="","",'均值原始浓度'!C88)</x:f>
        <x:v>111-13-7</x:v>
      </x:c>
      <x:c r="D88" s="5" t="n">
        <x:f>COUNT('均值原始浓度'!E88:DM88)</x:f>
        <x:v>26</x:v>
      </x:c>
      <x:c r="E88" s="6" t="n">
        <x:f>IF('均值原始浓度'!D88&gt;0,'均值原始浓度'!D88,"")</x:f>
        <x:v>250</x:v>
      </x:c>
      <x:c r="F88" s="6" t="n">
        <x:f>IF(D88=0,"",AVERAGE('均值原始浓度'!E88:DM88))</x:f>
        <x:v>377.56423076923085</x:v>
      </x:c>
      <x:c r="G88" s="6" t="n">
        <x:f>IF(AND(D88&gt;0,ISNUMBER(E88),E88&gt;0),F88/E88,"")</x:f>
        <x:v>1.5102569230769234</x:v>
      </x:c>
      <x:c r="H88" s="5" t="str">
        <x:f>IF(NOT(ISNUMBER(G88)),"待定",IF(G88&lt;1,"固定基底候选","参与浓度设计"))</x:f>
        <x:v>参与浓度设计</x:v>
      </x:c>
      <x:c r="I88" s="5" t="str">
        <x:f>"否"</x:f>
        <x:v>否</x:v>
      </x:c>
    </x:row>
    <x:row r="89">
      <x:c r="A89" s="5" t="n">
        <x:f>'均值原始浓度'!A89</x:f>
        <x:v>84</x:v>
      </x:c>
      <x:c r="B89" s="5" t="str">
        <x:f>IF('均值原始浓度'!B89="","",'均值原始浓度'!B89)</x:f>
        <x:v>庚酸</x:v>
      </x:c>
      <x:c r="C89" s="5" t="str">
        <x:f>IF('均值原始浓度'!C89="","",'均值原始浓度'!C89)</x:f>
        <x:v>111-14-8</x:v>
      </x:c>
      <x:c r="D89" s="5" t="n">
        <x:f>COUNT('均值原始浓度'!E89:DM89)</x:f>
        <x:v>80</x:v>
      </x:c>
      <x:c r="E89" s="6" t="str">
        <x:f>IF('均值原始浓度'!D89&gt;0,'均值原始浓度'!D89,"")</x:f>
      </x:c>
      <x:c r="F89" s="6" t="n">
        <x:f>IF(D89=0,"",AVERAGE('均值原始浓度'!E89:DM89))</x:f>
        <x:v>5684.241749999998</x:v>
      </x:c>
      <x:c r="G89" s="6" t="str">
        <x:f>IF(AND(D89&gt;0,ISNUMBER(E89),E89&gt;0),F89/E89,"")</x:f>
      </x:c>
      <x:c r="H89" s="5" t="str">
        <x:f>IF(NOT(ISNUMBER(G89)),"待定",IF(G89&lt;1,"固定基底候选","参与浓度设计"))</x:f>
        <x:v>待定</x:v>
      </x:c>
      <x:c r="I89" s="5" t="str">
        <x:f>"否"</x:f>
        <x:v>否</x:v>
      </x:c>
    </x:row>
    <x:row r="90">
      <x:c r="A90" s="5" t="n">
        <x:f>'均值原始浓度'!A90</x:f>
        <x:v>85</x:v>
      </x:c>
      <x:c r="B90" s="5" t="str">
        <x:f>IF('均值原始浓度'!B90="","",'均值原始浓度'!B90)</x:f>
        <x:v>1-己醇</x:v>
      </x:c>
      <x:c r="C90" s="5" t="str">
        <x:f>IF('均值原始浓度'!C90="","",'均值原始浓度'!C90)</x:f>
        <x:v>111-27-3</x:v>
      </x:c>
      <x:c r="D90" s="5" t="n">
        <x:f>COUNT('均值原始浓度'!E90:DM90)</x:f>
        <x:v>95</x:v>
      </x:c>
      <x:c r="E90" s="6" t="n">
        <x:f>IF('均值原始浓度'!D90&gt;0,'均值原始浓度'!D90,"")</x:f>
        <x:v>5370</x:v>
      </x:c>
      <x:c r="F90" s="6" t="n">
        <x:f>IF(D90=0,"",AVERAGE('均值原始浓度'!E90:DM90))</x:f>
        <x:v>153318.30499999996</x:v>
      </x:c>
      <x:c r="G90" s="6" t="n">
        <x:f>IF(AND(D90&gt;0,ISNUMBER(E90),E90&gt;0),F90/E90,"")</x:f>
        <x:v>28.550894785847294</x:v>
      </x:c>
      <x:c r="H90" s="5" t="str">
        <x:f>IF(NOT(ISNUMBER(G90)),"待定",IF(G90&lt;1,"固定基底候选","参与浓度设计"))</x:f>
        <x:v>参与浓度设计</x:v>
      </x:c>
      <x:c r="I90" s="5" t="str">
        <x:f>"是"</x:f>
        <x:v>是</x:v>
      </x:c>
    </x:row>
    <x:row r="91">
      <x:c r="A91" s="5" t="n">
        <x:f>'均值原始浓度'!A91</x:f>
        <x:v>86</x:v>
      </x:c>
      <x:c r="B91" s="5" t="str">
        <x:f>IF('均值原始浓度'!B91="","",'均值原始浓度'!B91)</x:f>
        <x:v>硬脂酸乙酯</x:v>
      </x:c>
      <x:c r="C91" s="5" t="str">
        <x:f>IF('均值原始浓度'!C91="","",'均值原始浓度'!C91)</x:f>
        <x:v>111-61-5</x:v>
      </x:c>
      <x:c r="D91" s="5" t="n">
        <x:f>COUNT('均值原始浓度'!E91:DM91)</x:f>
        <x:v>3</x:v>
      </x:c>
      <x:c r="E91" s="6" t="str">
        <x:f>IF('均值原始浓度'!D91&gt;0,'均值原始浓度'!D91,"")</x:f>
      </x:c>
      <x:c r="F91" s="6" t="n">
        <x:f>IF(D91=0,"",AVERAGE('均值原始浓度'!E91:DM91))</x:f>
        <x:v>2.22</x:v>
      </x:c>
      <x:c r="G91" s="6" t="str">
        <x:f>IF(AND(D91&gt;0,ISNUMBER(E91),E91&gt;0),F91/E91,"")</x:f>
      </x:c>
      <x:c r="H91" s="5" t="str">
        <x:f>IF(NOT(ISNUMBER(G91)),"待定",IF(G91&lt;1,"固定基底候选","参与浓度设计"))</x:f>
        <x:v>待定</x:v>
      </x:c>
      <x:c r="I91" s="5" t="str">
        <x:f>"否"</x:f>
        <x:v>否</x:v>
      </x:c>
    </x:row>
    <x:row r="92">
      <x:c r="A92" s="5" t="n">
        <x:f>'均值原始浓度'!A92</x:f>
        <x:v>87</x:v>
      </x:c>
      <x:c r="B92" s="5" t="str">
        <x:f>IF('均值原始浓度'!B92="","",'均值原始浓度'!B92)</x:f>
        <x:v>油酸乙酯</x:v>
      </x:c>
      <x:c r="C92" s="5" t="str">
        <x:f>IF('均值原始浓度'!C92="","",'均值原始浓度'!C92)</x:f>
        <x:v>111-62-6</x:v>
      </x:c>
      <x:c r="D92" s="5" t="n">
        <x:f>COUNT('均值原始浓度'!E92:DM92)</x:f>
        <x:v>11</x:v>
      </x:c>
      <x:c r="E92" s="6" t="str">
        <x:f>IF('均值原始浓度'!D92&gt;0,'均值原始浓度'!D92,"")</x:f>
      </x:c>
      <x:c r="F92" s="6" t="n">
        <x:f>IF(D92=0,"",AVERAGE('均值原始浓度'!E92:DM92))</x:f>
        <x:v>9070.738181818182</x:v>
      </x:c>
      <x:c r="G92" s="6" t="str">
        <x:f>IF(AND(D92&gt;0,ISNUMBER(E92),E92&gt;0),F92/E92,"")</x:f>
      </x:c>
      <x:c r="H92" s="5" t="str">
        <x:f>IF(NOT(ISNUMBER(G92)),"待定",IF(G92&lt;1,"固定基底候选","参与浓度设计"))</x:f>
        <x:v>待定</x:v>
      </x:c>
      <x:c r="I92" s="5" t="str">
        <x:f>"否"</x:f>
        <x:v>否</x:v>
      </x:c>
    </x:row>
    <x:row r="93">
      <x:c r="A93" s="5" t="n">
        <x:f>'均值原始浓度'!A93</x:f>
        <x:v>88</x:v>
      </x:c>
      <x:c r="B93" s="5" t="str">
        <x:f>IF('均值原始浓度'!B93="","",'均值原始浓度'!B93)</x:f>
        <x:v>庚醇</x:v>
      </x:c>
      <x:c r="C93" s="5" t="str">
        <x:f>IF('均值原始浓度'!C93="","",'均值原始浓度'!C93)</x:f>
        <x:v>111-70-6</x:v>
      </x:c>
      <x:c r="D93" s="5" t="n">
        <x:f>COUNT('均值原始浓度'!E93:DM93)</x:f>
        <x:v>24</x:v>
      </x:c>
      <x:c r="E93" s="6" t="n">
        <x:f>IF('均值原始浓度'!D93&gt;0,'均值原始浓度'!D93,"")</x:f>
        <x:v>26600</x:v>
      </x:c>
      <x:c r="F93" s="6" t="n">
        <x:f>IF(D93=0,"",AVERAGE('均值原始浓度'!E93:DM93))</x:f>
        <x:v>3573.886249999999</x:v>
      </x:c>
      <x:c r="G93" s="6" t="n">
        <x:f>IF(AND(D93&gt;0,ISNUMBER(E93),E93&gt;0),F93/E93,"")</x:f>
        <x:v>0.1343566259398496</x:v>
      </x:c>
      <x:c r="H93" s="5" t="str">
        <x:f>IF(NOT(ISNUMBER(G93)),"待定",IF(G93&lt;1,"固定基底候选","参与浓度设计"))</x:f>
        <x:v>固定基底候选</x:v>
      </x:c>
      <x:c r="I93" s="5" t="str">
        <x:f>"否"</x:f>
        <x:v>否</x:v>
      </x:c>
    </x:row>
    <x:row r="94">
      <x:c r="A94" s="5" t="n">
        <x:f>'均值原始浓度'!A94</x:f>
        <x:v>89</x:v>
      </x:c>
      <x:c r="B94" s="5" t="str">
        <x:f>IF('均值原始浓度'!B94="","",'均值原始浓度'!B94)</x:f>
      </x:c>
      <x:c r="C94" s="5" t="str">
        <x:f>IF('均值原始浓度'!C94="","",'均值原始浓度'!C94)</x:f>
        <x:v>111-71-7</x:v>
      </x:c>
      <x:c r="D94" s="5" t="n">
        <x:f>COUNT('均值原始浓度'!E94:DM94)</x:f>
        <x:v>1</x:v>
      </x:c>
      <x:c r="E94" s="6" t="str">
        <x:f>IF('均值原始浓度'!D94&gt;0,'均值原始浓度'!D94,"")</x:f>
      </x:c>
      <x:c r="F94" s="6" t="n">
        <x:f>IF(D94=0,"",AVERAGE('均值原始浓度'!E94:DM94))</x:f>
        <x:v>0.2</x:v>
      </x:c>
      <x:c r="G94" s="6" t="str">
        <x:f>IF(AND(D94&gt;0,ISNUMBER(E94),E94&gt;0),F94/E94,"")</x:f>
      </x:c>
      <x:c r="H94" s="5" t="str">
        <x:f>IF(NOT(ISNUMBER(G94)),"待定",IF(G94&lt;1,"固定基底候选","参与浓度设计"))</x:f>
        <x:v>待定</x:v>
      </x:c>
      <x:c r="I94" s="5" t="str">
        <x:f>"否"</x:f>
        <x:v>否</x:v>
      </x:c>
    </x:row>
    <x:row r="95">
      <x:c r="A95" s="5" t="n">
        <x:f>'均值原始浓度'!A95</x:f>
        <x:v>90</x:v>
      </x:c>
      <x:c r="B95" s="5" t="str">
        <x:f>IF('均值原始浓度'!B95="","",'均值原始浓度'!B95)</x:f>
        <x:v>1-辛醇</x:v>
      </x:c>
      <x:c r="C95" s="5" t="str">
        <x:f>IF('均值原始浓度'!C95="","",'均值原始浓度'!C95)</x:f>
        <x:v>111-87-5</x:v>
      </x:c>
      <x:c r="D95" s="5" t="n">
        <x:f>COUNT('均值原始浓度'!E95:DM95)</x:f>
        <x:v>53</x:v>
      </x:c>
      <x:c r="E95" s="6" t="n">
        <x:f>IF('均值原始浓度'!D95&gt;0,'均值原始浓度'!D95,"")</x:f>
        <x:v>1100</x:v>
      </x:c>
      <x:c r="F95" s="6" t="n">
        <x:f>IF(D95=0,"",AVERAGE('均值原始浓度'!E95:DM95))</x:f>
        <x:v>2260.9195283018867</x:v>
      </x:c>
      <x:c r="G95" s="6" t="n">
        <x:f>IF(AND(D95&gt;0,ISNUMBER(E95),E95&gt;0),F95/E95,"")</x:f>
        <x:v>2.0553813893653516</x:v>
      </x:c>
      <x:c r="H95" s="5" t="str">
        <x:f>IF(NOT(ISNUMBER(G95)),"待定",IF(G95&lt;1,"固定基底候选","参与浓度设计"))</x:f>
        <x:v>参与浓度设计</x:v>
      </x:c>
      <x:c r="I95" s="5" t="str">
        <x:f>"是"</x:f>
        <x:v>是</x:v>
      </x:c>
    </x:row>
    <x:row r="96">
      <x:c r="A96" s="5" t="n">
        <x:f>'均值原始浓度'!A96</x:f>
        <x:v>91</x:v>
      </x:c>
      <x:c r="B96" s="5" t="str">
        <x:f>IF('均值原始浓度'!B96="","",'均值原始浓度'!B96)</x:f>
        <x:v>壬酸</x:v>
      </x:c>
      <x:c r="C96" s="5" t="str">
        <x:f>IF('均值原始浓度'!C96="","",'均值原始浓度'!C96)</x:f>
        <x:v>112-05-0</x:v>
      </x:c>
      <x:c r="D96" s="5" t="n">
        <x:f>COUNT('均值原始浓度'!E96:DM96)</x:f>
        <x:v>39</x:v>
      </x:c>
      <x:c r="E96" s="6" t="str">
        <x:f>IF('均值原始浓度'!D96&gt;0,'均值原始浓度'!D96,"")</x:f>
      </x:c>
      <x:c r="F96" s="6" t="n">
        <x:f>IF(D96=0,"",AVERAGE('均值原始浓度'!E96:DM96))</x:f>
        <x:v>1977.1238461538458</x:v>
      </x:c>
      <x:c r="G96" s="6" t="str">
        <x:f>IF(AND(D96&gt;0,ISNUMBER(E96),E96&gt;0),F96/E96,"")</x:f>
      </x:c>
      <x:c r="H96" s="5" t="str">
        <x:f>IF(NOT(ISNUMBER(G96)),"待定",IF(G96&lt;1,"固定基底候选","参与浓度设计"))</x:f>
        <x:v>待定</x:v>
      </x:c>
      <x:c r="I96" s="5" t="str">
        <x:f>"否"</x:f>
        <x:v>否</x:v>
      </x:c>
    </x:row>
    <x:row r="97">
      <x:c r="A97" s="5" t="n">
        <x:f>'均值原始浓度'!A97</x:f>
        <x:v>92</x:v>
      </x:c>
      <x:c r="B97" s="5" t="str">
        <x:f>IF('均值原始浓度'!B97="","",'均值原始浓度'!B97)</x:f>
      </x:c>
      <x:c r="C97" s="5" t="str">
        <x:f>IF('均值原始浓度'!C97="","",'均值原始浓度'!C97)</x:f>
        <x:v>112-05-9</x:v>
      </x:c>
      <x:c r="D97" s="5" t="n">
        <x:f>COUNT('均值原始浓度'!E97:DM97)</x:f>
        <x:v>3</x:v>
      </x:c>
      <x:c r="E97" s="6" t="str">
        <x:f>IF('均值原始浓度'!D97&gt;0,'均值原始浓度'!D97,"")</x:f>
      </x:c>
      <x:c r="F97" s="6" t="n">
        <x:f>IF(D97=0,"",AVERAGE('均值原始浓度'!E97:DM97))</x:f>
        <x:v>17.883333333333336</x:v>
      </x:c>
      <x:c r="G97" s="6" t="str">
        <x:f>IF(AND(D97&gt;0,ISNUMBER(E97),E97&gt;0),F97/E97,"")</x:f>
      </x:c>
      <x:c r="H97" s="5" t="str">
        <x:f>IF(NOT(ISNUMBER(G97)),"待定",IF(G97&lt;1,"固定基底候选","参与浓度设计"))</x:f>
        <x:v>待定</x:v>
      </x:c>
      <x:c r="I97" s="5" t="str">
        <x:f>"否"</x:f>
        <x:v>否</x:v>
      </x:c>
    </x:row>
    <x:row r="98">
      <x:c r="A98" s="5" t="n">
        <x:f>'均值原始浓度'!A98</x:f>
        <x:v>93</x:v>
      </x:c>
      <x:c r="B98" s="5" t="str">
        <x:f>IF('均值原始浓度'!B98="","",'均值原始浓度'!B98)</x:f>
        <x:v>乙酸庚酯</x:v>
      </x:c>
      <x:c r="C98" s="5" t="str">
        <x:f>IF('均值原始浓度'!C98="","",'均值原始浓度'!C98)</x:f>
        <x:v>112-06-1</x:v>
      </x:c>
      <x:c r="D98" s="5" t="n">
        <x:f>COUNT('均值原始浓度'!E98:DM98)</x:f>
        <x:v>5</x:v>
      </x:c>
      <x:c r="E98" s="6" t="str">
        <x:f>IF('均值原始浓度'!D98&gt;0,'均值原始浓度'!D98,"")</x:f>
      </x:c>
      <x:c r="F98" s="6" t="n">
        <x:f>IF(D98=0,"",AVERAGE('均值原始浓度'!E98:DM98))</x:f>
        <x:v>146.236</x:v>
      </x:c>
      <x:c r="G98" s="6" t="str">
        <x:f>IF(AND(D98&gt;0,ISNUMBER(E98),E98&gt;0),F98/E98,"")</x:f>
      </x:c>
      <x:c r="H98" s="5" t="str">
        <x:f>IF(NOT(ISNUMBER(G98)),"待定",IF(G98&lt;1,"固定基底候选","参与浓度设计"))</x:f>
        <x:v>待定</x:v>
      </x:c>
      <x:c r="I98" s="5" t="str">
        <x:f>"否"</x:f>
        <x:v>否</x:v>
      </x:c>
    </x:row>
    <x:row r="99">
      <x:c r="A99" s="5" t="n">
        <x:f>'均值原始浓度'!A99</x:f>
        <x:v>94</x:v>
      </x:c>
      <x:c r="B99" s="5" t="str">
        <x:f>IF('均值原始浓度'!B99="","",'均值原始浓度'!B99)</x:f>
        <x:v>2-十一酮</x:v>
      </x:c>
      <x:c r="C99" s="5" t="str">
        <x:f>IF('均值原始浓度'!C99="","",'均值原始浓度'!C99)</x:f>
        <x:v>112-12-9</x:v>
      </x:c>
      <x:c r="D99" s="5" t="n">
        <x:f>COUNT('均值原始浓度'!E99:DM99)</x:f>
        <x:v>20</x:v>
      </x:c>
      <x:c r="E99" s="6" t="str">
        <x:f>IF('均值原始浓度'!D99&gt;0,'均值原始浓度'!D99,"")</x:f>
      </x:c>
      <x:c r="F99" s="6" t="n">
        <x:f>IF(D99=0,"",AVERAGE('均值原始浓度'!E99:DM99))</x:f>
        <x:v>208.4275</x:v>
      </x:c>
      <x:c r="G99" s="6" t="str">
        <x:f>IF(AND(D99&gt;0,ISNUMBER(E99),E99&gt;0),F99/E99,"")</x:f>
      </x:c>
      <x:c r="H99" s="5" t="str">
        <x:f>IF(NOT(ISNUMBER(G99)),"待定",IF(G99&lt;1,"固定基底候选","参与浓度设计"))</x:f>
        <x:v>待定</x:v>
      </x:c>
      <x:c r="I99" s="5" t="str">
        <x:f>"否"</x:f>
        <x:v>否</x:v>
      </x:c>
    </x:row>
    <x:row r="100">
      <x:c r="A100" s="5" t="n">
        <x:f>'均值原始浓度'!A100</x:f>
        <x:v>95</x:v>
      </x:c>
      <x:c r="B100" s="5" t="str">
        <x:f>IF('均值原始浓度'!B100="","",'均值原始浓度'!B100)</x:f>
      </x:c>
      <x:c r="C100" s="5" t="str">
        <x:f>IF('均值原始浓度'!C100="","",'均值原始浓度'!C100)</x:f>
        <x:v>112-23-2</x:v>
      </x:c>
      <x:c r="D100" s="5" t="n">
        <x:f>COUNT('均值原始浓度'!E100:DM100)</x:f>
        <x:v>2</x:v>
      </x:c>
      <x:c r="E100" s="6" t="str">
        <x:f>IF('均值原始浓度'!D100&gt;0,'均值原始浓度'!D100,"")</x:f>
      </x:c>
      <x:c r="F100" s="6" t="n">
        <x:f>IF(D100=0,"",AVERAGE('均值原始浓度'!E100:DM100))</x:f>
        <x:v>2.355</x:v>
      </x:c>
      <x:c r="G100" s="6" t="str">
        <x:f>IF(AND(D100&gt;0,ISNUMBER(E100),E100&gt;0),F100/E100,"")</x:f>
      </x:c>
      <x:c r="H100" s="5" t="str">
        <x:f>IF(NOT(ISNUMBER(G100)),"待定",IF(G100&lt;1,"固定基底候选","参与浓度设计"))</x:f>
        <x:v>待定</x:v>
      </x:c>
      <x:c r="I100" s="5" t="str">
        <x:f>"否"</x:f>
        <x:v>否</x:v>
      </x:c>
    </x:row>
    <x:row r="101">
      <x:c r="A101" s="5" t="n">
        <x:f>'均值原始浓度'!A101</x:f>
        <x:v>96</x:v>
      </x:c>
      <x:c r="B101" s="5" t="str">
        <x:f>IF('均值原始浓度'!B101="","",'均值原始浓度'!B101)</x:f>
        <x:v>1-癸醇</x:v>
      </x:c>
      <x:c r="C101" s="5" t="str">
        <x:f>IF('均值原始浓度'!C101="","",'均值原始浓度'!C101)</x:f>
        <x:v>112-30-1</x:v>
      </x:c>
      <x:c r="D101" s="5" t="n">
        <x:f>COUNT('均值原始浓度'!E101:DM101)</x:f>
        <x:v>13</x:v>
      </x:c>
      <x:c r="E101" s="6" t="str">
        <x:f>IF('均值原始浓度'!D101&gt;0,'均值原始浓度'!D101,"")</x:f>
      </x:c>
      <x:c r="F101" s="6" t="n">
        <x:f>IF(D101=0,"",AVERAGE('均值原始浓度'!E101:DM101))</x:f>
        <x:v>29.104615384615386</x:v>
      </x:c>
      <x:c r="G101" s="6" t="str">
        <x:f>IF(AND(D101&gt;0,ISNUMBER(E101),E101&gt;0),F101/E101,"")</x:f>
      </x:c>
      <x:c r="H101" s="5" t="str">
        <x:f>IF(NOT(ISNUMBER(G101)),"待定",IF(G101&lt;1,"固定基底候选","参与浓度设计"))</x:f>
        <x:v>待定</x:v>
      </x:c>
      <x:c r="I101" s="5" t="str">
        <x:f>"否"</x:f>
        <x:v>否</x:v>
      </x:c>
    </x:row>
    <x:row r="102">
      <x:c r="A102" s="5" t="n">
        <x:f>'均值原始浓度'!A102</x:f>
        <x:v>97</x:v>
      </x:c>
      <x:c r="B102" s="5" t="str">
        <x:f>IF('均值原始浓度'!B102="","",'均值原始浓度'!B102)</x:f>
        <x:v>癸醛</x:v>
      </x:c>
      <x:c r="C102" s="5" t="str">
        <x:f>IF('均值原始浓度'!C102="","",'均值原始浓度'!C102)</x:f>
        <x:v>112-31-2</x:v>
      </x:c>
      <x:c r="D102" s="5" t="n">
        <x:f>COUNT('均值原始浓度'!E102:DM102)</x:f>
        <x:v>27</x:v>
      </x:c>
      <x:c r="E102" s="6" t="str">
        <x:f>IF('均值原始浓度'!D102&gt;0,'均值原始浓度'!D102,"")</x:f>
      </x:c>
      <x:c r="F102" s="6" t="n">
        <x:f>IF(D102=0,"",AVERAGE('均值原始浓度'!E102:DM102))</x:f>
        <x:v>211.0933333333333</x:v>
      </x:c>
      <x:c r="G102" s="6" t="str">
        <x:f>IF(AND(D102&gt;0,ISNUMBER(E102),E102&gt;0),F102/E102,"")</x:f>
      </x:c>
      <x:c r="H102" s="5" t="str">
        <x:f>IF(NOT(ISNUMBER(G102)),"待定",IF(G102&lt;1,"固定基底候选","参与浓度设计"))</x:f>
        <x:v>待定</x:v>
      </x:c>
      <x:c r="I102" s="5" t="str">
        <x:f>"否"</x:f>
        <x:v>否</x:v>
      </x:c>
    </x:row>
    <x:row r="103">
      <x:c r="A103" s="5" t="n">
        <x:f>'均值原始浓度'!A103</x:f>
        <x:v>98</x:v>
      </x:c>
      <x:c r="B103" s="5" t="str">
        <x:f>IF('均值原始浓度'!B103="","",'均值原始浓度'!B103)</x:f>
      </x:c>
      <x:c r="C103" s="5" t="str">
        <x:f>IF('均值原始浓度'!C103="","",'均值原始浓度'!C103)</x:f>
        <x:v>112-32-3</x:v>
      </x:c>
      <x:c r="D103" s="5" t="n">
        <x:f>COUNT('均值原始浓度'!E103:DM103)</x:f>
        <x:v>3</x:v>
      </x:c>
      <x:c r="E103" s="6" t="str">
        <x:f>IF('均值原始浓度'!D103&gt;0,'均值原始浓度'!D103,"")</x:f>
      </x:c>
      <x:c r="F103" s="6" t="n">
        <x:f>IF(D103=0,"",AVERAGE('均值原始浓度'!E103:DM103))</x:f>
        <x:v>3.39</x:v>
      </x:c>
      <x:c r="G103" s="6" t="str">
        <x:f>IF(AND(D103&gt;0,ISNUMBER(E103),E103&gt;0),F103/E103,"")</x:f>
      </x:c>
      <x:c r="H103" s="5" t="str">
        <x:f>IF(NOT(ISNUMBER(G103)),"待定",IF(G103&lt;1,"固定基底候选","参与浓度设计"))</x:f>
        <x:v>待定</x:v>
      </x:c>
      <x:c r="I103" s="5" t="str">
        <x:f>"否"</x:f>
        <x:v>否</x:v>
      </x:c>
    </x:row>
    <x:row r="104">
      <x:c r="A104" s="5" t="n">
        <x:f>'均值原始浓度'!A104</x:f>
        <x:v>99</x:v>
      </x:c>
      <x:c r="B104" s="5" t="str">
        <x:f>IF('均值原始浓度'!B104="","",'均值原始浓度'!B104)</x:f>
      </x:c>
      <x:c r="C104" s="5" t="str">
        <x:f>IF('均值原始浓度'!C104="","",'均值原始浓度'!C104)</x:f>
        <x:v>112-37-8</x:v>
      </x:c>
      <x:c r="D104" s="5" t="n">
        <x:f>COUNT('均值原始浓度'!E104:DM104)</x:f>
        <x:v>1</x:v>
      </x:c>
      <x:c r="E104" s="6" t="str">
        <x:f>IF('均值原始浓度'!D104&gt;0,'均值原始浓度'!D104,"")</x:f>
      </x:c>
      <x:c r="F104" s="6" t="n">
        <x:f>IF(D104=0,"",AVERAGE('均值原始浓度'!E104:DM104))</x:f>
        <x:v>0.82</x:v>
      </x:c>
      <x:c r="G104" s="6" t="str">
        <x:f>IF(AND(D104&gt;0,ISNUMBER(E104),E104&gt;0),F104/E104,"")</x:f>
      </x:c>
      <x:c r="H104" s="5" t="str">
        <x:f>IF(NOT(ISNUMBER(G104)),"待定",IF(G104&lt;1,"固定基底候选","参与浓度设计"))</x:f>
        <x:v>待定</x:v>
      </x:c>
      <x:c r="I104" s="5" t="str">
        <x:f>"否"</x:f>
        <x:v>否</x:v>
      </x:c>
    </x:row>
    <x:row r="105">
      <x:c r="A105" s="5" t="n">
        <x:f>'均值原始浓度'!A105</x:f>
        <x:v>100</x:v>
      </x:c>
      <x:c r="B105" s="5" t="str">
        <x:f>IF('均值原始浓度'!B105="","",'均值原始浓度'!B105)</x:f>
      </x:c>
      <x:c r="C105" s="5" t="str">
        <x:f>IF('均值原始浓度'!C105="","",'均值原始浓度'!C105)</x:f>
        <x:v>112-39-0</x:v>
      </x:c>
      <x:c r="D105" s="5" t="n">
        <x:f>COUNT('均值原始浓度'!E105:DM105)</x:f>
        <x:v>6</x:v>
      </x:c>
      <x:c r="E105" s="6" t="str">
        <x:f>IF('均值原始浓度'!D105&gt;0,'均值原始浓度'!D105,"")</x:f>
      </x:c>
      <x:c r="F105" s="6" t="n">
        <x:f>IF(D105=0,"",AVERAGE('均值原始浓度'!E105:DM105))</x:f>
        <x:v>237.16666666666666</x:v>
      </x:c>
      <x:c r="G105" s="6" t="str">
        <x:f>IF(AND(D105&gt;0,ISNUMBER(E105),E105&gt;0),F105/E105,"")</x:f>
      </x:c>
      <x:c r="H105" s="5" t="str">
        <x:f>IF(NOT(ISNUMBER(G105)),"待定",IF(G105&lt;1,"固定基底候选","参与浓度设计"))</x:f>
        <x:v>待定</x:v>
      </x:c>
      <x:c r="I105" s="5" t="str">
        <x:f>"否"</x:f>
        <x:v>否</x:v>
      </x:c>
    </x:row>
    <x:row r="106">
      <x:c r="A106" s="5" t="n">
        <x:f>'均值原始浓度'!A106</x:f>
        <x:v>101</x:v>
      </x:c>
      <x:c r="B106" s="5" t="str">
        <x:f>IF('均值原始浓度'!B106="","",'均值原始浓度'!B106)</x:f>
      </x:c>
      <x:c r="C106" s="5" t="str">
        <x:f>IF('均值原始浓度'!C106="","",'均值原始浓度'!C106)</x:f>
        <x:v>112-54-8</x:v>
      </x:c>
      <x:c r="D106" s="5" t="n">
        <x:f>COUNT('均值原始浓度'!E106:DM106)</x:f>
        <x:v>1</x:v>
      </x:c>
      <x:c r="E106" s="6" t="str">
        <x:f>IF('均值原始浓度'!D106&gt;0,'均值原始浓度'!D106,"")</x:f>
      </x:c>
      <x:c r="F106" s="6" t="n">
        <x:f>IF(D106=0,"",AVERAGE('均值原始浓度'!E106:DM106))</x:f>
        <x:v>0.22</x:v>
      </x:c>
      <x:c r="G106" s="6" t="str">
        <x:f>IF(AND(D106&gt;0,ISNUMBER(E106),E106&gt;0),F106/E106,"")</x:f>
      </x:c>
      <x:c r="H106" s="5" t="str">
        <x:f>IF(NOT(ISNUMBER(G106)),"待定",IF(G106&lt;1,"固定基底候选","参与浓度设计"))</x:f>
        <x:v>待定</x:v>
      </x:c>
      <x:c r="I106" s="5" t="str">
        <x:f>"否"</x:f>
        <x:v>否</x:v>
      </x:c>
    </x:row>
    <x:row r="107">
      <x:c r="A107" s="5" t="n">
        <x:f>'均值原始浓度'!A107</x:f>
        <x:v>102</x:v>
      </x:c>
      <x:c r="B107" s="5" t="str">
        <x:f>IF('均值原始浓度'!B107="","",'均值原始浓度'!B107)</x:f>
      </x:c>
      <x:c r="C107" s="5" t="str">
        <x:f>IF('均值原始浓度'!C107="","",'均值原始浓度'!C107)</x:f>
        <x:v>112-54-9</x:v>
      </x:c>
      <x:c r="D107" s="5" t="n">
        <x:f>COUNT('均值原始浓度'!E107:DM107)</x:f>
        <x:v>1</x:v>
      </x:c>
      <x:c r="E107" s="6" t="str">
        <x:f>IF('均值原始浓度'!D107&gt;0,'均值原始浓度'!D107,"")</x:f>
      </x:c>
      <x:c r="F107" s="6" t="n">
        <x:f>IF(D107=0,"",AVERAGE('均值原始浓度'!E107:DM107))</x:f>
        <x:v>0.25</x:v>
      </x:c>
      <x:c r="G107" s="6" t="str">
        <x:f>IF(AND(D107&gt;0,ISNUMBER(E107),E107&gt;0),F107/E107,"")</x:f>
      </x:c>
      <x:c r="H107" s="5" t="str">
        <x:f>IF(NOT(ISNUMBER(G107)),"待定",IF(G107&lt;1,"固定基底候选","参与浓度设计"))</x:f>
        <x:v>待定</x:v>
      </x:c>
      <x:c r="I107" s="5" t="str">
        <x:f>"否"</x:f>
        <x:v>否</x:v>
      </x:c>
    </x:row>
    <x:row r="108">
      <x:c r="A108" s="5" t="n">
        <x:f>'均值原始浓度'!A108</x:f>
        <x:v>103</x:v>
      </x:c>
      <x:c r="B108" s="5" t="str">
        <x:f>IF('均值原始浓度'!B108="","",'均值原始浓度'!B108)</x:f>
        <x:v>苯甲酸异丁酯</x:v>
      </x:c>
      <x:c r="C108" s="5" t="str">
        <x:f>IF('均值原始浓度'!C108="","",'均值原始浓度'!C108)</x:f>
        <x:v>120-50-3</x:v>
      </x:c>
      <x:c r="D108" s="5" t="n">
        <x:f>COUNT('均值原始浓度'!E108:DM108)</x:f>
        <x:v>2</x:v>
      </x:c>
      <x:c r="E108" s="6" t="str">
        <x:f>IF('均值原始浓度'!D108&gt;0,'均值原始浓度'!D108,"")</x:f>
      </x:c>
      <x:c r="F108" s="6" t="n">
        <x:f>IF(D108=0,"",AVERAGE('均值原始浓度'!E108:DM108))</x:f>
        <x:v>53</x:v>
      </x:c>
      <x:c r="G108" s="6" t="str">
        <x:f>IF(AND(D108&gt;0,ISNUMBER(E108),E108&gt;0),F108/E108,"")</x:f>
      </x:c>
      <x:c r="H108" s="5" t="str">
        <x:f>IF(NOT(ISNUMBER(G108)),"待定",IF(G108&lt;1,"固定基底候选","参与浓度设计"))</x:f>
        <x:v>待定</x:v>
      </x:c>
      <x:c r="I108" s="5" t="str">
        <x:f>"否"</x:f>
        <x:v>否</x:v>
      </x:c>
    </x:row>
    <x:row r="109">
      <x:c r="A109" s="5" t="n">
        <x:f>'均值原始浓度'!A109</x:f>
        <x:v>104</x:v>
      </x:c>
      <x:c r="B109" s="5" t="str">
        <x:f>IF('均值原始浓度'!B109="","",'均值原始浓度'!B109)</x:f>
      </x:c>
      <x:c r="C109" s="5" t="str">
        <x:f>IF('均值原始浓度'!C109="","",'均值原始浓度'!C109)</x:f>
        <x:v>121-33-5</x:v>
      </x:c>
      <x:c r="D109" s="5" t="n">
        <x:f>COUNT('均值原始浓度'!E109:DM109)</x:f>
        <x:v>3</x:v>
      </x:c>
      <x:c r="E109" s="6" t="n">
        <x:f>IF('均值原始浓度'!D109&gt;0,'均值原始浓度'!D109,"")</x:f>
        <x:v>439</x:v>
      </x:c>
      <x:c r="F109" s="6" t="n">
        <x:f>IF(D109=0,"",AVERAGE('均值原始浓度'!E109:DM109))</x:f>
        <x:v>23.333333333333332</x:v>
      </x:c>
      <x:c r="G109" s="6" t="n">
        <x:f>IF(AND(D109&gt;0,ISNUMBER(E109),E109&gt;0),F109/E109,"")</x:f>
        <x:v>0.05315110098709187</x:v>
      </x:c>
      <x:c r="H109" s="5" t="str">
        <x:f>IF(NOT(ISNUMBER(G109)),"待定",IF(G109&lt;1,"固定基底候选","参与浓度设计"))</x:f>
        <x:v>固定基底候选</x:v>
      </x:c>
      <x:c r="I109" s="5" t="str">
        <x:f>"否"</x:f>
        <x:v>否</x:v>
      </x:c>
    </x:row>
    <x:row r="110">
      <x:c r="A110" s="5" t="n">
        <x:f>'均值原始浓度'!A110</x:f>
        <x:v>105</x:v>
      </x:c>
      <x:c r="B110" s="5" t="str">
        <x:f>IF('均值原始浓度'!B110="","",'均值原始浓度'!B110)</x:f>
        <x:v>苯乙醛</x:v>
      </x:c>
      <x:c r="C110" s="5" t="str">
        <x:f>IF('均值原始浓度'!C110="","",'均值原始浓度'!C110)</x:f>
        <x:v>122-78-1</x:v>
      </x:c>
      <x:c r="D110" s="5" t="n">
        <x:f>COUNT('均值原始浓度'!E110:DM110)</x:f>
        <x:v>44</x:v>
      </x:c>
      <x:c r="E110" s="6" t="n">
        <x:f>IF('均值原始浓度'!D110&gt;0,'均值原始浓度'!D110,"")</x:f>
        <x:v>262</x:v>
      </x:c>
      <x:c r="F110" s="6" t="n">
        <x:f>IF(D110=0,"",AVERAGE('均值原始浓度'!E110:DM110))</x:f>
        <x:v>1623.2574999999995</x:v>
      </x:c>
      <x:c r="G110" s="6" t="n">
        <x:f>IF(AND(D110&gt;0,ISNUMBER(E110),E110&gt;0),F110/E110,"")</x:f>
        <x:v>6.1956393129770975</x:v>
      </x:c>
      <x:c r="H110" s="5" t="str">
        <x:f>IF(NOT(ISNUMBER(G110)),"待定",IF(G110&lt;1,"固定基底候选","参与浓度设计"))</x:f>
        <x:v>参与浓度设计</x:v>
      </x:c>
      <x:c r="I110" s="5" t="str">
        <x:f>"是"</x:f>
        <x:v>是</x:v>
      </x:c>
    </x:row>
    <x:row r="111">
      <x:c r="A111" s="5" t="n">
        <x:f>'均值原始浓度'!A111</x:f>
        <x:v>106</x:v>
      </x:c>
      <x:c r="B111" s="5" t="str">
        <x:f>IF('均值原始浓度'!B111="","",'均值原始浓度'!B111)</x:f>
        <x:v>4-乙基苯酚</x:v>
      </x:c>
      <x:c r="C111" s="5" t="str">
        <x:f>IF('均值原始浓度'!C111="","",'均值原始浓度'!C111)</x:f>
        <x:v>123-07-9</x:v>
      </x:c>
      <x:c r="D111" s="5" t="n">
        <x:f>COUNT('均值原始浓度'!E111:DM111)</x:f>
        <x:v>51</x:v>
      </x:c>
      <x:c r="E111" s="6" t="n">
        <x:f>IF('均值原始浓度'!D111&gt;0,'均值原始浓度'!D111,"")</x:f>
        <x:v>123</x:v>
      </x:c>
      <x:c r="F111" s="6" t="n">
        <x:f>IF(D111=0,"",AVERAGE('均值原始浓度'!E111:DM111))</x:f>
        <x:v>312.7970588235294</x:v>
      </x:c>
      <x:c r="G111" s="6" t="n">
        <x:f>IF(AND(D111&gt;0,ISNUMBER(E111),E111&gt;0),F111/E111,"")</x:f>
        <x:v>2.543065518890483</x:v>
      </x:c>
      <x:c r="H111" s="5" t="str">
        <x:f>IF(NOT(ISNUMBER(G111)),"待定",IF(G111&lt;1,"固定基底候选","参与浓度设计"))</x:f>
        <x:v>参与浓度设计</x:v>
      </x:c>
      <x:c r="I111" s="5" t="str">
        <x:f>"是"</x:f>
        <x:v>是</x:v>
      </x:c>
    </x:row>
    <x:row r="112">
      <x:c r="A112" s="5" t="n">
        <x:f>'均值原始浓度'!A112</x:f>
        <x:v>107</x:v>
      </x:c>
      <x:c r="B112" s="5" t="str">
        <x:f>IF('均值原始浓度'!B112="","",'均值原始浓度'!B112)</x:f>
        <x:v>丁二酸二乙酯</x:v>
      </x:c>
      <x:c r="C112" s="5" t="str">
        <x:f>IF('均值原始浓度'!C112="","",'均值原始浓度'!C112)</x:f>
        <x:v>123-25-1</x:v>
      </x:c>
      <x:c r="D112" s="5" t="n">
        <x:f>COUNT('均值原始浓度'!E112:DM112)</x:f>
        <x:v>69</x:v>
      </x:c>
      <x:c r="E112" s="6" t="n">
        <x:f>IF('均值原始浓度'!D112&gt;0,'均值原始浓度'!D112,"")</x:f>
        <x:v>353193</x:v>
      </x:c>
      <x:c r="F112" s="6" t="n">
        <x:f>IF(D112=0,"",AVERAGE('均值原始浓度'!E112:DM112))</x:f>
        <x:v>1668.6252173913044</x:v>
      </x:c>
      <x:c r="G112" s="6" t="n">
        <x:f>IF(AND(D112&gt;0,ISNUMBER(E112),E112&gt;0),F112/E112,"")</x:f>
        <x:v>0.004724400589454786</x:v>
      </x:c>
      <x:c r="H112" s="5" t="str">
        <x:f>IF(NOT(ISNUMBER(G112)),"待定",IF(G112&lt;1,"固定基底候选","参与浓度设计"))</x:f>
        <x:v>固定基底候选</x:v>
      </x:c>
      <x:c r="I112" s="5" t="str">
        <x:f>"否"</x:f>
        <x:v>否</x:v>
      </x:c>
    </x:row>
    <x:row r="113">
      <x:c r="A113" s="5" t="n">
        <x:f>'均值原始浓度'!A113</x:f>
        <x:v>108</x:v>
      </x:c>
      <x:c r="B113" s="5" t="str">
        <x:f>IF('均值原始浓度'!B113="","",'均值原始浓度'!B113)</x:f>
        <x:v>壬酸乙酯</x:v>
      </x:c>
      <x:c r="C113" s="5" t="str">
        <x:f>IF('均值原始浓度'!C113="","",'均值原始浓度'!C113)</x:f>
        <x:v>123-29-5</x:v>
      </x:c>
      <x:c r="D113" s="5" t="n">
        <x:f>COUNT('均值原始浓度'!E113:DM113)</x:f>
        <x:v>83</x:v>
      </x:c>
      <x:c r="E113" s="6" t="str">
        <x:f>IF('均值原始浓度'!D113&gt;0,'均值原始浓度'!D113,"")</x:f>
      </x:c>
      <x:c r="F113" s="6" t="n">
        <x:f>IF(D113=0,"",AVERAGE('均值原始浓度'!E113:DM113))</x:f>
        <x:v>4210.249819277107</x:v>
      </x:c>
      <x:c r="G113" s="6" t="str">
        <x:f>IF(AND(D113&gt;0,ISNUMBER(E113),E113&gt;0),F113/E113,"")</x:f>
      </x:c>
      <x:c r="H113" s="5" t="str">
        <x:f>IF(NOT(ISNUMBER(G113)),"待定",IF(G113&lt;1,"固定基底候选","参与浓度设计"))</x:f>
        <x:v>待定</x:v>
      </x:c>
      <x:c r="I113" s="5" t="str">
        <x:f>"否"</x:f>
        <x:v>否</x:v>
      </x:c>
    </x:row>
    <x:row r="114">
      <x:c r="A114" s="5" t="n">
        <x:f>'均值原始浓度'!A114</x:f>
        <x:v>109</x:v>
      </x:c>
      <x:c r="B114" s="5" t="str">
        <x:f>IF('均值原始浓度'!B114="","",'均值原始浓度'!B114)</x:f>
        <x:v>丙醛</x:v>
      </x:c>
      <x:c r="C114" s="5" t="str">
        <x:f>IF('均值原始浓度'!C114="","",'均值原始浓度'!C114)</x:f>
        <x:v>123-38-6</x:v>
      </x:c>
      <x:c r="D114" s="5" t="n">
        <x:f>COUNT('均值原始浓度'!E114:DM114)</x:f>
        <x:v>3</x:v>
      </x:c>
      <x:c r="E114" s="6" t="str">
        <x:f>IF('均值原始浓度'!D114&gt;0,'均值原始浓度'!D114,"")</x:f>
      </x:c>
      <x:c r="F114" s="6" t="n">
        <x:f>IF(D114=0,"",AVERAGE('均值原始浓度'!E114:DM114))</x:f>
        <x:v>1356.6666666666667</x:v>
      </x:c>
      <x:c r="G114" s="6" t="str">
        <x:f>IF(AND(D114&gt;0,ISNUMBER(E114),E114&gt;0),F114/E114,"")</x:f>
      </x:c>
      <x:c r="H114" s="5" t="str">
        <x:f>IF(NOT(ISNUMBER(G114)),"待定",IF(G114&lt;1,"固定基底候选","参与浓度设计"))</x:f>
        <x:v>待定</x:v>
      </x:c>
      <x:c r="I114" s="5" t="str">
        <x:f>"否"</x:f>
        <x:v>否</x:v>
      </x:c>
    </x:row>
    <x:row r="115">
      <x:c r="A115" s="5" t="n">
        <x:f>'均值原始浓度'!A115</x:f>
        <x:v>110</x:v>
      </x:c>
      <x:c r="B115" s="5" t="str">
        <x:f>IF('均值原始浓度'!B115="","",'均值原始浓度'!B115)</x:f>
        <x:v>3-甲基-1-丁醇（异戊醇）</x:v>
      </x:c>
      <x:c r="C115" s="5" t="str">
        <x:f>IF('均值原始浓度'!C115="","",'均值原始浓度'!C115)</x:f>
        <x:v>123-51-3</x:v>
      </x:c>
      <x:c r="D115" s="5" t="n">
        <x:f>COUNT('均值原始浓度'!E115:DM115)</x:f>
        <x:v>94</x:v>
      </x:c>
      <x:c r="E115" s="6" t="n">
        <x:f>IF('均值原始浓度'!D115&gt;0,'均值原始浓度'!D115,"")</x:f>
        <x:v>179191</x:v>
      </x:c>
      <x:c r="F115" s="6" t="n">
        <x:f>IF(D115=0,"",AVERAGE('均值原始浓度'!E115:DM115))</x:f>
        <x:v>104175.5097553192</x:v>
      </x:c>
      <x:c r="G115" s="6" t="n">
        <x:f>IF(AND(D115&gt;0,ISNUMBER(E115),E115&gt;0),F115/E115,"")</x:f>
        <x:v>0.5813657480304212</x:v>
      </x:c>
      <x:c r="H115" s="5" t="str">
        <x:f>IF(NOT(ISNUMBER(G115)),"待定",IF(G115&lt;1,"固定基底候选","参与浓度设计"))</x:f>
        <x:v>固定基底候选</x:v>
      </x:c>
      <x:c r="I115" s="5" t="str">
        <x:f>"是"</x:f>
        <x:v>是</x:v>
      </x:c>
    </x:row>
    <x:row r="116">
      <x:c r="A116" s="5" t="n">
        <x:f>'均值原始浓度'!A116</x:f>
        <x:v>111</x:v>
      </x:c>
      <x:c r="B116" s="5" t="str">
        <x:f>IF('均值原始浓度'!B116="","",'均值原始浓度'!B116)</x:f>
        <x:v>己酸乙酯</x:v>
      </x:c>
      <x:c r="C116" s="5" t="str">
        <x:f>IF('均值原始浓度'!C116="","",'均值原始浓度'!C116)</x:f>
        <x:v>123-66-0</x:v>
      </x:c>
      <x:c r="D116" s="5" t="n">
        <x:f>COUNT('均值原始浓度'!E116:DM116)</x:f>
        <x:v>99</x:v>
      </x:c>
      <x:c r="E116" s="6" t="n">
        <x:f>IF('均值原始浓度'!D116&gt;0,'均值原始浓度'!D116,"")</x:f>
        <x:v>55.3</x:v>
      </x:c>
      <x:c r="F116" s="6" t="n">
        <x:f>IF(D116=0,"",AVERAGE('均值原始浓度'!E116:DM116))</x:f>
        <x:v>789273.030487879</x:v>
      </x:c>
      <x:c r="G116" s="6" t="n">
        <x:f>IF(AND(D116&gt;0,ISNUMBER(E116),E116&gt;0),F116/E116,"")</x:f>
        <x:v>14272.568363252785</x:v>
      </x:c>
      <x:c r="H116" s="5" t="str">
        <x:f>IF(NOT(ISNUMBER(G116)),"待定",IF(G116&lt;1,"固定基底候选","参与浓度设计"))</x:f>
        <x:v>参与浓度设计</x:v>
      </x:c>
      <x:c r="I116" s="5" t="str">
        <x:f>"是"</x:f>
        <x:v>是</x:v>
      </x:c>
    </x:row>
    <x:row r="117">
      <x:c r="A117" s="5" t="n">
        <x:f>'均值原始浓度'!A117</x:f>
        <x:v>112</x:v>
      </x:c>
      <x:c r="B117" s="5" t="str">
        <x:f>IF('均值原始浓度'!B117="","",'均值原始浓度'!B117)</x:f>
        <x:v>己酸烯丙酯</x:v>
      </x:c>
      <x:c r="C117" s="5" t="str">
        <x:f>IF('均值原始浓度'!C117="","",'均值原始浓度'!C117)</x:f>
        <x:v>123-68-2</x:v>
      </x:c>
      <x:c r="D117" s="5" t="n">
        <x:f>COUNT('均值原始浓度'!E117:DM117)</x:f>
        <x:v>1</x:v>
      </x:c>
      <x:c r="E117" s="6" t="str">
        <x:f>IF('均值原始浓度'!D117&gt;0,'均值原始浓度'!D117,"")</x:f>
      </x:c>
      <x:c r="F117" s="6" t="n">
        <x:f>IF(D117=0,"",AVERAGE('均值原始浓度'!E117:DM117))</x:f>
        <x:v>77</x:v>
      </x:c>
      <x:c r="G117" s="6" t="str">
        <x:f>IF(AND(D117&gt;0,ISNUMBER(E117),E117&gt;0),F117/E117,"")</x:f>
      </x:c>
      <x:c r="H117" s="5" t="str">
        <x:f>IF(NOT(ISNUMBER(G117)),"待定",IF(G117&lt;1,"固定基底候选","参与浓度设计"))</x:f>
        <x:v>待定</x:v>
      </x:c>
      <x:c r="I117" s="5" t="str">
        <x:f>"否"</x:f>
        <x:v>否</x:v>
      </x:c>
    </x:row>
    <x:row r="118">
      <x:c r="A118" s="5" t="n">
        <x:f>'均值原始浓度'!A118</x:f>
        <x:v>113</x:v>
      </x:c>
      <x:c r="B118" s="5" t="str">
        <x:f>IF('均值原始浓度'!B118="","",'均值原始浓度'!B118)</x:f>
        <x:v>丁醛</x:v>
      </x:c>
      <x:c r="C118" s="5" t="str">
        <x:f>IF('均值原始浓度'!C118="","",'均值原始浓度'!C118)</x:f>
        <x:v>123-72-8</x:v>
      </x:c>
      <x:c r="D118" s="5" t="n">
        <x:f>COUNT('均值原始浓度'!E118:DM118)</x:f>
        <x:v>4</x:v>
      </x:c>
      <x:c r="E118" s="6" t="str">
        <x:f>IF('均值原始浓度'!D118&gt;0,'均值原始浓度'!D118,"")</x:f>
      </x:c>
      <x:c r="F118" s="6" t="n">
        <x:f>IF(D118=0,"",AVERAGE('均值原始浓度'!E118:DM118))</x:f>
        <x:v>211.25</x:v>
      </x:c>
      <x:c r="G118" s="6" t="str">
        <x:f>IF(AND(D118&gt;0,ISNUMBER(E118),E118&gt;0),F118/E118,"")</x:f>
      </x:c>
      <x:c r="H118" s="5" t="str">
        <x:f>IF(NOT(ISNUMBER(G118)),"待定",IF(G118&lt;1,"固定基底候选","参与浓度设计"))</x:f>
        <x:v>待定</x:v>
      </x:c>
      <x:c r="I118" s="5" t="str">
        <x:f>"否"</x:f>
        <x:v>否</x:v>
      </x:c>
    </x:row>
    <x:row r="119">
      <x:c r="A119" s="5" t="n">
        <x:f>'均值原始浓度'!A119</x:f>
        <x:v>114</x:v>
      </x:c>
      <x:c r="B119" s="5" t="str">
        <x:f>IF('均值原始浓度'!B119="","",'均值原始浓度'!B119)</x:f>
        <x:v>乙酸丁酯</x:v>
      </x:c>
      <x:c r="C119" s="5" t="str">
        <x:f>IF('均值原始浓度'!C119="","",'均值原始浓度'!C119)</x:f>
        <x:v>123-86-4</x:v>
      </x:c>
      <x:c r="D119" s="5" t="n">
        <x:f>COUNT('均值原始浓度'!E119:DM119)</x:f>
        <x:v>30</x:v>
      </x:c>
      <x:c r="E119" s="6" t="n">
        <x:f>IF('均值原始浓度'!D119&gt;0,'均值原始浓度'!D119,"")</x:f>
        <x:v>1800</x:v>
      </x:c>
      <x:c r="F119" s="6" t="n">
        <x:f>IF(D119=0,"",AVERAGE('均值原始浓度'!E119:DM119))</x:f>
        <x:v>4783.743</x:v>
      </x:c>
      <x:c r="G119" s="6" t="n">
        <x:f>IF(AND(D119&gt;0,ISNUMBER(E119),E119&gt;0),F119/E119,"")</x:f>
        <x:v>2.6576350000000004</x:v>
      </x:c>
      <x:c r="H119" s="5" t="str">
        <x:f>IF(NOT(ISNUMBER(G119)),"待定",IF(G119&lt;1,"固定基底候选","参与浓度设计"))</x:f>
        <x:v>参与浓度设计</x:v>
      </x:c>
      <x:c r="I119" s="5" t="str">
        <x:f>"是"</x:f>
        <x:v>是</x:v>
      </x:c>
    </x:row>
    <x:row r="120">
      <x:c r="A120" s="5" t="n">
        <x:f>'均值原始浓度'!A120</x:f>
        <x:v>115</x:v>
      </x:c>
      <x:c r="B120" s="5" t="str">
        <x:f>IF('均值原始浓度'!B120="","",'均值原始浓度'!B120)</x:f>
        <x:v>乙酸异戊酯</x:v>
      </x:c>
      <x:c r="C120" s="5" t="str">
        <x:f>IF('均值原始浓度'!C120="","",'均值原始浓度'!C120)</x:f>
        <x:v>123-92-2</x:v>
      </x:c>
      <x:c r="D120" s="5" t="n">
        <x:f>COUNT('均值原始浓度'!E120:DM120)</x:f>
        <x:v>48</x:v>
      </x:c>
      <x:c r="E120" s="6" t="n">
        <x:f>IF('均值原始浓度'!D120&gt;0,'均值原始浓度'!D120,"")</x:f>
        <x:v>93.9</x:v>
      </x:c>
      <x:c r="F120" s="6" t="n">
        <x:f>IF(D120=0,"",AVERAGE('均值原始浓度'!E120:DM120))</x:f>
        <x:v>1579.5084729166665</x:v>
      </x:c>
      <x:c r="G120" s="6" t="n">
        <x:f>IF(AND(D120&gt;0,ISNUMBER(E120),E120&gt;0),F120/E120,"")</x:f>
        <x:v>16.82117649538516</x:v>
      </x:c>
      <x:c r="H120" s="5" t="str">
        <x:f>IF(NOT(ISNUMBER(G120)),"待定",IF(G120&lt;1,"固定基底候选","参与浓度设计"))</x:f>
        <x:v>参与浓度设计</x:v>
      </x:c>
      <x:c r="I120" s="5" t="str">
        <x:f>"是"</x:f>
        <x:v>是</x:v>
      </x:c>
    </x:row>
    <x:row r="121">
      <x:c r="A121" s="5" t="n">
        <x:f>'均值原始浓度'!A121</x:f>
        <x:v>116</x:v>
      </x:c>
      <x:c r="B121" s="5" t="str">
        <x:f>IF('均值原始浓度'!B121="","",'均值原始浓度'!B121)</x:f>
        <x:v>十四酸乙酯</x:v>
      </x:c>
      <x:c r="C121" s="5" t="str">
        <x:f>IF('均值原始浓度'!C121="","",'均值原始浓度'!C121)</x:f>
        <x:v>124-06-1</x:v>
      </x:c>
      <x:c r="D121" s="5" t="n">
        <x:f>COUNT('均值原始浓度'!E121:DM121)</x:f>
        <x:v>39</x:v>
      </x:c>
      <x:c r="E121" s="6" t="n">
        <x:f>IF('均值原始浓度'!D121&gt;0,'均值原始浓度'!D121,"")</x:f>
        <x:v>33551</x:v>
      </x:c>
      <x:c r="F121" s="6" t="n">
        <x:f>IF(D121=0,"",AVERAGE('均值原始浓度'!E121:DM121))</x:f>
        <x:v>4197.708633333335</x:v>
      </x:c>
      <x:c r="G121" s="6" t="n">
        <x:f>IF(AND(D121&gt;0,ISNUMBER(E121),E121&gt;0),F121/E121,"")</x:f>
        <x:v>0.12511426286350139</x:v>
      </x:c>
      <x:c r="H121" s="5" t="str">
        <x:f>IF(NOT(ISNUMBER(G121)),"待定",IF(G121&lt;1,"固定基底候选","参与浓度设计"))</x:f>
        <x:v>固定基底候选</x:v>
      </x:c>
      <x:c r="I121" s="5" t="str">
        <x:f>"否"</x:f>
        <x:v>否</x:v>
      </x:c>
    </x:row>
    <x:row r="122">
      <x:c r="A122" s="5" t="n">
        <x:f>'均值原始浓度'!A122</x:f>
        <x:v>117</x:v>
      </x:c>
      <x:c r="B122" s="5" t="str">
        <x:f>IF('均值原始浓度'!B122="","",'均值原始浓度'!B122)</x:f>
        <x:v>辛酸</x:v>
      </x:c>
      <x:c r="C122" s="5" t="str">
        <x:f>IF('均值原始浓度'!C122="","",'均值原始浓度'!C122)</x:f>
        <x:v>124-07-2</x:v>
      </x:c>
      <x:c r="D122" s="5" t="n">
        <x:f>COUNT('均值原始浓度'!E122:DM122)</x:f>
        <x:v>79</x:v>
      </x:c>
      <x:c r="E122" s="6" t="n">
        <x:f>IF('均值原始浓度'!D122&gt;0,'均值原始浓度'!D122,"")</x:f>
        <x:v>2700</x:v>
      </x:c>
      <x:c r="F122" s="6" t="n">
        <x:f>IF(D122=0,"",AVERAGE('均值原始浓度'!E122:DM122))</x:f>
        <x:v>9014.793860759495</x:v>
      </x:c>
      <x:c r="G122" s="6" t="n">
        <x:f>IF(AND(D122&gt;0,ISNUMBER(E122),E122&gt;0),F122/E122,"")</x:f>
        <x:v>3.338812541022035</x:v>
      </x:c>
      <x:c r="H122" s="5" t="str">
        <x:f>IF(NOT(ISNUMBER(G122)),"待定",IF(G122&lt;1,"固定基底候选","参与浓度设计"))</x:f>
        <x:v>参与浓度设计</x:v>
      </x:c>
      <x:c r="I122" s="5" t="str">
        <x:f>"是"</x:f>
        <x:v>是</x:v>
      </x:c>
    </x:row>
    <x:row r="123">
      <x:c r="A123" s="5" t="n">
        <x:f>'均值原始浓度'!A123</x:f>
        <x:v>118</x:v>
      </x:c>
      <x:c r="B123" s="5" t="str">
        <x:f>IF('均值原始浓度'!B123="","",'均值原始浓度'!B123)</x:f>
        <x:v>辛醛</x:v>
      </x:c>
      <x:c r="C123" s="5" t="str">
        <x:f>IF('均值原始浓度'!C123="","",'均值原始浓度'!C123)</x:f>
        <x:v>124-13-0</x:v>
      </x:c>
      <x:c r="D123" s="5" t="n">
        <x:f>COUNT('均值原始浓度'!E123:DM123)</x:f>
        <x:v>15</x:v>
      </x:c>
      <x:c r="E123" s="6" t="n">
        <x:f>IF('均值原始浓度'!D123&gt;0,'均值原始浓度'!D123,"")</x:f>
        <x:v>39.6</x:v>
      </x:c>
      <x:c r="F123" s="6" t="n">
        <x:f>IF(D123=0,"",AVERAGE('均值原始浓度'!E123:DM123))</x:f>
        <x:v>52.60933333333333</x:v>
      </x:c>
      <x:c r="G123" s="6" t="n">
        <x:f>IF(AND(D123&gt;0,ISNUMBER(E123),E123&gt;0),F123/E123,"")</x:f>
        <x:v>1.3285185185185184</x:v>
      </x:c>
      <x:c r="H123" s="5" t="str">
        <x:f>IF(NOT(ISNUMBER(G123)),"待定",IF(G123&lt;1,"固定基底候选","参与浓度设计"))</x:f>
        <x:v>参与浓度设计</x:v>
      </x:c>
      <x:c r="I123" s="5" t="str">
        <x:f>"否"</x:f>
        <x:v>否</x:v>
      </x:c>
    </x:row>
    <x:row r="124">
      <x:c r="A124" s="5" t="n">
        <x:f>'均值原始浓度'!A124</x:f>
        <x:v>119</x:v>
      </x:c>
      <x:c r="B124" s="5" t="str">
        <x:f>IF('均值原始浓度'!B124="","",'均值原始浓度'!B124)</x:f>
        <x:v>壬醛</x:v>
      </x:c>
      <x:c r="C124" s="5" t="str">
        <x:f>IF('均值原始浓度'!C124="","",'均值原始浓度'!C124)</x:f>
        <x:v>124-19-6</x:v>
      </x:c>
      <x:c r="D124" s="5" t="n">
        <x:f>COUNT('均值原始浓度'!E124:DM124)</x:f>
        <x:v>32</x:v>
      </x:c>
      <x:c r="E124" s="6" t="n">
        <x:f>IF('均值原始浓度'!D124&gt;0,'均值原始浓度'!D124,"")</x:f>
        <x:v>122</x:v>
      </x:c>
      <x:c r="F124" s="6" t="n">
        <x:f>IF(D124=0,"",AVERAGE('均值原始浓度'!E124:DM124))</x:f>
        <x:v>75.72000000000003</x:v>
      </x:c>
      <x:c r="G124" s="6" t="n">
        <x:f>IF(AND(D124&gt;0,ISNUMBER(E124),E124&gt;0),F124/E124,"")</x:f>
        <x:v>0.6206557377049182</x:v>
      </x:c>
      <x:c r="H124" s="5" t="str">
        <x:f>IF(NOT(ISNUMBER(G124)),"待定",IF(G124&lt;1,"固定基底候选","参与浓度设计"))</x:f>
        <x:v>固定基底候选</x:v>
      </x:c>
      <x:c r="I124" s="5" t="str">
        <x:f>"否"</x:f>
        <x:v>否</x:v>
      </x:c>
    </x:row>
    <x:row r="125">
      <x:c r="A125" s="5" t="n">
        <x:f>'均值原始浓度'!A125</x:f>
        <x:v>120</x:v>
      </x:c>
      <x:c r="B125" s="5" t="str">
        <x:f>IF('均值原始浓度'!B125="","",'均值原始浓度'!B125)</x:f>
        <x:v>2-甲基丁醇</x:v>
      </x:c>
      <x:c r="C125" s="5" t="str">
        <x:f>IF('均值原始浓度'!C125="","",'均值原始浓度'!C125)</x:f>
        <x:v>137-32-6</x:v>
      </x:c>
      <x:c r="D125" s="5" t="n">
        <x:f>COUNT('均值原始浓度'!E125:DM125)</x:f>
        <x:v>11</x:v>
      </x:c>
      <x:c r="E125" s="6" t="n">
        <x:f>IF('均值原始浓度'!D125&gt;0,'均值原始浓度'!D125,"")</x:f>
        <x:v>300000</x:v>
      </x:c>
      <x:c r="F125" s="6" t="n">
        <x:f>IF(D125=0,"",AVERAGE('均值原始浓度'!E125:DM125))</x:f>
        <x:v>60982.979090909095</x:v>
      </x:c>
      <x:c r="G125" s="6" t="n">
        <x:f>IF(AND(D125&gt;0,ISNUMBER(E125),E125&gt;0),F125/E125,"")</x:f>
        <x:v>0.203276596969697</x:v>
      </x:c>
      <x:c r="H125" s="5" t="str">
        <x:f>IF(NOT(ISNUMBER(G125)),"待定",IF(G125&lt;1,"固定基底候选","参与浓度设计"))</x:f>
        <x:v>固定基底候选</x:v>
      </x:c>
      <x:c r="I125" s="5" t="str">
        <x:f>"否"</x:f>
        <x:v>否</x:v>
      </x:c>
    </x:row>
    <x:row r="126">
      <x:c r="A126" s="5" t="n">
        <x:f>'均值原始浓度'!A126</x:f>
        <x:v>121</x:v>
      </x:c>
      <x:c r="B126" s="5" t="str">
        <x:f>IF('均值原始浓度'!B126="","",'均值原始浓度'!B126)</x:f>
        <x:v>乳酸丁酯</x:v>
      </x:c>
      <x:c r="C126" s="5" t="str">
        <x:f>IF('均值原始浓度'!C126="","",'均值原始浓度'!C126)</x:f>
        <x:v>138-22-7</x:v>
      </x:c>
      <x:c r="D126" s="5" t="n">
        <x:f>COUNT('均值原始浓度'!E126:DM126)</x:f>
        <x:v>4</x:v>
      </x:c>
      <x:c r="E126" s="6" t="str">
        <x:f>IF('均值原始浓度'!D126&gt;0,'均值原始浓度'!D126,"")</x:f>
      </x:c>
      <x:c r="F126" s="6" t="n">
        <x:f>IF(D126=0,"",AVERAGE('均值原始浓度'!E126:DM126))</x:f>
        <x:v>6.210000000000001</x:v>
      </x:c>
      <x:c r="G126" s="6" t="str">
        <x:f>IF(AND(D126&gt;0,ISNUMBER(E126),E126&gt;0),F126/E126,"")</x:f>
      </x:c>
      <x:c r="H126" s="5" t="str">
        <x:f>IF(NOT(ISNUMBER(G126)),"待定",IF(G126&lt;1,"固定基底候选","参与浓度设计"))</x:f>
        <x:v>待定</x:v>
      </x:c>
      <x:c r="I126" s="5" t="str">
        <x:f>"否"</x:f>
        <x:v>否</x:v>
      </x:c>
    </x:row>
    <x:row r="127">
      <x:c r="A127" s="5" t="n">
        <x:f>'均值原始浓度'!A127</x:f>
        <x:v>122</x:v>
      </x:c>
      <x:c r="B127" s="5" t="str">
        <x:f>IF('均值原始浓度'!B127="","",'均值原始浓度'!B127)</x:f>
      </x:c>
      <x:c r="C127" s="5" t="str">
        <x:f>IF('均值原始浓度'!C127="","",'均值原始浓度'!C127)</x:f>
        <x:v>138-86-3</x:v>
      </x:c>
      <x:c r="D127" s="5" t="n">
        <x:f>COUNT('均值原始浓度'!E127:DM127)</x:f>
        <x:v>1</x:v>
      </x:c>
      <x:c r="E127" s="6" t="str">
        <x:f>IF('均值原始浓度'!D127&gt;0,'均值原始浓度'!D127,"")</x:f>
      </x:c>
      <x:c r="F127" s="6" t="n">
        <x:f>IF(D127=0,"",AVERAGE('均值原始浓度'!E127:DM127))</x:f>
        <x:v>3.14</x:v>
      </x:c>
      <x:c r="G127" s="6" t="str">
        <x:f>IF(AND(D127&gt;0,ISNUMBER(E127),E127&gt;0),F127/E127,"")</x:f>
      </x:c>
      <x:c r="H127" s="5" t="str">
        <x:f>IF(NOT(ISNUMBER(G127)),"待定",IF(G127&lt;1,"固定基底候选","参与浓度设计"))</x:f>
        <x:v>待定</x:v>
      </x:c>
      <x:c r="I127" s="5" t="str">
        <x:f>"否"</x:f>
        <x:v>否</x:v>
      </x:c>
    </x:row>
    <x:row r="128">
      <x:c r="A128" s="5" t="n">
        <x:f>'均值原始浓度'!A128</x:f>
        <x:v>123</x:v>
      </x:c>
      <x:c r="B128" s="5" t="str">
        <x:f>IF('均值原始浓度'!B128="","",'均值原始浓度'!B128)</x:f>
        <x:v>异戊酸-2-苯乙酯</x:v>
      </x:c>
      <x:c r="C128" s="5" t="str">
        <x:f>IF('均值原始浓度'!C128="","",'均值原始浓度'!C128)</x:f>
        <x:v>140-26-1</x:v>
      </x:c>
      <x:c r="D128" s="5" t="n">
        <x:f>COUNT('均值原始浓度'!E128:DM128)</x:f>
        <x:v>13</x:v>
      </x:c>
      <x:c r="E128" s="6" t="str">
        <x:f>IF('均值原始浓度'!D128&gt;0,'均值原始浓度'!D128,"")</x:f>
      </x:c>
      <x:c r="F128" s="6" t="n">
        <x:f>IF(D128=0,"",AVERAGE('均值原始浓度'!E128:DM128))</x:f>
        <x:v>19.75807692307692</x:v>
      </x:c>
      <x:c r="G128" s="6" t="str">
        <x:f>IF(AND(D128&gt;0,ISNUMBER(E128),E128&gt;0),F128/E128,"")</x:f>
      </x:c>
      <x:c r="H128" s="5" t="str">
        <x:f>IF(NOT(ISNUMBER(G128)),"待定",IF(G128&lt;1,"固定基底候选","参与浓度设计"))</x:f>
        <x:v>待定</x:v>
      </x:c>
      <x:c r="I128" s="5" t="str">
        <x:f>"否"</x:f>
        <x:v>否</x:v>
      </x:c>
    </x:row>
    <x:row r="129">
      <x:c r="A129" s="5" t="n">
        <x:f>'均值原始浓度'!A129</x:f>
        <x:v>124</x:v>
      </x:c>
      <x:c r="B129" s="5" t="str">
        <x:f>IF('均值原始浓度'!B129="","",'均值原始浓度'!B129)</x:f>
        <x:v>乙酸乙酯</x:v>
      </x:c>
      <x:c r="C129" s="5" t="str">
        <x:f>IF('均值原始浓度'!C129="","",'均值原始浓度'!C129)</x:f>
        <x:v>141-78-6</x:v>
      </x:c>
      <x:c r="D129" s="5" t="n">
        <x:f>COUNT('均值原始浓度'!E129:DM129)</x:f>
        <x:v>84</x:v>
      </x:c>
      <x:c r="E129" s="6" t="n">
        <x:f>IF('均值原始浓度'!D129&gt;0,'均值原始浓度'!D129,"")</x:f>
        <x:v>32552</x:v>
      </x:c>
      <x:c r="F129" s="6" t="n">
        <x:f>IF(D129=0,"",AVERAGE('均值原始浓度'!E129:DM129))</x:f>
        <x:v>405974.90656785714</x:v>
      </x:c>
      <x:c r="G129" s="6" t="n">
        <x:f>IF(AND(D129&gt;0,ISNUMBER(E129),E129&gt;0),F129/E129,"")</x:f>
        <x:v>12.471581057012077</x:v>
      </x:c>
      <x:c r="H129" s="5" t="str">
        <x:f>IF(NOT(ISNUMBER(G129)),"待定",IF(G129&lt;1,"固定基底候选","参与浓度设计"))</x:f>
        <x:v>参与浓度设计</x:v>
      </x:c>
      <x:c r="I129" s="5" t="str">
        <x:f>"是"</x:f>
        <x:v>是</x:v>
      </x:c>
    </x:row>
    <x:row r="130">
      <x:c r="A130" s="5" t="n">
        <x:f>'均值原始浓度'!A130</x:f>
        <x:v>125</x:v>
      </x:c>
      <x:c r="B130" s="5" t="str">
        <x:f>IF('均值原始浓度'!B130="","",'均值原始浓度'!B130)</x:f>
        <x:v>E-橙花叔醇</x:v>
      </x:c>
      <x:c r="C130" s="5" t="str">
        <x:f>IF('均值原始浓度'!C130="","",'均值原始浓度'!C130)</x:f>
        <x:v>142-50-7</x:v>
      </x:c>
      <x:c r="D130" s="5" t="n">
        <x:f>COUNT('均值原始浓度'!E130:DM130)</x:f>
        <x:v>14</x:v>
      </x:c>
      <x:c r="E130" s="6" t="str">
        <x:f>IF('均值原始浓度'!D130&gt;0,'均值原始浓度'!D130,"")</x:f>
      </x:c>
      <x:c r="F130" s="6" t="n">
        <x:f>IF(D130=0,"",AVERAGE('均值原始浓度'!E130:DM130))</x:f>
        <x:v>138.68428571428572</x:v>
      </x:c>
      <x:c r="G130" s="6" t="str">
        <x:f>IF(AND(D130&gt;0,ISNUMBER(E130),E130&gt;0),F130/E130,"")</x:f>
      </x:c>
      <x:c r="H130" s="5" t="str">
        <x:f>IF(NOT(ISNUMBER(G130)),"待定",IF(G130&lt;1,"固定基底候选","参与浓度设计"))</x:f>
        <x:v>待定</x:v>
      </x:c>
      <x:c r="I130" s="5" t="str">
        <x:f>"否"</x:f>
        <x:v>否</x:v>
      </x:c>
    </x:row>
    <x:row r="131">
      <x:c r="A131" s="5" t="n">
        <x:f>'均值原始浓度'!A131</x:f>
        <x:v>126</x:v>
      </x:c>
      <x:c r="B131" s="5" t="str">
        <x:f>IF('均值原始浓度'!B131="","",'均值原始浓度'!B131)</x:f>
        <x:v>己酸</x:v>
      </x:c>
      <x:c r="C131" s="5" t="str">
        <x:f>IF('均值原始浓度'!C131="","",'均值原始浓度'!C131)</x:f>
        <x:v>142-62-1</x:v>
      </x:c>
      <x:c r="D131" s="5" t="n">
        <x:f>COUNT('均值原始浓度'!E131:DM131)</x:f>
        <x:v>89</x:v>
      </x:c>
      <x:c r="E131" s="6" t="n">
        <x:f>IF('均值原始浓度'!D131&gt;0,'均值原始浓度'!D131,"")</x:f>
        <x:v>2520</x:v>
      </x:c>
      <x:c r="F131" s="6" t="n">
        <x:f>IF(D131=0,"",AVERAGE('均值原始浓度'!E131:DM131))</x:f>
        <x:v>285035.6582966292</x:v>
      </x:c>
      <x:c r="G131" s="6" t="n">
        <x:f>IF(AND(D131&gt;0,ISNUMBER(E131),E131&gt;0),F131/E131,"")</x:f>
        <x:v>113.10938821294809</x:v>
      </x:c>
      <x:c r="H131" s="5" t="str">
        <x:f>IF(NOT(ISNUMBER(G131)),"待定",IF(G131&lt;1,"固定基底候选","参与浓度设计"))</x:f>
        <x:v>参与浓度设计</x:v>
      </x:c>
      <x:c r="I131" s="5" t="str">
        <x:f>"是"</x:f>
        <x:v>是</x:v>
      </x:c>
    </x:row>
    <x:row r="132">
      <x:c r="A132" s="5" t="n">
        <x:f>'均值原始浓度'!A132</x:f>
        <x:v>127</x:v>
      </x:c>
      <x:c r="B132" s="5" t="str">
        <x:f>IF('均值原始浓度'!B132="","",'均值原始浓度'!B132)</x:f>
        <x:v>乙酸己酯</x:v>
      </x:c>
      <x:c r="C132" s="5" t="str">
        <x:f>IF('均值原始浓度'!C132="","",'均值原始浓度'!C132)</x:f>
        <x:v>142-92-7</x:v>
      </x:c>
      <x:c r="D132" s="5" t="n">
        <x:f>COUNT('均值原始浓度'!E132:DM132)</x:f>
        <x:v>77</x:v>
      </x:c>
      <x:c r="E132" s="6" t="n">
        <x:f>IF('均值原始浓度'!D132&gt;0,'均值原始浓度'!D132,"")</x:f>
        <x:v>5560</x:v>
      </x:c>
      <x:c r="F132" s="6" t="n">
        <x:f>IF(D132=0,"",AVERAGE('均值原始浓度'!E132:DM132))</x:f>
        <x:v>5423.26922077922</x:v>
      </x:c>
      <x:c r="G132" s="6" t="n">
        <x:f>IF(AND(D132&gt;0,ISNUMBER(E132),E132&gt;0),F132/E132,"")</x:f>
        <x:v>0.9754081332336726</x:v>
      </x:c>
      <x:c r="H132" s="5" t="str">
        <x:f>IF(NOT(ISNUMBER(G132)),"待定",IF(G132&lt;1,"固定基底候选","参与浓度设计"))</x:f>
        <x:v>固定基底候选</x:v>
      </x:c>
      <x:c r="I132" s="5" t="str">
        <x:f>"否"</x:f>
        <x:v>否</x:v>
      </x:c>
    </x:row>
    <x:row r="133">
      <x:c r="A133" s="5" t="n">
        <x:f>'均值原始浓度'!A133</x:f>
        <x:v>128</x:v>
      </x:c>
      <x:c r="B133" s="5" t="str">
        <x:f>IF('均值原始浓度'!B133="","",'均值原始浓度'!B133)</x:f>
        <x:v>1-壬醇</x:v>
      </x:c>
      <x:c r="C133" s="5" t="str">
        <x:f>IF('均值原始浓度'!C133="","",'均值原始浓度'!C133)</x:f>
        <x:v>143-08-8</x:v>
      </x:c>
      <x:c r="D133" s="5" t="n">
        <x:f>COUNT('均值原始浓度'!E133:DM133)</x:f>
        <x:v>25</x:v>
      </x:c>
      <x:c r="E133" s="6" t="n">
        <x:f>IF('均值原始浓度'!D133&gt;0,'均值原始浓度'!D133,"")</x:f>
        <x:v>806</x:v>
      </x:c>
      <x:c r="F133" s="6" t="n">
        <x:f>IF(D133=0,"",AVERAGE('均值原始浓度'!E133:DM133))</x:f>
        <x:v>228.23559999999998</x:v>
      </x:c>
      <x:c r="G133" s="6" t="n">
        <x:f>IF(AND(D133&gt;0,ISNUMBER(E133),E133&gt;0),F133/E133,"")</x:f>
        <x:v>0.2831707196029776</x:v>
      </x:c>
      <x:c r="H133" s="5" t="str">
        <x:f>IF(NOT(ISNUMBER(G133)),"待定",IF(G133&lt;1,"固定基底候选","参与浓度设计"))</x:f>
        <x:v>固定基底候选</x:v>
      </x:c>
      <x:c r="I133" s="5" t="str">
        <x:f>"否"</x:f>
        <x:v>否</x:v>
      </x:c>
    </x:row>
    <x:row r="134">
      <x:c r="A134" s="5" t="n">
        <x:f>'均值原始浓度'!A134</x:f>
        <x:v>129</x:v>
      </x:c>
      <x:c r="B134" s="5" t="str">
        <x:f>IF('均值原始浓度'!B134="","",'均值原始浓度'!B134)</x:f>
        <x:v>癸酸</x:v>
      </x:c>
      <x:c r="C134" s="5" t="str">
        <x:f>IF('均值原始浓度'!C134="","",'均值原始浓度'!C134)</x:f>
        <x:v>334-48-5</x:v>
      </x:c>
      <x:c r="D134" s="5" t="n">
        <x:f>COUNT('均值原始浓度'!E134:DM134)</x:f>
        <x:v>17</x:v>
      </x:c>
      <x:c r="E134" s="6" t="str">
        <x:f>IF('均值原始浓度'!D134&gt;0,'均值原始浓度'!D134,"")</x:f>
      </x:c>
      <x:c r="F134" s="6" t="n">
        <x:f>IF(D134=0,"",AVERAGE('均值原始浓度'!E134:DM134))</x:f>
        <x:v>1797.08</x:v>
      </x:c>
      <x:c r="G134" s="6" t="str">
        <x:f>IF(AND(D134&gt;0,ISNUMBER(E134),E134&gt;0),F134/E134,"")</x:f>
      </x:c>
      <x:c r="H134" s="5" t="str">
        <x:f>IF(NOT(ISNUMBER(G134)),"待定",IF(G134&lt;1,"固定基底候选","参与浓度设计"))</x:f>
        <x:v>待定</x:v>
      </x:c>
      <x:c r="I134" s="5" t="str">
        <x:f>"否"</x:f>
        <x:v>否</x:v>
      </x:c>
    </x:row>
    <x:row r="135">
      <x:c r="A135" s="5" t="n">
        <x:f>'均值原始浓度'!A135</x:f>
        <x:v>130</x:v>
      </x:c>
      <x:c r="B135" s="5" t="str">
        <x:f>IF('均值原始浓度'!B135="","",'均值原始浓度'!B135)</x:f>
      </x:c>
      <x:c r="C135" s="5" t="str">
        <x:f>IF('均值原始浓度'!C135="","",'均值原始浓度'!C135)</x:f>
        <x:v>431-63-8</x:v>
      </x:c>
      <x:c r="D135" s="5" t="n">
        <x:f>COUNT('均值原始浓度'!E135:DM135)</x:f>
        <x:v>2</x:v>
      </x:c>
      <x:c r="E135" s="6" t="str">
        <x:f>IF('均值原始浓度'!D135&gt;0,'均值原始浓度'!D135,"")</x:f>
      </x:c>
      <x:c r="F135" s="6" t="n">
        <x:f>IF(D135=0,"",AVERAGE('均值原始浓度'!E135:DM135))</x:f>
        <x:v>3.35</x:v>
      </x:c>
      <x:c r="G135" s="6" t="str">
        <x:f>IF(AND(D135&gt;0,ISNUMBER(E135),E135&gt;0),F135/E135,"")</x:f>
      </x:c>
      <x:c r="H135" s="5" t="str">
        <x:f>IF(NOT(ISNUMBER(G135)),"待定",IF(G135&lt;1,"固定基底候选","参与浓度设计"))</x:f>
        <x:v>待定</x:v>
      </x:c>
      <x:c r="I135" s="5" t="str">
        <x:f>"否"</x:f>
        <x:v>否</x:v>
      </x:c>
    </x:row>
    <x:row r="136">
      <x:c r="A136" s="5" t="n">
        <x:f>'均值原始浓度'!A136</x:f>
        <x:v>131</x:v>
      </x:c>
      <x:c r="B136" s="5" t="str">
        <x:f>IF('均值原始浓度'!B136="","",'均值原始浓度'!B136)</x:f>
        <x:v>二乙氧基甲烷</x:v>
      </x:c>
      <x:c r="C136" s="5" t="str">
        <x:f>IF('均值原始浓度'!C136="","",'均值原始浓度'!C136)</x:f>
        <x:v>462-95-3</x:v>
      </x:c>
      <x:c r="D136" s="5" t="n">
        <x:f>COUNT('均值原始浓度'!E136:DM136)</x:f>
        <x:v>1</x:v>
      </x:c>
      <x:c r="E136" s="6" t="str">
        <x:f>IF('均值原始浓度'!D136&gt;0,'均值原始浓度'!D136,"")</x:f>
      </x:c>
      <x:c r="F136" s="6" t="n">
        <x:f>IF(D136=0,"",AVERAGE('均值原始浓度'!E136:DM136))</x:f>
        <x:v>23</x:v>
      </x:c>
      <x:c r="G136" s="6" t="str">
        <x:f>IF(AND(D136&gt;0,ISNUMBER(E136),E136&gt;0),F136/E136,"")</x:f>
      </x:c>
      <x:c r="H136" s="5" t="str">
        <x:f>IF(NOT(ISNUMBER(G136)),"待定",IF(G136&lt;1,"固定基底候选","参与浓度设计"))</x:f>
        <x:v>待定</x:v>
      </x:c>
      <x:c r="I136" s="5" t="str">
        <x:f>"否"</x:f>
        <x:v>否</x:v>
      </x:c>
    </x:row>
    <x:row r="137">
      <x:c r="A137" s="5" t="n">
        <x:f>'均值原始浓度'!A137</x:f>
        <x:v>132</x:v>
      </x:c>
      <x:c r="B137" s="5" t="str">
        <x:f>IF('均值原始浓度'!B137="","",'均值原始浓度'!B137)</x:f>
      </x:c>
      <x:c r="C137" s="5" t="str">
        <x:f>IF('均值原始浓度'!C137="","",'均值原始浓度'!C137)</x:f>
        <x:v>463-40-1</x:v>
      </x:c>
      <x:c r="D137" s="5" t="n">
        <x:f>COUNT('均值原始浓度'!E137:DM137)</x:f>
        <x:v>6</x:v>
      </x:c>
      <x:c r="E137" s="6" t="str">
        <x:f>IF('均值原始浓度'!D137&gt;0,'均值原始浓度'!D137,"")</x:f>
      </x:c>
      <x:c r="F137" s="6" t="n">
        <x:f>IF(D137=0,"",AVERAGE('均值原始浓度'!E137:DM137))</x:f>
        <x:v>402</x:v>
      </x:c>
      <x:c r="G137" s="6" t="str">
        <x:f>IF(AND(D137&gt;0,ISNUMBER(E137),E137&gt;0),F137/E137,"")</x:f>
      </x:c>
      <x:c r="H137" s="5" t="str">
        <x:f>IF(NOT(ISNUMBER(G137)),"待定",IF(G137&lt;1,"固定基底候选","参与浓度设计"))</x:f>
        <x:v>待定</x:v>
      </x:c>
      <x:c r="I137" s="5" t="str">
        <x:f>"否"</x:f>
        <x:v>否</x:v>
      </x:c>
    </x:row>
    <x:row r="138">
      <x:c r="A138" s="5" t="n">
        <x:f>'均值原始浓度'!A138</x:f>
        <x:v>133</x:v>
      </x:c>
      <x:c r="B138" s="5" t="str">
        <x:f>IF('均值原始浓度'!B138="","",'均值原始浓度'!B138)</x:f>
        <x:v>3-糠醛</x:v>
      </x:c>
      <x:c r="C138" s="5" t="str">
        <x:f>IF('均值原始浓度'!C138="","",'均值原始浓度'!C138)</x:f>
        <x:v>498-60-2</x:v>
      </x:c>
      <x:c r="D138" s="5" t="n">
        <x:f>COUNT('均值原始浓度'!E138:DM138)</x:f>
        <x:v>2</x:v>
      </x:c>
      <x:c r="E138" s="6" t="str">
        <x:f>IF('均值原始浓度'!D138&gt;0,'均值原始浓度'!D138,"")</x:f>
      </x:c>
      <x:c r="F138" s="6" t="n">
        <x:f>IF(D138=0,"",AVERAGE('均值原始浓度'!E138:DM138))</x:f>
        <x:v>8885</x:v>
      </x:c>
      <x:c r="G138" s="6" t="str">
        <x:f>IF(AND(D138&gt;0,ISNUMBER(E138),E138&gt;0),F138/E138,"")</x:f>
      </x:c>
      <x:c r="H138" s="5" t="str">
        <x:f>IF(NOT(ISNUMBER(G138)),"待定",IF(G138&lt;1,"固定基底候选","参与浓度设计"))</x:f>
        <x:v>待定</x:v>
      </x:c>
      <x:c r="I138" s="5" t="str">
        <x:f>"否"</x:f>
        <x:v>否</x:v>
      </x:c>
    </x:row>
    <x:row r="139">
      <x:c r="A139" s="5" t="n">
        <x:f>'均值原始浓度'!A139</x:f>
        <x:v>134</x:v>
      </x:c>
      <x:c r="B139" s="5" t="str">
        <x:f>IF('均值原始浓度'!B139="","",'均值原始浓度'!B139)</x:f>
        <x:v>3-苯基丙酸</x:v>
      </x:c>
      <x:c r="C139" s="5" t="str">
        <x:f>IF('均值原始浓度'!C139="","",'均值原始浓度'!C139)</x:f>
        <x:v>501-52-0</x:v>
      </x:c>
      <x:c r="D139" s="5" t="n">
        <x:f>COUNT('均值原始浓度'!E139:DM139)</x:f>
        <x:v>2</x:v>
      </x:c>
      <x:c r="E139" s="6" t="str">
        <x:f>IF('均值原始浓度'!D139&gt;0,'均值原始浓度'!D139,"")</x:f>
      </x:c>
      <x:c r="F139" s="6" t="n">
        <x:f>IF(D139=0,"",AVERAGE('均值原始浓度'!E139:DM139))</x:f>
        <x:v>423.5</x:v>
      </x:c>
      <x:c r="G139" s="6" t="str">
        <x:f>IF(AND(D139&gt;0,ISNUMBER(E139),E139&gt;0),F139/E139,"")</x:f>
      </x:c>
      <x:c r="H139" s="5" t="str">
        <x:f>IF(NOT(ISNUMBER(G139)),"待定",IF(G139&lt;1,"固定基底候选","参与浓度设计"))</x:f>
        <x:v>待定</x:v>
      </x:c>
      <x:c r="I139" s="5" t="str">
        <x:f>"否"</x:f>
        <x:v>否</x:v>
      </x:c>
    </x:row>
    <x:row r="140">
      <x:c r="A140" s="5" t="n">
        <x:f>'均值原始浓度'!A140</x:f>
        <x:v>135</x:v>
      </x:c>
      <x:c r="B140" s="5" t="str">
        <x:f>IF('均值原始浓度'!B140="","",'均值原始浓度'!B140)</x:f>
      </x:c>
      <x:c r="C140" s="5" t="str">
        <x:f>IF('均值原始浓度'!C140="","",'均值原始浓度'!C140)</x:f>
        <x:v>502-69-2</x:v>
      </x:c>
      <x:c r="D140" s="5" t="n">
        <x:f>COUNT('均值原始浓度'!E140:DM140)</x:f>
        <x:v>6</x:v>
      </x:c>
      <x:c r="E140" s="6" t="str">
        <x:f>IF('均值原始浓度'!D140&gt;0,'均值原始浓度'!D140,"")</x:f>
      </x:c>
      <x:c r="F140" s="6" t="n">
        <x:f>IF(D140=0,"",AVERAGE('均值原始浓度'!E140:DM140))</x:f>
        <x:v>358.8333333333333</x:v>
      </x:c>
      <x:c r="G140" s="6" t="str">
        <x:f>IF(AND(D140&gt;0,ISNUMBER(E140),E140&gt;0),F140/E140,"")</x:f>
      </x:c>
      <x:c r="H140" s="5" t="str">
        <x:f>IF(NOT(ISNUMBER(G140)),"待定",IF(G140&lt;1,"固定基底候选","参与浓度设计"))</x:f>
        <x:v>待定</x:v>
      </x:c>
      <x:c r="I140" s="5" t="str">
        <x:f>"否"</x:f>
        <x:v>否</x:v>
      </x:c>
    </x:row>
    <x:row r="141">
      <x:c r="A141" s="5" t="n">
        <x:f>'均值原始浓度'!A141</x:f>
        <x:v>136</x:v>
      </x:c>
      <x:c r="B141" s="5" t="str">
        <x:f>IF('均值原始浓度'!B141="","",'均值原始浓度'!B141)</x:f>
        <x:v>异戊酸/3-甲基丁酸</x:v>
      </x:c>
      <x:c r="C141" s="5" t="str">
        <x:f>IF('均值原始浓度'!C141="","",'均值原始浓度'!C141)</x:f>
        <x:v>503-74-2</x:v>
      </x:c>
      <x:c r="D141" s="5" t="n">
        <x:f>COUNT('均值原始浓度'!E141:DM141)</x:f>
        <x:v>73</x:v>
      </x:c>
      <x:c r="E141" s="6" t="n">
        <x:f>IF('均值原始浓度'!D141&gt;0,'均值原始浓度'!D141,"")</x:f>
        <x:v>1050</x:v>
      </x:c>
      <x:c r="F141" s="6" t="n">
        <x:f>IF(D141=0,"",AVERAGE('均值原始浓度'!E141:DM141))</x:f>
        <x:v>7411.161910958901</x:v>
      </x:c>
      <x:c r="G141" s="6" t="n">
        <x:f>IF(AND(D141&gt;0,ISNUMBER(E141),E141&gt;0),F141/E141,"")</x:f>
        <x:v>7.058249439008478</x:v>
      </x:c>
      <x:c r="H141" s="5" t="str">
        <x:f>IF(NOT(ISNUMBER(G141)),"待定",IF(G141&lt;1,"固定基底候选","参与浓度设计"))</x:f>
        <x:v>参与浓度设计</x:v>
      </x:c>
      <x:c r="I141" s="5" t="str">
        <x:f>"是"</x:f>
        <x:v>是</x:v>
      </x:c>
    </x:row>
    <x:row r="142">
      <x:c r="A142" s="5" t="n">
        <x:f>'均值原始浓度'!A142</x:f>
        <x:v>137</x:v>
      </x:c>
      <x:c r="B142" s="5" t="str">
        <x:f>IF('均值原始浓度'!B142="","",'均值原始浓度'!B142)</x:f>
      </x:c>
      <x:c r="C142" s="5" t="str">
        <x:f>IF('均值原始浓度'!C142="","",'均值原始浓度'!C142)</x:f>
        <x:v>505-10-2</x:v>
      </x:c>
      <x:c r="D142" s="5" t="n">
        <x:f>COUNT('均值原始浓度'!E142:DM142)</x:f>
        <x:v>8</x:v>
      </x:c>
      <x:c r="E142" s="6" t="str">
        <x:f>IF('均值原始浓度'!D142&gt;0,'均值原始浓度'!D142,"")</x:f>
      </x:c>
      <x:c r="F142" s="6" t="n">
        <x:f>IF(D142=0,"",AVERAGE('均值原始浓度'!E142:DM142))</x:f>
        <x:v>3628.125</x:v>
      </x:c>
      <x:c r="G142" s="6" t="str">
        <x:f>IF(AND(D142&gt;0,ISNUMBER(E142),E142&gt;0),F142/E142,"")</x:f>
      </x:c>
      <x:c r="H142" s="5" t="str">
        <x:f>IF(NOT(ISNUMBER(G142)),"待定",IF(G142&lt;1,"固定基底候选","参与浓度设计"))</x:f>
        <x:v>待定</x:v>
      </x:c>
      <x:c r="I142" s="5" t="str">
        <x:f>"否"</x:f>
        <x:v>否</x:v>
      </x:c>
    </x:row>
    <x:row r="143">
      <x:c r="A143" s="5" t="n">
        <x:f>'均值原始浓度'!A143</x:f>
        <x:v>138</x:v>
      </x:c>
      <x:c r="B143" s="5" t="str">
        <x:f>IF('均值原始浓度'!B143="","",'均值原始浓度'!B143)</x:f>
        <x:v>苯甲酸乙酯</x:v>
      </x:c>
      <x:c r="C143" s="5" t="str">
        <x:f>IF('均值原始浓度'!C143="","",'均值原始浓度'!C143)</x:f>
        <x:v>513-85-9</x:v>
      </x:c>
      <x:c r="D143" s="5" t="n">
        <x:f>COUNT('均值原始浓度'!E143:DM143)</x:f>
        <x:v>6</x:v>
      </x:c>
      <x:c r="E143" s="6" t="n">
        <x:f>IF('均值原始浓度'!D143&gt;0,'均值原始浓度'!D143,"")</x:f>
        <x:v>407</x:v>
      </x:c>
      <x:c r="F143" s="6" t="n">
        <x:f>IF(D143=0,"",AVERAGE('均值原始浓度'!E143:DM143))</x:f>
        <x:v>2.75</x:v>
      </x:c>
      <x:c r="G143" s="6" t="n">
        <x:f>IF(AND(D143&gt;0,ISNUMBER(E143),E143&gt;0),F143/E143,"")</x:f>
        <x:v>0.006756756756756757</x:v>
      </x:c>
      <x:c r="H143" s="5" t="str">
        <x:f>IF(NOT(ISNUMBER(G143)),"待定",IF(G143&lt;1,"固定基底候选","参与浓度设计"))</x:f>
        <x:v>固定基底候选</x:v>
      </x:c>
      <x:c r="I143" s="5" t="str">
        <x:f>"否"</x:f>
        <x:v>否</x:v>
      </x:c>
    </x:row>
    <x:row r="144">
      <x:c r="A144" s="5" t="n">
        <x:f>'均值原始浓度'!A144</x:f>
        <x:v>139</x:v>
      </x:c>
      <x:c r="B144" s="5" t="str">
        <x:f>IF('均值原始浓度'!B144="","",'均值原始浓度'!B144)</x:f>
        <x:v>3-羟基-2-丁酮</x:v>
      </x:c>
      <x:c r="C144" s="5" t="str">
        <x:f>IF('均值原始浓度'!C144="","",'均值原始浓度'!C144)</x:f>
        <x:v>513-86-0</x:v>
      </x:c>
      <x:c r="D144" s="5" t="n">
        <x:f>COUNT('均值原始浓度'!E144:DM144)</x:f>
        <x:v>12</x:v>
      </x:c>
      <x:c r="E144" s="6" t="n">
        <x:f>IF('均值原始浓度'!D144&gt;0,'均值原始浓度'!D144,"")</x:f>
        <x:v>259</x:v>
      </x:c>
      <x:c r="F144" s="6" t="n">
        <x:f>IF(D144=0,"",AVERAGE('均值原始浓度'!E144:DM144))</x:f>
        <x:v>85.40833333333335</x:v>
      </x:c>
      <x:c r="G144" s="6" t="n">
        <x:f>IF(AND(D144&gt;0,ISNUMBER(E144),E144&gt;0),F144/E144,"")</x:f>
        <x:v>0.3297619047619048</x:v>
      </x:c>
      <x:c r="H144" s="5" t="str">
        <x:f>IF(NOT(ISNUMBER(G144)),"待定",IF(G144&lt;1,"固定基底候选","参与浓度设计"))</x:f>
        <x:v>固定基底候选</x:v>
      </x:c>
      <x:c r="I144" s="5" t="str">
        <x:f>"否"</x:f>
        <x:v>否</x:v>
      </x:c>
    </x:row>
    <x:row r="145">
      <x:c r="A145" s="5" t="n">
        <x:f>'均值原始浓度'!A145</x:f>
        <x:v>140</x:v>
      </x:c>
      <x:c r="B145" s="5" t="str">
        <x:f>IF('均值原始浓度'!B145="","",'均值原始浓度'!B145)</x:f>
        <x:v>2-甲基呋喃</x:v>
      </x:c>
      <x:c r="C145" s="5" t="str">
        <x:f>IF('均值原始浓度'!C145="","",'均值原始浓度'!C145)</x:f>
        <x:v>534-22-5</x:v>
      </x:c>
      <x:c r="D145" s="5" t="n">
        <x:f>COUNT('均值原始浓度'!E145:DM145)</x:f>
        <x:v>1</x:v>
      </x:c>
      <x:c r="E145" s="6" t="str">
        <x:f>IF('均值原始浓度'!D145&gt;0,'均值原始浓度'!D145,"")</x:f>
      </x:c>
      <x:c r="F145" s="6" t="n">
        <x:f>IF(D145=0,"",AVERAGE('均值原始浓度'!E145:DM145))</x:f>
        <x:v>3</x:v>
      </x:c>
      <x:c r="G145" s="6" t="str">
        <x:f>IF(AND(D145&gt;0,ISNUMBER(E145),E145&gt;0),F145/E145,"")</x:f>
      </x:c>
      <x:c r="H145" s="5" t="str">
        <x:f>IF(NOT(ISNUMBER(G145)),"待定",IF(G145&lt;1,"固定基底候选","参与浓度设计"))</x:f>
        <x:v>待定</x:v>
      </x:c>
      <x:c r="I145" s="5" t="str">
        <x:f>"否"</x:f>
        <x:v>否</x:v>
      </x:c>
    </x:row>
    <x:row r="146">
      <x:c r="A146" s="5" t="n">
        <x:f>'均值原始浓度'!A146</x:f>
        <x:v>141</x:v>
      </x:c>
      <x:c r="B146" s="5" t="str">
        <x:f>IF('均值原始浓度'!B146="","",'均值原始浓度'!B146)</x:f>
        <x:v>戊酸乙酯</x:v>
      </x:c>
      <x:c r="C146" s="5" t="str">
        <x:f>IF('均值原始浓度'!C146="","",'均值原始浓度'!C146)</x:f>
        <x:v>539-82-2</x:v>
      </x:c>
      <x:c r="D146" s="5" t="n">
        <x:f>COUNT('均值原始浓度'!E146:DM146)</x:f>
        <x:v>99</x:v>
      </x:c>
      <x:c r="E146" s="6" t="n">
        <x:f>IF('均值原始浓度'!D146&gt;0,'均值原始浓度'!D146,"")</x:f>
        <x:v>26.8</x:v>
      </x:c>
      <x:c r="F146" s="6" t="n">
        <x:f>IF(D146=0,"",AVERAGE('均值原始浓度'!E146:DM146))</x:f>
        <x:v>33384.87269292928</x:v>
      </x:c>
      <x:c r="G146" s="6" t="n">
        <x:f>IF(AND(D146&gt;0,ISNUMBER(E146),E146&gt;0),F146/E146,"")</x:f>
        <x:v>1245.7042049600477</x:v>
      </x:c>
      <x:c r="H146" s="5" t="str">
        <x:f>IF(NOT(ISNUMBER(G146)),"待定",IF(G146&lt;1,"固定基底候选","参与浓度设计"))</x:f>
        <x:v>参与浓度设计</x:v>
      </x:c>
      <x:c r="I146" s="5" t="str">
        <x:f>"是"</x:f>
        <x:v>是</x:v>
      </x:c>
    </x:row>
    <x:row r="147">
      <x:c r="A147" s="5" t="n">
        <x:f>'均值原始浓度'!A147</x:f>
        <x:v>142</x:v>
      </x:c>
      <x:c r="B147" s="5" t="str">
        <x:f>IF('均值原始浓度'!B147="","",'均值原始浓度'!B147)</x:f>
        <x:v>丁酸异丁酯</x:v>
      </x:c>
      <x:c r="C147" s="5" t="str">
        <x:f>IF('均值原始浓度'!C147="","",'均值原始浓度'!C147)</x:f>
        <x:v>539-90-2</x:v>
      </x:c>
      <x:c r="D147" s="5" t="n">
        <x:f>COUNT('均值原始浓度'!E147:DM147)</x:f>
        <x:v>2</x:v>
      </x:c>
      <x:c r="E147" s="6" t="str">
        <x:f>IF('均值原始浓度'!D147&gt;0,'均值原始浓度'!D147,"")</x:f>
      </x:c>
      <x:c r="F147" s="6" t="n">
        <x:f>IF(D147=0,"",AVERAGE('均值原始浓度'!E147:DM147))</x:f>
        <x:v>170.5</x:v>
      </x:c>
      <x:c r="G147" s="6" t="str">
        <x:f>IF(AND(D147&gt;0,ISNUMBER(E147),E147&gt;0),F147/E147,"")</x:f>
      </x:c>
      <x:c r="H147" s="5" t="str">
        <x:f>IF(NOT(ISNUMBER(G147)),"待定",IF(G147&lt;1,"固定基底候选","参与浓度设计"))</x:f>
        <x:v>待定</x:v>
      </x:c>
      <x:c r="I147" s="5" t="str">
        <x:f>"否"</x:f>
        <x:v>否</x:v>
      </x:c>
    </x:row>
    <x:row r="148">
      <x:c r="A148" s="5" t="n">
        <x:f>'均值原始浓度'!A148</x:f>
        <x:v>143</x:v>
      </x:c>
      <x:c r="B148" s="5" t="str">
        <x:f>IF('均值原始浓度'!B148="","",'均值原始浓度'!B148)</x:f>
        <x:v>4-甲基戊酸乙酯/异己酸乙酯</x:v>
      </x:c>
      <x:c r="C148" s="5" t="str">
        <x:f>IF('均值原始浓度'!C148="","",'均值原始浓度'!C148)</x:f>
        <x:v>540-07-8</x:v>
      </x:c>
      <x:c r="D148" s="5" t="n">
        <x:f>COUNT('均值原始浓度'!E148:DM148)</x:f>
        <x:v>62</x:v>
      </x:c>
      <x:c r="E148" s="6" t="str">
        <x:f>IF('均值原始浓度'!D148&gt;0,'均值原始浓度'!D148,"")</x:f>
      </x:c>
      <x:c r="F148" s="6" t="n">
        <x:f>IF(D148=0,"",AVERAGE('均值原始浓度'!E148:DM148))</x:f>
        <x:v>4336.142983870968</x:v>
      </x:c>
      <x:c r="G148" s="6" t="str">
        <x:f>IF(AND(D148&gt;0,ISNUMBER(E148),E148&gt;0),F148/E148,"")</x:f>
      </x:c>
      <x:c r="H148" s="5" t="str">
        <x:f>IF(NOT(ISNUMBER(G148)),"待定",IF(G148&lt;1,"固定基底候选","参与浓度设计"))</x:f>
        <x:v>待定</x:v>
      </x:c>
      <x:c r="I148" s="5" t="str">
        <x:f>"否"</x:f>
        <x:v>否</x:v>
      </x:c>
    </x:row>
    <x:row r="149">
      <x:c r="A149" s="5" t="n">
        <x:f>'均值原始浓度'!A149</x:f>
        <x:v>144</x:v>
      </x:c>
      <x:c r="B149" s="5" t="str">
        <x:f>IF('均值原始浓度'!B149="","",'均值原始浓度'!B149)</x:f>
      </x:c>
      <x:c r="C149" s="5" t="str">
        <x:f>IF('均值原始浓度'!C149="","",'均值原始浓度'!C149)</x:f>
        <x:v>540-18-1</x:v>
      </x:c>
      <x:c r="D149" s="5" t="n">
        <x:f>COUNT('均值原始浓度'!E149:DM149)</x:f>
        <x:v>2</x:v>
      </x:c>
      <x:c r="E149" s="6" t="str">
        <x:f>IF('均值原始浓度'!D149&gt;0,'均值原始浓度'!D149,"")</x:f>
      </x:c>
      <x:c r="F149" s="6" t="n">
        <x:f>IF(D149=0,"",AVERAGE('均值原始浓度'!E149:DM149))</x:f>
        <x:v>0.45</x:v>
      </x:c>
      <x:c r="G149" s="6" t="str">
        <x:f>IF(AND(D149&gt;0,ISNUMBER(E149),E149&gt;0),F149/E149,"")</x:f>
      </x:c>
      <x:c r="H149" s="5" t="str">
        <x:f>IF(NOT(ISNUMBER(G149)),"待定",IF(G149&lt;1,"固定基底候选","参与浓度设计"))</x:f>
        <x:v>待定</x:v>
      </x:c>
      <x:c r="I149" s="5" t="str">
        <x:f>"否"</x:f>
        <x:v>否</x:v>
      </x:c>
    </x:row>
    <x:row r="150">
      <x:c r="A150" s="5" t="n">
        <x:f>'均值原始浓度'!A150</x:f>
        <x:v>145</x:v>
      </x:c>
      <x:c r="B150" s="5" t="str">
        <x:f>IF('均值原始浓度'!B150="","",'均值原始浓度'!B150)</x:f>
      </x:c>
      <x:c r="C150" s="5" t="str">
        <x:f>IF('均值原始浓度'!C150="","",'均值原始浓度'!C150)</x:f>
        <x:v>542-10-9</x:v>
      </x:c>
      <x:c r="D150" s="5" t="n">
        <x:f>COUNT('均值原始浓度'!E150:DM150)</x:f>
        <x:v>1</x:v>
      </x:c>
      <x:c r="E150" s="6" t="str">
        <x:f>IF('均值原始浓度'!D150&gt;0,'均值原始浓度'!D150,"")</x:f>
      </x:c>
      <x:c r="F150" s="6" t="n">
        <x:f>IF(D150=0,"",AVERAGE('均值原始浓度'!E150:DM150))</x:f>
        <x:v>0.73</x:v>
      </x:c>
      <x:c r="G150" s="6" t="str">
        <x:f>IF(AND(D150&gt;0,ISNUMBER(E150),E150&gt;0),F150/E150,"")</x:f>
      </x:c>
      <x:c r="H150" s="5" t="str">
        <x:f>IF(NOT(ISNUMBER(G150)),"待定",IF(G150&lt;1,"固定基底候选","参与浓度设计"))</x:f>
        <x:v>待定</x:v>
      </x:c>
      <x:c r="I150" s="5" t="str">
        <x:f>"否"</x:f>
        <x:v>否</x:v>
      </x:c>
    </x:row>
    <x:row r="151">
      <x:c r="A151" s="5" t="n">
        <x:f>'均值原始浓度'!A151</x:f>
        <x:v>146</x:v>
      </x:c>
      <x:c r="B151" s="5" t="str">
        <x:f>IF('均值原始浓度'!B151="","",'均值原始浓度'!B151)</x:f>
        <x:v>2-庚醇</x:v>
      </x:c>
      <x:c r="C151" s="5" t="str">
        <x:f>IF('均值原始浓度'!C151="","",'均值原始浓度'!C151)</x:f>
        <x:v>543-49-7</x:v>
      </x:c>
      <x:c r="D151" s="5" t="n">
        <x:f>COUNT('均值原始浓度'!E151:DM151)</x:f>
        <x:v>31</x:v>
      </x:c>
      <x:c r="E151" s="6" t="n">
        <x:f>IF('均值原始浓度'!D151&gt;0,'均值原始浓度'!D151,"")</x:f>
        <x:v>1431</x:v>
      </x:c>
      <x:c r="F151" s="6" t="n">
        <x:f>IF(D151=0,"",AVERAGE('均值原始浓度'!E151:DM151))</x:f>
        <x:v>452.0353225806452</x:v>
      </x:c>
      <x:c r="G151" s="6" t="n">
        <x:f>IF(AND(D151&gt;0,ISNUMBER(E151),E151&gt;0),F151/E151,"")</x:f>
        <x:v>0.3158877166880819</x:v>
      </x:c>
      <x:c r="H151" s="5" t="str">
        <x:f>IF(NOT(ISNUMBER(G151)),"待定",IF(G151&lt;1,"固定基底候选","参与浓度设计"))</x:f>
        <x:v>固定基底候选</x:v>
      </x:c>
      <x:c r="I151" s="5" t="str">
        <x:f>"否"</x:f>
        <x:v>否</x:v>
      </x:c>
    </x:row>
    <x:row r="152">
      <x:c r="A152" s="5" t="n">
        <x:f>'均值原始浓度'!A152</x:f>
        <x:v>147</x:v>
      </x:c>
      <x:c r="B152" s="5" t="str">
        <x:f>IF('均值原始浓度'!B152="","",'均值原始浓度'!B152)</x:f>
        <x:v>亚油酸乙酯</x:v>
      </x:c>
      <x:c r="C152" s="5" t="str">
        <x:f>IF('均值原始浓度'!C152="","",'均值原始浓度'!C152)</x:f>
        <x:v>544-35-4</x:v>
      </x:c>
      <x:c r="D152" s="5" t="n">
        <x:f>COUNT('均值原始浓度'!E152:DM152)</x:f>
        <x:v>18</x:v>
      </x:c>
      <x:c r="E152" s="6" t="str">
        <x:f>IF('均值原始浓度'!D152&gt;0,'均值原始浓度'!D152,"")</x:f>
      </x:c>
      <x:c r="F152" s="6" t="n">
        <x:f>IF(D152=0,"",AVERAGE('均值原始浓度'!E152:DM152))</x:f>
        <x:v>14973.199444444446</x:v>
      </x:c>
      <x:c r="G152" s="6" t="str">
        <x:f>IF(AND(D152&gt;0,ISNUMBER(E152),E152&gt;0),F152/E152,"")</x:f>
      </x:c>
      <x:c r="H152" s="5" t="str">
        <x:f>IF(NOT(ISNUMBER(G152)),"待定",IF(G152&lt;1,"固定基底候选","参与浓度设计"))</x:f>
        <x:v>待定</x:v>
      </x:c>
      <x:c r="I152" s="5" t="str">
        <x:f>"否"</x:f>
        <x:v>否</x:v>
      </x:c>
    </x:row>
    <x:row r="153">
      <x:c r="A153" s="5" t="n">
        <x:f>'均值原始浓度'!A153</x:f>
        <x:v>148</x:v>
      </x:c>
      <x:c r="B153" s="5" t="str">
        <x:f>IF('均值原始浓度'!B153="","",'均值原始浓度'!B153)</x:f>
      </x:c>
      <x:c r="C153" s="5" t="str">
        <x:f>IF('均值原始浓度'!C153="","",'均值原始浓度'!C153)</x:f>
        <x:v>545-49-7</x:v>
      </x:c>
      <x:c r="D153" s="5" t="n">
        <x:f>COUNT('均值原始浓度'!E153:DM153)</x:f>
        <x:v>4</x:v>
      </x:c>
      <x:c r="E153" s="6" t="str">
        <x:f>IF('均值原始浓度'!D153&gt;0,'均值原始浓度'!D153,"")</x:f>
      </x:c>
      <x:c r="F153" s="6" t="n">
        <x:f>IF(D153=0,"",AVERAGE('均值原始浓度'!E153:DM153))</x:f>
        <x:v>0.4625</x:v>
      </x:c>
      <x:c r="G153" s="6" t="str">
        <x:f>IF(AND(D153&gt;0,ISNUMBER(E153),E153&gt;0),F153/E153,"")</x:f>
      </x:c>
      <x:c r="H153" s="5" t="str">
        <x:f>IF(NOT(ISNUMBER(G153)),"待定",IF(G153&lt;1,"固定基底候选","参与浓度设计"))</x:f>
        <x:v>待定</x:v>
      </x:c>
      <x:c r="I153" s="5" t="str">
        <x:f>"否"</x:f>
        <x:v>否</x:v>
      </x:c>
    </x:row>
    <x:row r="154">
      <x:c r="A154" s="5" t="n">
        <x:f>'均值原始浓度'!A154</x:f>
        <x:v>149</x:v>
      </x:c>
      <x:c r="B154" s="5" t="str">
        <x:f>IF('均值原始浓度'!B154="","",'均值原始浓度'!B154)</x:f>
        <x:v>反,顺-2,6-壬二烯醛</x:v>
      </x:c>
      <x:c r="C154" s="5" t="str">
        <x:f>IF('均值原始浓度'!C154="","",'均值原始浓度'!C154)</x:f>
        <x:v>557-48-2</x:v>
      </x:c>
      <x:c r="D154" s="5" t="n">
        <x:f>COUNT('均值原始浓度'!E154:DM154)</x:f>
        <x:v>16</x:v>
      </x:c>
      <x:c r="E154" s="6" t="n">
        <x:f>IF('均值原始浓度'!D154&gt;0,'均值原始浓度'!D154,"")</x:f>
        <x:v>0.64</x:v>
      </x:c>
      <x:c r="F154" s="6" t="n">
        <x:f>IF(D154=0,"",AVERAGE('均值原始浓度'!E154:DM154))</x:f>
        <x:v>164.04375</x:v>
      </x:c>
      <x:c r="G154" s="6" t="n">
        <x:f>IF(AND(D154&gt;0,ISNUMBER(E154),E154&gt;0),F154/E154,"")</x:f>
        <x:v>256.318359375</x:v>
      </x:c>
      <x:c r="H154" s="5" t="str">
        <x:f>IF(NOT(ISNUMBER(G154)),"待定",IF(G154&lt;1,"固定基底候选","参与浓度设计"))</x:f>
        <x:v>参与浓度设计</x:v>
      </x:c>
      <x:c r="I154" s="5" t="str">
        <x:f>"否"</x:f>
        <x:v>否</x:v>
      </x:c>
    </x:row>
    <x:row r="155">
      <x:c r="A155" s="5" t="n">
        <x:f>'均值原始浓度'!A155</x:f>
        <x:v>150</x:v>
      </x:c>
      <x:c r="B155" s="5" t="str">
        <x:f>IF('均值原始浓度'!B155="","",'均值原始浓度'!B155)</x:f>
        <x:v>乳酸异丁酯</x:v>
      </x:c>
      <x:c r="C155" s="5" t="str">
        <x:f>IF('均值原始浓度'!C155="","",'均值原始浓度'!C155)</x:f>
        <x:v>585-24-0</x:v>
      </x:c>
      <x:c r="D155" s="5" t="n">
        <x:f>COUNT('均值原始浓度'!E155:DM155)</x:f>
        <x:v>16</x:v>
      </x:c>
      <x:c r="E155" s="6" t="str">
        <x:f>IF('均值原始浓度'!D155&gt;0,'均值原始浓度'!D155,"")</x:f>
      </x:c>
      <x:c r="F155" s="6" t="n">
        <x:f>IF(D155=0,"",AVERAGE('均值原始浓度'!E155:DM155))</x:f>
        <x:v>995.2750000000002</x:v>
      </x:c>
      <x:c r="G155" s="6" t="str">
        <x:f>IF(AND(D155&gt;0,ISNUMBER(E155),E155&gt;0),F155/E155,"")</x:f>
      </x:c>
      <x:c r="H155" s="5" t="str">
        <x:f>IF(NOT(ISNUMBER(G155)),"待定",IF(G155&lt;1,"固定基底候选","参与浓度设计"))</x:f>
        <x:v>待定</x:v>
      </x:c>
      <x:c r="I155" s="5" t="str">
        <x:f>"否"</x:f>
        <x:v>否</x:v>
      </x:c>
    </x:row>
    <x:row r="156">
      <x:c r="A156" s="5" t="n">
        <x:f>'均值原始浓度'!A156</x:f>
        <x:v>151</x:v>
      </x:c>
      <x:c r="B156" s="5" t="str">
        <x:f>IF('均值原始浓度'!B156="","",'均值原始浓度'!B156)</x:f>
        <x:v>3-辛醇</x:v>
      </x:c>
      <x:c r="C156" s="5" t="str">
        <x:f>IF('均值原始浓度'!C156="","",'均值原始浓度'!C156)</x:f>
        <x:v>589-98-0</x:v>
      </x:c>
      <x:c r="D156" s="5" t="n">
        <x:f>COUNT('均值原始浓度'!E156:DM156)</x:f>
        <x:v>30</x:v>
      </x:c>
      <x:c r="E156" s="6" t="n">
        <x:f>IF('均值原始浓度'!D156&gt;0,'均值原始浓度'!D156,"")</x:f>
        <x:v>483</x:v>
      </x:c>
      <x:c r="F156" s="6" t="n">
        <x:f>IF(D156=0,"",AVERAGE('均值原始浓度'!E156:DM156))</x:f>
        <x:v>103.86900000000001</x:v>
      </x:c>
      <x:c r="G156" s="6" t="n">
        <x:f>IF(AND(D156&gt;0,ISNUMBER(E156),E156&gt;0),F156/E156,"")</x:f>
        <x:v>0.2150496894409938</x:v>
      </x:c>
      <x:c r="H156" s="5" t="str">
        <x:f>IF(NOT(ISNUMBER(G156)),"待定",IF(G156&lt;1,"固定基底候选","参与浓度设计"))</x:f>
        <x:v>固定基底候选</x:v>
      </x:c>
      <x:c r="I156" s="5" t="str">
        <x:f>"否"</x:f>
        <x:v>否</x:v>
      </x:c>
    </x:row>
    <x:row r="157">
      <x:c r="A157" s="5" t="n">
        <x:f>'均值原始浓度'!A157</x:f>
        <x:v>152</x:v>
      </x:c>
      <x:c r="B157" s="5" t="str">
        <x:f>IF('均值原始浓度'!B157="","",'均值原始浓度'!B157)</x:f>
        <x:v>异戊醛</x:v>
      </x:c>
      <x:c r="C157" s="5" t="str">
        <x:f>IF('均值原始浓度'!C157="","",'均值原始浓度'!C157)</x:f>
        <x:v>590-86-3</x:v>
      </x:c>
      <x:c r="D157" s="5" t="n">
        <x:f>COUNT('均值原始浓度'!E157:DM157)</x:f>
        <x:v>53</x:v>
      </x:c>
      <x:c r="E157" s="6" t="n">
        <x:f>IF('均值原始浓度'!D157&gt;0,'均值原始浓度'!D157,"")</x:f>
        <x:v>16.5</x:v>
      </x:c>
      <x:c r="F157" s="6" t="n">
        <x:f>IF(D157=0,"",AVERAGE('均值原始浓度'!E157:DM157))</x:f>
        <x:v>18916.951509433962</x:v>
      </x:c>
      <x:c r="G157" s="6" t="n">
        <x:f>IF(AND(D157&gt;0,ISNUMBER(E157),E157&gt;0),F157/E157,"")</x:f>
        <x:v>1146.4819096626643</x:v>
      </x:c>
      <x:c r="H157" s="5" t="str">
        <x:f>IF(NOT(ISNUMBER(G157)),"待定",IF(G157&lt;1,"固定基底候选","参与浓度设计"))</x:f>
        <x:v>参与浓度设计</x:v>
      </x:c>
      <x:c r="I157" s="5" t="str">
        <x:f>"是"</x:f>
        <x:v>是</x:v>
      </x:c>
    </x:row>
    <x:row r="158">
      <x:c r="A158" s="5" t="n">
        <x:f>'均值原始浓度'!A158</x:f>
        <x:v>153</x:v>
      </x:c>
      <x:c r="B158" s="5" t="str">
        <x:f>IF('均值原始浓度'!B158="","",'均值原始浓度'!B158)</x:f>
        <x:v>戊酸丁酯</x:v>
      </x:c>
      <x:c r="C158" s="5" t="str">
        <x:f>IF('均值原始浓度'!C158="","",'均值原始浓度'!C158)</x:f>
        <x:v>591-68-4</x:v>
      </x:c>
      <x:c r="D158" s="5" t="n">
        <x:f>COUNT('均值原始浓度'!E158:DM158)</x:f>
        <x:v>12</x:v>
      </x:c>
      <x:c r="E158" s="6" t="str">
        <x:f>IF('均值原始浓度'!D158&gt;0,'均值原始浓度'!D158,"")</x:f>
      </x:c>
      <x:c r="F158" s="6" t="n">
        <x:f>IF(D158=0,"",AVERAGE('均值原始浓度'!E158:DM158))</x:f>
        <x:v>919.9341666666666</x:v>
      </x:c>
      <x:c r="G158" s="6" t="str">
        <x:f>IF(AND(D158&gt;0,ISNUMBER(E158),E158&gt;0),F158/E158,"")</x:f>
      </x:c>
      <x:c r="H158" s="5" t="str">
        <x:f>IF(NOT(ISNUMBER(G158)),"待定",IF(G158&lt;1,"固定基底候选","参与浓度设计"))</x:f>
        <x:v>待定</x:v>
      </x:c>
      <x:c r="I158" s="5" t="str">
        <x:f>"否"</x:f>
        <x:v>否</x:v>
      </x:c>
    </x:row>
    <x:row r="159">
      <x:c r="A159" s="5" t="n">
        <x:f>'均值原始浓度'!A159</x:f>
        <x:v>154</x:v>
      </x:c>
      <x:c r="B159" s="5" t="str">
        <x:f>IF('均值原始浓度'!B159="","",'均值原始浓度'!B159)</x:f>
      </x:c>
      <x:c r="C159" s="5" t="str">
        <x:f>IF('均值原始浓度'!C159="","",'均值原始浓度'!C159)</x:f>
        <x:v>592-84-7</x:v>
      </x:c>
      <x:c r="D159" s="5" t="n">
        <x:f>COUNT('均值原始浓度'!E159:DM159)</x:f>
        <x:v>4</x:v>
      </x:c>
      <x:c r="E159" s="6" t="str">
        <x:f>IF('均值原始浓度'!D159&gt;0,'均值原始浓度'!D159,"")</x:f>
      </x:c>
      <x:c r="F159" s="6" t="n">
        <x:f>IF(D159=0,"",AVERAGE('均值原始浓度'!E159:DM159))</x:f>
        <x:v>33.9375</x:v>
      </x:c>
      <x:c r="G159" s="6" t="str">
        <x:f>IF(AND(D159&gt;0,ISNUMBER(E159),E159&gt;0),F159/E159,"")</x:f>
      </x:c>
      <x:c r="H159" s="5" t="str">
        <x:f>IF(NOT(ISNUMBER(G159)),"待定",IF(G159&lt;1,"固定基底候选","参与浓度设计"))</x:f>
        <x:v>待定</x:v>
      </x:c>
      <x:c r="I159" s="5" t="str">
        <x:f>"否"</x:f>
        <x:v>否</x:v>
      </x:c>
    </x:row>
    <x:row r="160">
      <x:c r="A160" s="5" t="n">
        <x:f>'均值原始浓度'!A160</x:f>
        <x:v>155</x:v>
      </x:c>
      <x:c r="B160" s="5" t="str">
        <x:f>IF('均值原始浓度'!B160="","",'均值原始浓度'!B160)</x:f>
      </x:c>
      <x:c r="C160" s="5" t="str">
        <x:f>IF('均值原始浓度'!C160="","",'均值原始浓度'!C160)</x:f>
        <x:v>598-75-4</x:v>
      </x:c>
      <x:c r="D160" s="5" t="n">
        <x:f>COUNT('均值原始浓度'!E160:DM160)</x:f>
        <x:v>5</x:v>
      </x:c>
      <x:c r="E160" s="6" t="str">
        <x:f>IF('均值原始浓度'!D160&gt;0,'均值原始浓度'!D160,"")</x:f>
      </x:c>
      <x:c r="F160" s="6" t="n">
        <x:f>IF(D160=0,"",AVERAGE('均值原始浓度'!E160:DM160))</x:f>
        <x:v>4.284000000000001</x:v>
      </x:c>
      <x:c r="G160" s="6" t="str">
        <x:f>IF(AND(D160&gt;0,ISNUMBER(E160),E160&gt;0),F160/E160,"")</x:f>
      </x:c>
      <x:c r="H160" s="5" t="str">
        <x:f>IF(NOT(ISNUMBER(G160)),"待定",IF(G160&lt;1,"固定基底候选","参与浓度设计"))</x:f>
        <x:v>待定</x:v>
      </x:c>
      <x:c r="I160" s="5" t="str">
        <x:f>"否"</x:f>
        <x:v>否</x:v>
      </x:c>
    </x:row>
    <x:row r="161">
      <x:c r="A161" s="5" t="n">
        <x:f>'均值原始浓度'!A161</x:f>
        <x:v>156</x:v>
      </x:c>
      <x:c r="B161" s="5" t="str">
        <x:f>IF('均值原始浓度'!B161="","",'均值原始浓度'!B161)</x:f>
        <x:v>2-糠醛乙酯</x:v>
      </x:c>
      <x:c r="C161" s="5" t="str">
        <x:f>IF('均值原始浓度'!C161="","",'均值原始浓度'!C161)</x:f>
        <x:v>614-99-3</x:v>
      </x:c>
      <x:c r="D161" s="5" t="n">
        <x:f>COUNT('均值原始浓度'!E161:DM161)</x:f>
        <x:v>15</x:v>
      </x:c>
      <x:c r="E161" s="6" t="str">
        <x:f>IF('均值原始浓度'!D161&gt;0,'均值原始浓度'!D161,"")</x:f>
      </x:c>
      <x:c r="F161" s="6" t="n">
        <x:f>IF(D161=0,"",AVERAGE('均值原始浓度'!E161:DM161))</x:f>
        <x:v>679.1700000000001</x:v>
      </x:c>
      <x:c r="G161" s="6" t="str">
        <x:f>IF(AND(D161&gt;0,ISNUMBER(E161),E161&gt;0),F161/E161,"")</x:f>
      </x:c>
      <x:c r="H161" s="5" t="str">
        <x:f>IF(NOT(ISNUMBER(G161)),"待定",IF(G161&lt;1,"固定基底候选","参与浓度设计"))</x:f>
        <x:v>待定</x:v>
      </x:c>
      <x:c r="I161" s="5" t="str">
        <x:f>"否"</x:f>
        <x:v>否</x:v>
      </x:c>
    </x:row>
    <x:row r="162">
      <x:c r="A162" s="5" t="n">
        <x:f>'均值原始浓度'!A162</x:f>
        <x:v>157</x:v>
      </x:c>
      <x:c r="B162" s="5" t="str">
        <x:f>IF('均值原始浓度'!B162="","",'均值原始浓度'!B162)</x:f>
        <x:v>乳酸丙酯</x:v>
      </x:c>
      <x:c r="C162" s="5" t="str">
        <x:f>IF('均值原始浓度'!C162="","",'均值原始浓度'!C162)</x:f>
        <x:v>616-09-1</x:v>
      </x:c>
      <x:c r="D162" s="5" t="n">
        <x:f>COUNT('均值原始浓度'!E162:DM162)</x:f>
        <x:v>2</x:v>
      </x:c>
      <x:c r="E162" s="6" t="str">
        <x:f>IF('均值原始浓度'!D162&gt;0,'均值原始浓度'!D162,"")</x:f>
      </x:c>
      <x:c r="F162" s="6" t="n">
        <x:f>IF(D162=0,"",AVERAGE('均值原始浓度'!E162:DM162))</x:f>
        <x:v>5830</x:v>
      </x:c>
      <x:c r="G162" s="6" t="str">
        <x:f>IF(AND(D162&gt;0,ISNUMBER(E162),E162&gt;0),F162/E162,"")</x:f>
      </x:c>
      <x:c r="H162" s="5" t="str">
        <x:f>IF(NOT(ISNUMBER(G162)),"待定",IF(G162&lt;1,"固定基底候选","参与浓度设计"))</x:f>
        <x:v>待定</x:v>
      </x:c>
      <x:c r="I162" s="5" t="str">
        <x:f>"否"</x:f>
        <x:v>否</x:v>
      </x:c>
    </x:row>
    <x:row r="163">
      <x:c r="A163" s="5" t="n">
        <x:f>'均值原始浓度'!A163</x:f>
        <x:v>158</x:v>
      </x:c>
      <x:c r="B163" s="5" t="str">
        <x:f>IF('均值原始浓度'!B163="","",'均值原始浓度'!B163)</x:f>
      </x:c>
      <x:c r="C163" s="5" t="str">
        <x:f>IF('均值原始浓度'!C163="","",'均值原始浓度'!C163)</x:f>
        <x:v>617-35-6</x:v>
      </x:c>
      <x:c r="D163" s="5" t="n">
        <x:f>COUNT('均值原始浓度'!E163:DM163)</x:f>
        <x:v>7</x:v>
      </x:c>
      <x:c r="E163" s="6" t="str">
        <x:f>IF('均值原始浓度'!D163&gt;0,'均值原始浓度'!D163,"")</x:f>
      </x:c>
      <x:c r="F163" s="6" t="n">
        <x:f>IF(D163=0,"",AVERAGE('均值原始浓度'!E163:DM163))</x:f>
        <x:v>2335.5985714285716</x:v>
      </x:c>
      <x:c r="G163" s="6" t="str">
        <x:f>IF(AND(D163&gt;0,ISNUMBER(E163),E163&gt;0),F163/E163,"")</x:f>
      </x:c>
      <x:c r="H163" s="5" t="str">
        <x:f>IF(NOT(ISNUMBER(G163)),"待定",IF(G163&lt;1,"固定基底候选","参与浓度设计"))</x:f>
        <x:v>待定</x:v>
      </x:c>
      <x:c r="I163" s="5" t="str">
        <x:f>"否"</x:f>
        <x:v>否</x:v>
      </x:c>
    </x:row>
    <x:row r="164">
      <x:c r="A164" s="5" t="n">
        <x:f>'均值原始浓度'!A164</x:f>
        <x:v>159</x:v>
      </x:c>
      <x:c r="B164" s="5" t="str">
        <x:f>IF('均值原始浓度'!B164="","",'均值原始浓度'!B164)</x:f>
        <x:v>5-甲基-2-糠醛</x:v>
      </x:c>
      <x:c r="C164" s="5" t="str">
        <x:f>IF('均值原始浓度'!C164="","",'均值原始浓度'!C164)</x:f>
        <x:v>620-02-0</x:v>
      </x:c>
      <x:c r="D164" s="5" t="n">
        <x:f>COUNT('均值原始浓度'!E164:DM164)</x:f>
        <x:v>14</x:v>
      </x:c>
      <x:c r="E164" s="6" t="str">
        <x:f>IF('均值原始浓度'!D164&gt;0,'均值原始浓度'!D164,"")</x:f>
      </x:c>
      <x:c r="F164" s="6" t="n">
        <x:f>IF(D164=0,"",AVERAGE('均值原始浓度'!E164:DM164))</x:f>
        <x:v>231.05785714285716</x:v>
      </x:c>
      <x:c r="G164" s="6" t="str">
        <x:f>IF(AND(D164&gt;0,ISNUMBER(E164),E164&gt;0),F164/E164,"")</x:f>
      </x:c>
      <x:c r="H164" s="5" t="str">
        <x:f>IF(NOT(ISNUMBER(G164)),"待定",IF(G164&lt;1,"固定基底候选","参与浓度设计"))</x:f>
        <x:v>待定</x:v>
      </x:c>
      <x:c r="I164" s="5" t="str">
        <x:f>"否"</x:f>
        <x:v>否</x:v>
      </x:c>
    </x:row>
    <x:row r="165">
      <x:c r="A165" s="5" t="n">
        <x:f>'均值原始浓度'!A165</x:f>
        <x:v>160</x:v>
      </x:c>
      <x:c r="B165" s="5" t="str">
        <x:f>IF('均值原始浓度'!B165="","",'均值原始浓度'!B165)</x:f>
        <x:v>乙酸糠酯</x:v>
      </x:c>
      <x:c r="C165" s="5" t="str">
        <x:f>IF('均值原始浓度'!C165="","",'均值原始浓度'!C165)</x:f>
        <x:v>623-17-6</x:v>
      </x:c>
      <x:c r="D165" s="5" t="n">
        <x:f>COUNT('均值原始浓度'!E165:DM165)</x:f>
        <x:v>18</x:v>
      </x:c>
      <x:c r="E165" s="6" t="n">
        <x:f>IF('均值原始浓度'!D165&gt;0,'均值原始浓度'!D165,"")</x:f>
        <x:v>26050</x:v>
      </x:c>
      <x:c r="F165" s="6" t="n">
        <x:f>IF(D165=0,"",AVERAGE('均值原始浓度'!E165:DM165))</x:f>
        <x:v>69.10055555555556</x:v>
      </x:c>
      <x:c r="G165" s="6" t="n">
        <x:f>IF(AND(D165&gt;0,ISNUMBER(E165),E165&gt;0),F165/E165,"")</x:f>
        <x:v>0.0026526124973341864</x:v>
      </x:c>
      <x:c r="H165" s="5" t="str">
        <x:f>IF(NOT(ISNUMBER(G165)),"待定",IF(G165&lt;1,"固定基底候选","参与浓度设计"))</x:f>
        <x:v>固定基底候选</x:v>
      </x:c>
      <x:c r="I165" s="5" t="str">
        <x:f>"否"</x:f>
        <x:v>否</x:v>
      </x:c>
    </x:row>
    <x:row r="166">
      <x:c r="A166" s="5" t="n">
        <x:f>'均值原始浓度'!A166</x:f>
        <x:v>161</x:v>
      </x:c>
      <x:c r="B166" s="5" t="str">
        <x:f>IF('均值原始浓度'!B166="","",'均值原始浓度'!B166)</x:f>
        <x:v>丁酸糠酯</x:v>
      </x:c>
      <x:c r="C166" s="5" t="str">
        <x:f>IF('均值原始浓度'!C166="","",'均值原始浓度'!C166)</x:f>
        <x:v>623-21-2</x:v>
      </x:c>
      <x:c r="D166" s="5" t="n">
        <x:f>COUNT('均值原始浓度'!E166:DM166)</x:f>
        <x:v>14</x:v>
      </x:c>
      <x:c r="E166" s="6" t="n">
        <x:f>IF('均值原始浓度'!D166&gt;0,'均值原始浓度'!D166,"")</x:f>
        <x:v>4900</x:v>
      </x:c>
      <x:c r="F166" s="6" t="n">
        <x:f>IF(D166=0,"",AVERAGE('均值原始浓度'!E166:DM166))</x:f>
        <x:v>48.742142857142845</x:v>
      </x:c>
      <x:c r="G166" s="6" t="n">
        <x:f>IF(AND(D166&gt;0,ISNUMBER(E166),E166&gt;0),F166/E166,"")</x:f>
        <x:v>0.009947376093294458</x:v>
      </x:c>
      <x:c r="H166" s="5" t="str">
        <x:f>IF(NOT(ISNUMBER(G166)),"待定",IF(G166&lt;1,"固定基底候选","参与浓度设计"))</x:f>
        <x:v>固定基底候选</x:v>
      </x:c>
      <x:c r="I166" s="5" t="str">
        <x:f>"否"</x:f>
        <x:v>否</x:v>
      </x:c>
    </x:row>
    <x:row r="167">
      <x:c r="A167" s="5" t="n">
        <x:f>'均值原始浓度'!A167</x:f>
        <x:v>162</x:v>
      </x:c>
      <x:c r="B167" s="5" t="str">
        <x:f>IF('均值原始浓度'!B167="","",'均值原始浓度'!B167)</x:f>
        <x:v>辛酸丙酯</x:v>
      </x:c>
      <x:c r="C167" s="5" t="str">
        <x:f>IF('均值原始浓度'!C167="","",'均值原始浓度'!C167)</x:f>
        <x:v>624-13-5</x:v>
      </x:c>
      <x:c r="D167" s="5" t="n">
        <x:f>COUNT('均值原始浓度'!E167:DM167)</x:f>
        <x:v>22</x:v>
      </x:c>
      <x:c r="E167" s="6" t="str">
        <x:f>IF('均值原始浓度'!D167&gt;0,'均值原始浓度'!D167,"")</x:f>
      </x:c>
      <x:c r="F167" s="6" t="n">
        <x:f>IF(D167=0,"",AVERAGE('均值原始浓度'!E167:DM167))</x:f>
        <x:v>1450.5027272727277</x:v>
      </x:c>
      <x:c r="G167" s="6" t="str">
        <x:f>IF(AND(D167&gt;0,ISNUMBER(E167),E167&gt;0),F167/E167,"")</x:f>
      </x:c>
      <x:c r="H167" s="5" t="str">
        <x:f>IF(NOT(ISNUMBER(G167)),"待定",IF(G167&lt;1,"固定基底候选","参与浓度设计"))</x:f>
        <x:v>待定</x:v>
      </x:c>
      <x:c r="I167" s="5" t="str">
        <x:f>"否"</x:f>
        <x:v>否</x:v>
      </x:c>
    </x:row>
    <x:row r="168">
      <x:c r="A168" s="5" t="n">
        <x:f>'均值原始浓度'!A168</x:f>
        <x:v>163</x:v>
      </x:c>
      <x:c r="B168" s="5" t="str">
        <x:f>IF('均值原始浓度'!B168="","",'均值原始浓度'!B168)</x:f>
        <x:v>二甲基二硫</x:v>
      </x:c>
      <x:c r="C168" s="5" t="str">
        <x:f>IF('均值原始浓度'!C168="","",'均值原始浓度'!C168)</x:f>
        <x:v>624-92-0</x:v>
      </x:c>
      <x:c r="D168" s="5" t="n">
        <x:f>COUNT('均值原始浓度'!E168:DM168)</x:f>
        <x:v>15</x:v>
      </x:c>
      <x:c r="E168" s="6" t="str">
        <x:f>IF('均值原始浓度'!D168&gt;0,'均值原始浓度'!D168,"")</x:f>
      </x:c>
      <x:c r="F168" s="6" t="n">
        <x:f>IF(D168=0,"",AVERAGE('均值原始浓度'!E168:DM168))</x:f>
        <x:v>776.0233333333333</x:v>
      </x:c>
      <x:c r="G168" s="6" t="str">
        <x:f>IF(AND(D168&gt;0,ISNUMBER(E168),E168&gt;0),F168/E168,"")</x:f>
      </x:c>
      <x:c r="H168" s="5" t="str">
        <x:f>IF(NOT(ISNUMBER(G168)),"待定",IF(G168&lt;1,"固定基底候选","参与浓度设计"))</x:f>
        <x:v>待定</x:v>
      </x:c>
      <x:c r="I168" s="5" t="str">
        <x:f>"否"</x:f>
        <x:v>否</x:v>
      </x:c>
    </x:row>
    <x:row r="169">
      <x:c r="A169" s="5" t="n">
        <x:f>'均值原始浓度'!A169</x:f>
        <x:v>164</x:v>
      </x:c>
      <x:c r="B169" s="5" t="str">
        <x:f>IF('均值原始浓度'!B169="","",'均值原始浓度'!B169)</x:f>
        <x:v>己酸丙酯a</x:v>
      </x:c>
      <x:c r="C169" s="5" t="str">
        <x:f>IF('均值原始浓度'!C169="","",'均值原始浓度'!C169)</x:f>
        <x:v>626-77-7</x:v>
      </x:c>
      <x:c r="D169" s="5" t="n">
        <x:f>COUNT('均值原始浓度'!E169:DM169)</x:f>
        <x:v>85</x:v>
      </x:c>
      <x:c r="E169" s="6" t="n">
        <x:f>IF('均值原始浓度'!D169&gt;0,'均值原始浓度'!D169,"")</x:f>
        <x:v>12784</x:v>
      </x:c>
      <x:c r="F169" s="6" t="n">
        <x:f>IF(D169=0,"",AVERAGE('均值原始浓度'!E169:DM169))</x:f>
        <x:v>6205.935529411763</x:v>
      </x:c>
      <x:c r="G169" s="6" t="n">
        <x:f>IF(AND(D169&gt;0,ISNUMBER(E169),E169&gt;0),F169/E169,"")</x:f>
        <x:v>0.4854455201354633</x:v>
      </x:c>
      <x:c r="H169" s="5" t="str">
        <x:f>IF(NOT(ISNUMBER(G169)),"待定",IF(G169&lt;1,"固定基底候选","参与浓度设计"))</x:f>
        <x:v>固定基底候选</x:v>
      </x:c>
      <x:c r="I169" s="5" t="str">
        <x:f>"否"</x:f>
        <x:v>否</x:v>
      </x:c>
    </x:row>
    <x:row r="170">
      <x:c r="A170" s="5" t="n">
        <x:f>'均值原始浓度'!A170</x:f>
        <x:v>165</x:v>
      </x:c>
      <x:c r="B170" s="5" t="str">
        <x:f>IF('均值原始浓度'!B170="","",'均值原始浓度'!B170)</x:f>
        <x:v>己酸丁酯</x:v>
      </x:c>
      <x:c r="C170" s="5" t="str">
        <x:f>IF('均值原始浓度'!C170="","",'均值原始浓度'!C170)</x:f>
        <x:v>626-82-4</x:v>
      </x:c>
      <x:c r="D170" s="5" t="n">
        <x:f>COUNT('均值原始浓度'!E170:DM170)</x:f>
        <x:v>68</x:v>
      </x:c>
      <x:c r="E170" s="6" t="n">
        <x:f>IF('均值原始浓度'!D170&gt;0,'均值原始浓度'!D170,"")</x:f>
        <x:v>677.84</x:v>
      </x:c>
      <x:c r="F170" s="6" t="n">
        <x:f>IF(D170=0,"",AVERAGE('均值原始浓度'!E170:DM170))</x:f>
        <x:v>9731.50534264706</x:v>
      </x:c>
      <x:c r="G170" s="6" t="n">
        <x:f>IF(AND(D170&gt;0,ISNUMBER(E170),E170&gt;0),F170/E170,"")</x:f>
        <x:v>14.35664071557751</x:v>
      </x:c>
      <x:c r="H170" s="5" t="str">
        <x:f>IF(NOT(ISNUMBER(G170)),"待定",IF(G170&lt;1,"固定基底候选","参与浓度设计"))</x:f>
        <x:v>参与浓度设计</x:v>
      </x:c>
      <x:c r="I170" s="5" t="str">
        <x:f>"是"</x:f>
        <x:v>是</x:v>
      </x:c>
    </x:row>
    <x:row r="171">
      <x:c r="A171" s="5" t="n">
        <x:f>'均值原始浓度'!A171</x:f>
        <x:v>166</x:v>
      </x:c>
      <x:c r="B171" s="5" t="str">
        <x:f>IF('均值原始浓度'!B171="","",'均值原始浓度'!B171)</x:f>
        <x:v>2-己醇</x:v>
      </x:c>
      <x:c r="C171" s="5" t="str">
        <x:f>IF('均值原始浓度'!C171="","",'均值原始浓度'!C171)</x:f>
        <x:v>626-93-7</x:v>
      </x:c>
      <x:c r="D171" s="5" t="n">
        <x:f>COUNT('均值原始浓度'!E171:DM171)</x:f>
        <x:v>8</x:v>
      </x:c>
      <x:c r="E171" s="6" t="str">
        <x:f>IF('均值原始浓度'!D171&gt;0,'均值原始浓度'!D171,"")</x:f>
      </x:c>
      <x:c r="F171" s="6" t="n">
        <x:f>IF(D171=0,"",AVERAGE('均值原始浓度'!E171:DM171))</x:f>
        <x:v>1.63125</x:v>
      </x:c>
      <x:c r="G171" s="6" t="str">
        <x:f>IF(AND(D171&gt;0,ISNUMBER(E171),E171&gt;0),F171/E171,"")</x:f>
      </x:c>
      <x:c r="H171" s="5" t="str">
        <x:f>IF(NOT(ISNUMBER(G171)),"待定",IF(G171&lt;1,"固定基底候选","参与浓度设计"))</x:f>
        <x:v>待定</x:v>
      </x:c>
      <x:c r="I171" s="5" t="str">
        <x:f>"否"</x:f>
        <x:v>否</x:v>
      </x:c>
    </x:row>
    <x:row r="172">
      <x:c r="A172" s="5" t="n">
        <x:f>'均值原始浓度'!A172</x:f>
        <x:v>167</x:v>
      </x:c>
      <x:c r="B172" s="5" t="str">
        <x:f>IF('均值原始浓度'!B172="","",'均值原始浓度'!B172)</x:f>
        <x:v>十一酸乙酯</x:v>
      </x:c>
      <x:c r="C172" s="5" t="str">
        <x:f>IF('均值原始浓度'!C172="","",'均值原始浓度'!C172)</x:f>
        <x:v>627-90-7</x:v>
      </x:c>
      <x:c r="D172" s="5" t="n">
        <x:f>COUNT('均值原始浓度'!E172:DM172)</x:f>
        <x:v>40</x:v>
      </x:c>
      <x:c r="E172" s="6" t="str">
        <x:f>IF('均值原始浓度'!D172&gt;0,'均值原始浓度'!D172,"")</x:f>
      </x:c>
      <x:c r="F172" s="6" t="n">
        <x:f>IF(D172=0,"",AVERAGE('均值原始浓度'!E172:DM172))</x:f>
        <x:v>215.75829249999998</x:v>
      </x:c>
      <x:c r="G172" s="6" t="str">
        <x:f>IF(AND(D172&gt;0,ISNUMBER(E172),E172&gt;0),F172/E172,"")</x:f>
      </x:c>
      <x:c r="H172" s="5" t="str">
        <x:f>IF(NOT(ISNUMBER(G172)),"待定",IF(G172&lt;1,"固定基底候选","参与浓度设计"))</x:f>
        <x:v>待定</x:v>
      </x:c>
      <x:c r="I172" s="5" t="str">
        <x:f>"否"</x:f>
        <x:v>否</x:v>
      </x:c>
    </x:row>
    <x:row r="173">
      <x:c r="A173" s="5" t="n">
        <x:f>'均值原始浓度'!A173</x:f>
        <x:v>168</x:v>
      </x:c>
      <x:c r="B173" s="5" t="str">
        <x:f>IF('均值原始浓度'!B173="","",'均值原始浓度'!B173)</x:f>
        <x:v>乙酸戊酯</x:v>
      </x:c>
      <x:c r="C173" s="5" t="str">
        <x:f>IF('均值原始浓度'!C173="","",'均值原始浓度'!C173)</x:f>
        <x:v>628-63-7</x:v>
      </x:c>
      <x:c r="D173" s="5" t="n">
        <x:f>COUNT('均值原始浓度'!E173:DM173)</x:f>
        <x:v>5</x:v>
      </x:c>
      <x:c r="E173" s="6" t="str">
        <x:f>IF('均值原始浓度'!D173&gt;0,'均值原始浓度'!D173,"")</x:f>
      </x:c>
      <x:c r="F173" s="6" t="n">
        <x:f>IF(D173=0,"",AVERAGE('均值原始浓度'!E173:DM173))</x:f>
        <x:v>132.598</x:v>
      </x:c>
      <x:c r="G173" s="6" t="str">
        <x:f>IF(AND(D173&gt;0,ISNUMBER(E173),E173&gt;0),F173/E173,"")</x:f>
      </x:c>
      <x:c r="H173" s="5" t="str">
        <x:f>IF(NOT(ISNUMBER(G173)),"待定",IF(G173&lt;1,"固定基底候选","参与浓度设计"))</x:f>
        <x:v>待定</x:v>
      </x:c>
      <x:c r="I173" s="5" t="str">
        <x:f>"否"</x:f>
        <x:v>否</x:v>
      </x:c>
    </x:row>
    <x:row r="174">
      <x:c r="A174" s="5" t="n">
        <x:f>'均值原始浓度'!A174</x:f>
        <x:v>169</x:v>
      </x:c>
      <x:c r="B174" s="5" t="str">
        <x:f>IF('均值原始浓度'!B174="","",'均值原始浓度'!B174)</x:f>
        <x:v>棕榈酸乙酯</x:v>
      </x:c>
      <x:c r="C174" s="5" t="str">
        <x:f>IF('均值原始浓度'!C174="","",'均值原始浓度'!C174)</x:f>
        <x:v>628-97-7</x:v>
      </x:c>
      <x:c r="D174" s="5" t="n">
        <x:f>COUNT('均值原始浓度'!E174:DM174)</x:f>
        <x:v>42</x:v>
      </x:c>
      <x:c r="E174" s="6" t="str">
        <x:f>IF('均值原始浓度'!D174&gt;0,'均值原始浓度'!D174,"")</x:f>
      </x:c>
      <x:c r="F174" s="6" t="n">
        <x:f>IF(D174=0,"",AVERAGE('均值原始浓度'!E174:DM174))</x:f>
        <x:v>18252.676309523813</x:v>
      </x:c>
      <x:c r="G174" s="6" t="str">
        <x:f>IF(AND(D174&gt;0,ISNUMBER(E174),E174&gt;0),F174/E174,"")</x:f>
      </x:c>
      <x:c r="H174" s="5" t="str">
        <x:f>IF(NOT(ISNUMBER(G174)),"待定",IF(G174&lt;1,"固定基底候选","参与浓度设计"))</x:f>
        <x:v>待定</x:v>
      </x:c>
      <x:c r="I174" s="5" t="str">
        <x:f>"否"</x:f>
        <x:v>否</x:v>
      </x:c>
    </x:row>
    <x:row r="175">
      <x:c r="A175" s="5" t="n">
        <x:f>'均值原始浓度'!A175</x:f>
        <x:v>170</x:v>
      </x:c>
      <x:c r="B175" s="5" t="str">
        <x:f>IF('均值原始浓度'!B175="","",'均值原始浓度'!B175)</x:f>
        <x:v>2-壬基醇</x:v>
      </x:c>
      <x:c r="C175" s="5" t="str">
        <x:f>IF('均值原始浓度'!C175="","",'均值原始浓度'!C175)</x:f>
        <x:v>628-99-9</x:v>
      </x:c>
      <x:c r="D175" s="5" t="n">
        <x:f>COUNT('均值原始浓度'!E175:DM175)</x:f>
        <x:v>1</x:v>
      </x:c>
      <x:c r="E175" s="6" t="str">
        <x:f>IF('均值原始浓度'!D175&gt;0,'均值原始浓度'!D175,"")</x:f>
      </x:c>
      <x:c r="F175" s="6" t="n">
        <x:f>IF(D175=0,"",AVERAGE('均值原始浓度'!E175:DM175))</x:f>
        <x:v>0.1</x:v>
      </x:c>
      <x:c r="G175" s="6" t="str">
        <x:f>IF(AND(D175&gt;0,ISNUMBER(E175),E175&gt;0),F175/E175,"")</x:f>
      </x:c>
      <x:c r="H175" s="5" t="str">
        <x:f>IF(NOT(ISNUMBER(G175)),"待定",IF(G175&lt;1,"固定基底候选","参与浓度设计"))</x:f>
        <x:v>待定</x:v>
      </x:c>
      <x:c r="I175" s="5" t="str">
        <x:f>"否"</x:f>
        <x:v>否</x:v>
      </x:c>
    </x:row>
    <x:row r="176">
      <x:c r="A176" s="5" t="n">
        <x:f>'均值原始浓度'!A176</x:f>
        <x:v>171</x:v>
      </x:c>
      <x:c r="B176" s="5" t="str">
        <x:f>IF('均值原始浓度'!B176="","",'均值原始浓度'!B176)</x:f>
        <x:v>异己酸（4-甲基戊酸）</x:v>
      </x:c>
      <x:c r="C176" s="5" t="str">
        <x:f>IF('均值原始浓度'!C176="","",'均值原始浓度'!C176)</x:f>
        <x:v>646-07-1</x:v>
      </x:c>
      <x:c r="D176" s="5" t="n">
        <x:f>COUNT('均值原始浓度'!E176:DM176)</x:f>
        <x:v>37</x:v>
      </x:c>
      <x:c r="E176" s="6" t="str">
        <x:f>IF('均值原始浓度'!D176&gt;0,'均值原始浓度'!D176,"")</x:f>
      </x:c>
      <x:c r="F176" s="6" t="n">
        <x:f>IF(D176=0,"",AVERAGE('均值原始浓度'!E176:DM176))</x:f>
        <x:v>3153.906891891892</x:v>
      </x:c>
      <x:c r="G176" s="6" t="str">
        <x:f>IF(AND(D176&gt;0,ISNUMBER(E176),E176&gt;0),F176/E176,"")</x:f>
      </x:c>
      <x:c r="H176" s="5" t="str">
        <x:f>IF(NOT(ISNUMBER(G176)),"待定",IF(G176&lt;1,"固定基底候选","参与浓度设计"))</x:f>
        <x:v>待定</x:v>
      </x:c>
      <x:c r="I176" s="5" t="str">
        <x:f>"否"</x:f>
        <x:v>否</x:v>
      </x:c>
    </x:row>
    <x:row r="177">
      <x:c r="A177" s="5" t="n">
        <x:f>'均值原始浓度'!A177</x:f>
        <x:v>172</x:v>
      </x:c>
      <x:c r="B177" s="5" t="str">
        <x:f>IF('均值原始浓度'!B177="","",'均值原始浓度'!B177)</x:f>
        <x:v>异戊酸异戊酯</x:v>
      </x:c>
      <x:c r="C177" s="5" t="str">
        <x:f>IF('均值原始浓度'!C177="","",'均值原始浓度'!C177)</x:f>
        <x:v>659-70-1</x:v>
      </x:c>
      <x:c r="D177" s="5" t="n">
        <x:f>COUNT('均值原始浓度'!E177:DM177)</x:f>
        <x:v>16</x:v>
      </x:c>
      <x:c r="E177" s="6" t="n">
        <x:f>IF('均值原始浓度'!D177&gt;0,'均值原始浓度'!D177,"")</x:f>
        <x:v>134</x:v>
      </x:c>
      <x:c r="F177" s="6" t="n">
        <x:f>IF(D177=0,"",AVERAGE('均值原始浓度'!E177:DM177))</x:f>
        <x:v>20.347499999999997</x:v>
      </x:c>
      <x:c r="G177" s="6" t="n">
        <x:f>IF(AND(D177&gt;0,ISNUMBER(E177),E177&gt;0),F177/E177,"")</x:f>
        <x:v>0.1518470149253731</x:v>
      </x:c>
      <x:c r="H177" s="5" t="str">
        <x:f>IF(NOT(ISNUMBER(G177)),"待定",IF(G177&lt;1,"固定基底候选","参与浓度设计"))</x:f>
        <x:v>固定基底候选</x:v>
      </x:c>
      <x:c r="I177" s="5" t="str">
        <x:f>"否"</x:f>
        <x:v>否</x:v>
      </x:c>
    </x:row>
    <x:row r="178">
      <x:c r="A178" s="5" t="n">
        <x:f>'均值原始浓度'!A178</x:f>
        <x:v>173</x:v>
      </x:c>
      <x:c r="B178" s="5" t="str">
        <x:f>IF('均值原始浓度'!B178="","",'均值原始浓度'!B178)</x:f>
      </x:c>
      <x:c r="C178" s="5" t="str">
        <x:f>IF('均值原始浓度'!C178="","",'均值原始浓度'!C178)</x:f>
        <x:v>687-47-8</x:v>
      </x:c>
      <x:c r="D178" s="5" t="n">
        <x:f>COUNT('均值原始浓度'!E178:DM178)</x:f>
        <x:v>0</x:v>
      </x:c>
      <x:c r="E178" s="6" t="str">
        <x:f>IF('均值原始浓度'!D178&gt;0,'均值原始浓度'!D178,"")</x:f>
      </x:c>
      <x:c r="F178" s="6" t="str">
        <x:f>IF(D178=0,"",AVERAGE('均值原始浓度'!E178:DM178))</x:f>
      </x:c>
      <x:c r="G178" s="6" t="str">
        <x:f>IF(AND(D178&gt;0,ISNUMBER(E178),E178&gt;0),F178/E178,"")</x:f>
      </x:c>
      <x:c r="H178" s="5" t="str">
        <x:f>IF(NOT(ISNUMBER(G178)),"待定",IF(G178&lt;1,"固定基底候选","参与浓度设计"))</x:f>
        <x:v>待定</x:v>
      </x:c>
      <x:c r="I178" s="5" t="str">
        <x:f>"否"</x:f>
        <x:v>否</x:v>
      </x:c>
    </x:row>
    <x:row r="179">
      <x:c r="A179" s="5" t="n">
        <x:f>'均值原始浓度'!A179</x:f>
        <x:v>174</x:v>
      </x:c>
      <x:c r="B179" s="5" t="str">
        <x:f>IF('均值原始浓度'!B179="","",'均值原始浓度'!B179)</x:f>
        <x:v>甲基壬基甲酮</x:v>
      </x:c>
      <x:c r="C179" s="5" t="str">
        <x:f>IF('均值原始浓度'!C179="","",'均值原始浓度'!C179)</x:f>
        <x:v>693-54-9</x:v>
      </x:c>
      <x:c r="D179" s="5" t="n">
        <x:f>COUNT('均值原始浓度'!E179:DM179)</x:f>
        <x:v>2</x:v>
      </x:c>
      <x:c r="E179" s="6" t="n">
        <x:f>IF('均值原始浓度'!D179&gt;0,'均值原始浓度'!D179,"")</x:f>
        <x:v>400</x:v>
      </x:c>
      <x:c r="F179" s="6" t="n">
        <x:f>IF(D179=0,"",AVERAGE('均值原始浓度'!E179:DM179))</x:f>
        <x:v>290.5</x:v>
      </x:c>
      <x:c r="G179" s="6" t="n">
        <x:f>IF(AND(D179&gt;0,ISNUMBER(E179),E179&gt;0),F179/E179,"")</x:f>
        <x:v>0.72625</x:v>
      </x:c>
      <x:c r="H179" s="5" t="str">
        <x:f>IF(NOT(ISNUMBER(G179)),"待定",IF(G179&lt;1,"固定基底候选","参与浓度设计"))</x:f>
        <x:v>固定基底候选</x:v>
      </x:c>
      <x:c r="I179" s="5" t="str">
        <x:f>"否"</x:f>
        <x:v>否</x:v>
      </x:c>
    </x:row>
    <x:row r="180">
      <x:c r="A180" s="5" t="n">
        <x:f>'均值原始浓度'!A180</x:f>
        <x:v>175</x:v>
      </x:c>
      <x:c r="B180" s="5" t="str">
        <x:f>IF('均值原始浓度'!B180="","",'均值原始浓度'!B180)</x:f>
        <x:v>γ-己内酯</x:v>
      </x:c>
      <x:c r="C180" s="5" t="str">
        <x:f>IF('均值原始浓度'!C180="","",'均值原始浓度'!C180)</x:f>
        <x:v>695-06-7</x:v>
      </x:c>
      <x:c r="D180" s="5" t="n">
        <x:f>COUNT('均值原始浓度'!E180:DM180)</x:f>
        <x:v>18</x:v>
      </x:c>
      <x:c r="E180" s="6" t="n">
        <x:f>IF('均值原始浓度'!D180&gt;0,'均值原始浓度'!D180,"")</x:f>
        <x:v>12500</x:v>
      </x:c>
      <x:c r="F180" s="6" t="n">
        <x:f>IF(D180=0,"",AVERAGE('均值原始浓度'!E180:DM180))</x:f>
        <x:v>1587.9875000000002</x:v>
      </x:c>
      <x:c r="G180" s="6" t="n">
        <x:f>IF(AND(D180&gt;0,ISNUMBER(E180),E180&gt;0),F180/E180,"")</x:f>
        <x:v>0.127039</x:v>
      </x:c>
      <x:c r="H180" s="5" t="str">
        <x:f>IF(NOT(ISNUMBER(G180)),"待定",IF(G180&lt;1,"固定基底候选","参与浓度设计"))</x:f>
        <x:v>固定基底候选</x:v>
      </x:c>
      <x:c r="I180" s="5" t="str">
        <x:f>"否"</x:f>
        <x:v>否</x:v>
      </x:c>
    </x:row>
    <x:row r="181">
      <x:c r="A181" s="5" t="n">
        <x:f>'均值原始浓度'!A181</x:f>
        <x:v>176</x:v>
      </x:c>
      <x:c r="B181" s="5" t="str">
        <x:f>IF('均值原始浓度'!B181="","",'均值原始浓度'!B181)</x:f>
        <x:v>2-壬酮</x:v>
      </x:c>
      <x:c r="C181" s="5" t="str">
        <x:f>IF('均值原始浓度'!C181="","",'均值原始浓度'!C181)</x:f>
        <x:v>821-55-6</x:v>
      </x:c>
      <x:c r="D181" s="5" t="n">
        <x:f>COUNT('均值原始浓度'!E181:DM181)</x:f>
        <x:v>44</x:v>
      </x:c>
      <x:c r="E181" s="6" t="n">
        <x:f>IF('均值原始浓度'!D181&gt;0,'均值原始浓度'!D181,"")</x:f>
        <x:v>393</x:v>
      </x:c>
      <x:c r="F181" s="6" t="n">
        <x:f>IF(D181=0,"",AVERAGE('均值原始浓度'!E181:DM181))</x:f>
        <x:v>430.3260227272727</x:v>
      </x:c>
      <x:c r="G181" s="6" t="n">
        <x:f>IF(AND(D181&gt;0,ISNUMBER(E181),E181&gt;0),F181/E181,"")</x:f>
        <x:v>1.0949771570668516</x:v>
      </x:c>
      <x:c r="H181" s="5" t="str">
        <x:f>IF(NOT(ISNUMBER(G181)),"待定",IF(G181&lt;1,"固定基底候选","参与浓度设计"))</x:f>
        <x:v>参与浓度设计</x:v>
      </x:c>
      <x:c r="I181" s="5" t="str">
        <x:f>"否"</x:f>
        <x:v>否</x:v>
      </x:c>
    </x:row>
    <x:row r="182">
      <x:c r="A182" s="5" t="n">
        <x:f>'均值原始浓度'!A182</x:f>
        <x:v>177</x:v>
      </x:c>
      <x:c r="B182" s="5" t="str">
        <x:f>IF('均值原始浓度'!B182="","",'均值原始浓度'!B182)</x:f>
        <x:v>反式-3-己烯-1-醇</x:v>
      </x:c>
      <x:c r="C182" s="5" t="str">
        <x:f>IF('均值原始浓度'!C182="","",'均值原始浓度'!C182)</x:f>
        <x:v>928-97-2</x:v>
      </x:c>
      <x:c r="D182" s="5" t="n">
        <x:f>COUNT('均值原始浓度'!E182:DM182)</x:f>
        <x:v>14</x:v>
      </x:c>
      <x:c r="E182" s="6" t="n">
        <x:f>IF('均值原始浓度'!D182&gt;0,'均值原始浓度'!D182,"")</x:f>
        <x:v>400</x:v>
      </x:c>
      <x:c r="F182" s="6" t="n">
        <x:f>IF(D182=0,"",AVERAGE('均值原始浓度'!E182:DM182))</x:f>
        <x:v>254.8985714285714</x:v>
      </x:c>
      <x:c r="G182" s="6" t="n">
        <x:f>IF(AND(D182&gt;0,ISNUMBER(E182),E182&gt;0),F182/E182,"")</x:f>
        <x:v>0.6372464285714284</x:v>
      </x:c>
      <x:c r="H182" s="5" t="str">
        <x:f>IF(NOT(ISNUMBER(G182)),"待定",IF(G182&lt;1,"固定基底候选","参与浓度设计"))</x:f>
        <x:v>固定基底候选</x:v>
      </x:c>
      <x:c r="I182" s="5" t="str">
        <x:f>"否"</x:f>
        <x:v>否</x:v>
      </x:c>
    </x:row>
    <x:row r="183">
      <x:c r="A183" s="5" t="n">
        <x:f>'均值原始浓度'!A183</x:f>
        <x:v>178</x:v>
      </x:c>
      <x:c r="B183" s="5" t="str">
        <x:f>IF('均值原始浓度'!B183="","",'均值原始浓度'!B183)</x:f>
        <x:v>辛酸己酯</x:v>
      </x:c>
      <x:c r="C183" s="5" t="str">
        <x:f>IF('均值原始浓度'!C183="","",'均值原始浓度'!C183)</x:f>
        <x:v>1117-55-1</x:v>
      </x:c>
      <x:c r="D183" s="5" t="n">
        <x:f>COUNT('均值原始浓度'!E183:DM183)</x:f>
        <x:v>9</x:v>
      </x:c>
      <x:c r="E183" s="6" t="str">
        <x:f>IF('均值原始浓度'!D183&gt;0,'均值原始浓度'!D183,"")</x:f>
      </x:c>
      <x:c r="F183" s="6" t="n">
        <x:f>IF(D183=0,"",AVERAGE('均值原始浓度'!E183:DM183))</x:f>
        <x:v>12176.193333333333</x:v>
      </x:c>
      <x:c r="G183" s="6" t="str">
        <x:f>IF(AND(D183&gt;0,ISNUMBER(E183),E183&gt;0),F183/E183,"")</x:f>
      </x:c>
      <x:c r="H183" s="5" t="str">
        <x:f>IF(NOT(ISNUMBER(G183)),"待定",IF(G183&lt;1,"固定基底候选","参与浓度设计"))</x:f>
        <x:v>待定</x:v>
      </x:c>
      <x:c r="I183" s="5" t="str">
        <x:f>"否"</x:f>
        <x:v>否</x:v>
      </x:c>
    </x:row>
    <x:row r="184">
      <x:c r="A184" s="5" t="n">
        <x:f>'均值原始浓度'!A184</x:f>
        <x:v>179</x:v>
      </x:c>
      <x:c r="B184" s="5" t="str">
        <x:f>IF('均值原始浓度'!B184="","",'均值原始浓度'!B184)</x:f>
        <x:v>2,3,5,6-四甲基吡嗪</x:v>
      </x:c>
      <x:c r="C184" s="5" t="str">
        <x:f>IF('均值原始浓度'!C184="","",'均值原始浓度'!C184)</x:f>
        <x:v>1124-11-4</x:v>
      </x:c>
      <x:c r="D184" s="5" t="n">
        <x:f>COUNT('均值原始浓度'!E184:DM184)</x:f>
        <x:v>28</x:v>
      </x:c>
      <x:c r="E184" s="6" t="n">
        <x:f>IF('均值原始浓度'!D184&gt;0,'均值原始浓度'!D184,"")</x:f>
        <x:v>80073</x:v>
      </x:c>
      <x:c r="F184" s="6" t="n">
        <x:f>IF(D184=0,"",AVERAGE('均值原始浓度'!E184:DM184))</x:f>
        <x:v>175.7428571428571</x:v>
      </x:c>
      <x:c r="G184" s="6" t="n">
        <x:f>IF(AND(D184&gt;0,ISNUMBER(E184),E184&gt;0),F184/E184,"")</x:f>
        <x:v>0.0021947829748211896</x:v>
      </x:c>
      <x:c r="H184" s="5" t="str">
        <x:f>IF(NOT(ISNUMBER(G184)),"待定",IF(G184&lt;1,"固定基底候选","参与浓度设计"))</x:f>
        <x:v>固定基底候选</x:v>
      </x:c>
      <x:c r="I184" s="5" t="str">
        <x:f>"否"</x:f>
        <x:v>否</x:v>
      </x:c>
    </x:row>
    <x:row r="185">
      <x:c r="A185" s="5" t="n">
        <x:f>'均值原始浓度'!A185</x:f>
        <x:v>180</x:v>
      </x:c>
      <x:c r="B185" s="5" t="str">
        <x:f>IF('均值原始浓度'!B185="","",'均值原始浓度'!B185)</x:f>
        <x:v>亚麻酸乙酯</x:v>
      </x:c>
      <x:c r="C185" s="5" t="str">
        <x:f>IF('均值原始浓度'!C185="","",'均值原始浓度'!C185)</x:f>
        <x:v>1191-41-9</x:v>
      </x:c>
      <x:c r="D185" s="5" t="n">
        <x:f>COUNT('均值原始浓度'!E185:DM185)</x:f>
        <x:v>2</x:v>
      </x:c>
      <x:c r="E185" s="6" t="str">
        <x:f>IF('均值原始浓度'!D185&gt;0,'均值原始浓度'!D185,"")</x:f>
      </x:c>
      <x:c r="F185" s="6" t="n">
        <x:f>IF(D185=0,"",AVERAGE('均值原始浓度'!E185:DM185))</x:f>
        <x:v>176035</x:v>
      </x:c>
      <x:c r="G185" s="6" t="str">
        <x:f>IF(AND(D185&gt;0,ISNUMBER(E185),E185&gt;0),F185/E185,"")</x:f>
      </x:c>
      <x:c r="H185" s="5" t="str">
        <x:f>IF(NOT(ISNUMBER(G185)),"待定",IF(G185&lt;1,"固定基底候选","参与浓度设计"))</x:f>
        <x:v>待定</x:v>
      </x:c>
      <x:c r="I185" s="5" t="str">
        <x:f>"否"</x:f>
        <x:v>否</x:v>
      </x:c>
    </x:row>
    <x:row r="186">
      <x:c r="A186" s="5" t="n">
        <x:f>'均值原始浓度'!A186</x:f>
        <x:v>181</x:v>
      </x:c>
      <x:c r="B186" s="5" t="str">
        <x:f>IF('均值原始浓度'!B186="","",'均值原始浓度'!B186)</x:f>
        <x:v>2-乙酰基呋喃</x:v>
      </x:c>
      <x:c r="C186" s="5" t="str">
        <x:f>IF('均值原始浓度'!C186="","",'均值原始浓度'!C186)</x:f>
        <x:v>1192-62-7</x:v>
      </x:c>
      <x:c r="D186" s="5" t="n">
        <x:f>COUNT('均值原始浓度'!E186:DM186)</x:f>
        <x:v>21</x:v>
      </x:c>
      <x:c r="E186" s="6" t="n">
        <x:f>IF('均值原始浓度'!D186&gt;0,'均值原始浓度'!D186,"")</x:f>
        <x:v>88596.2</x:v>
      </x:c>
      <x:c r="F186" s="6" t="n">
        <x:f>IF(D186=0,"",AVERAGE('均值原始浓度'!E186:DM186))</x:f>
        <x:v>33694.97000000001</x:v>
      </x:c>
      <x:c r="G186" s="6" t="n">
        <x:f>IF(AND(D186&gt;0,ISNUMBER(E186),E186&gt;0),F186/E186,"")</x:f>
        <x:v>0.3803207135294743</x:v>
      </x:c>
      <x:c r="H186" s="5" t="str">
        <x:f>IF(NOT(ISNUMBER(G186)),"待定",IF(G186&lt;1,"固定基底候选","参与浓度设计"))</x:f>
        <x:v>固定基底候选</x:v>
      </x:c>
      <x:c r="I186" s="5" t="str">
        <x:f>"否"</x:f>
        <x:v>否</x:v>
      </x:c>
    </x:row>
    <x:row r="187">
      <x:c r="A187" s="5" t="n">
        <x:f>'均值原始浓度'!A187</x:f>
        <x:v>182</x:v>
      </x:c>
      <x:c r="B187" s="5" t="str">
        <x:f>IF('均值原始浓度'!B187="","",'均值原始浓度'!B187)</x:f>
        <x:v>2-乙酰基-5-甲基呋喃</x:v>
      </x:c>
      <x:c r="C187" s="5" t="str">
        <x:f>IF('均值原始浓度'!C187="","",'均值原始浓度'!C187)</x:f>
        <x:v>1193-79-9</x:v>
      </x:c>
      <x:c r="D187" s="5" t="n">
        <x:f>COUNT('均值原始浓度'!E187:DM187)</x:f>
        <x:v>11</x:v>
      </x:c>
      <x:c r="E187" s="6" t="n">
        <x:f>IF('均值原始浓度'!D187&gt;0,'均值原始浓度'!D187,"")</x:f>
        <x:v>83259.8</x:v>
      </x:c>
      <x:c r="F187" s="6" t="n">
        <x:f>IF(D187=0,"",AVERAGE('均值原始浓度'!E187:DM187))</x:f>
        <x:v>83.96545454545453</x:v>
      </x:c>
      <x:c r="G187" s="6" t="n">
        <x:f>IF(AND(D187&gt;0,ISNUMBER(E187),E187&gt;0),F187/E187,"")</x:f>
        <x:v>0.001008475333179452</x:v>
      </x:c>
      <x:c r="H187" s="5" t="str">
        <x:f>IF(NOT(ISNUMBER(G187)),"待定",IF(G187&lt;1,"固定基底候选","参与浓度设计"))</x:f>
        <x:v>固定基底候选</x:v>
      </x:c>
      <x:c r="I187" s="5" t="str">
        <x:f>"否"</x:f>
        <x:v>否</x:v>
      </x:c>
    </x:row>
    <x:row r="188">
      <x:c r="A188" s="5" t="n">
        <x:f>'均值原始浓度'!A188</x:f>
        <x:v>183</x:v>
      </x:c>
      <x:c r="B188" s="5" t="str">
        <x:f>IF('均值原始浓度'!B188="","",'均值原始浓度'!B188)</x:f>
      </x:c>
      <x:c r="C188" s="5" t="str">
        <x:f>IF('均值原始浓度'!C188="","",'均值原始浓度'!C188)</x:f>
        <x:v>1565-80-6</x:v>
      </x:c>
      <x:c r="D188" s="5" t="n">
        <x:f>COUNT('均值原始浓度'!E188:DM188)</x:f>
        <x:v>1</x:v>
      </x:c>
      <x:c r="E188" s="6" t="str">
        <x:f>IF('均值原始浓度'!D188&gt;0,'均值原始浓度'!D188,"")</x:f>
      </x:c>
      <x:c r="F188" s="6" t="n">
        <x:f>IF(D188=0,"",AVERAGE('均值原始浓度'!E188:DM188))</x:f>
        <x:v>0.14</x:v>
      </x:c>
      <x:c r="G188" s="6" t="str">
        <x:f>IF(AND(D188&gt;0,ISNUMBER(E188),E188&gt;0),F188/E188,"")</x:f>
      </x:c>
      <x:c r="H188" s="5" t="str">
        <x:f>IF(NOT(ISNUMBER(G188)),"待定",IF(G188&lt;1,"固定基底候选","参与浓度设计"))</x:f>
        <x:v>待定</x:v>
      </x:c>
      <x:c r="I188" s="5" t="str">
        <x:f>"否"</x:f>
        <x:v>否</x:v>
      </x:c>
    </x:row>
    <x:row r="189">
      <x:c r="A189" s="5" t="n">
        <x:f>'均值原始浓度'!A189</x:f>
        <x:v>184</x:v>
      </x:c>
      <x:c r="B189" s="5" t="str">
        <x:f>IF('均值原始浓度'!B189="","",'均值原始浓度'!B189)</x:f>
        <x:v>3-辛烯-2-酮</x:v>
      </x:c>
      <x:c r="C189" s="5" t="str">
        <x:f>IF('均值原始浓度'!C189="","",'均值原始浓度'!C189)</x:f>
        <x:v>1669-44-9</x:v>
      </x:c>
      <x:c r="D189" s="5" t="n">
        <x:f>COUNT('均值原始浓度'!E189:DM189)</x:f>
        <x:v>4</x:v>
      </x:c>
      <x:c r="E189" s="6" t="n">
        <x:f>IF('均值原始浓度'!D189&gt;0,'均值原始浓度'!D189,"")</x:f>
        <x:v>48.2</x:v>
      </x:c>
      <x:c r="F189" s="6" t="n">
        <x:f>IF(D189=0,"",AVERAGE('均值原始浓度'!E189:DM189))</x:f>
        <x:v>102.73750000000001</x:v>
      </x:c>
      <x:c r="G189" s="6" t="n">
        <x:f>IF(AND(D189&gt;0,ISNUMBER(E189),E189&gt;0),F189/E189,"")</x:f>
        <x:v>2.1314834024896268</x:v>
      </x:c>
      <x:c r="H189" s="5" t="str">
        <x:f>IF(NOT(ISNUMBER(G189)),"待定",IF(G189&lt;1,"固定基底候选","参与浓度设计"))</x:f>
        <x:v>参与浓度设计</x:v>
      </x:c>
      <x:c r="I189" s="5" t="str">
        <x:f>"否"</x:f>
        <x:v>否</x:v>
      </x:c>
    </x:row>
    <x:row r="190">
      <x:c r="A190" s="5" t="n">
        <x:f>'均值原始浓度'!A190</x:f>
        <x:v>185</x:v>
      </x:c>
      <x:c r="B190" s="5" t="str">
        <x:f>IF('均值原始浓度'!B190="","",'均值原始浓度'!B190)</x:f>
      </x:c>
      <x:c r="C190" s="5" t="str">
        <x:f>IF('均值原始浓度'!C190="","",'均值原始浓度'!C190)</x:f>
        <x:v>1883-13-2</x:v>
      </x:c>
      <x:c r="D190" s="5" t="n">
        <x:f>COUNT('均值原始浓度'!E190:DM190)</x:f>
        <x:v>4</x:v>
      </x:c>
      <x:c r="E190" s="6" t="str">
        <x:f>IF('均值原始浓度'!D190&gt;0,'均值原始浓度'!D190,"")</x:f>
      </x:c>
      <x:c r="F190" s="6" t="n">
        <x:f>IF(D190=0,"",AVERAGE('均值原始浓度'!E190:DM190))</x:f>
        <x:v>107.75</x:v>
      </x:c>
      <x:c r="G190" s="6" t="str">
        <x:f>IF(AND(D190&gt;0,ISNUMBER(E190),E190&gt;0),F190/E190,"")</x:f>
      </x:c>
      <x:c r="H190" s="5" t="str">
        <x:f>IF(NOT(ISNUMBER(G190)),"待定",IF(G190&lt;1,"固定基底候选","参与浓度设计"))</x:f>
        <x:v>待定</x:v>
      </x:c>
      <x:c r="I190" s="5" t="str">
        <x:f>"否"</x:f>
        <x:v>否</x:v>
      </x:c>
    </x:row>
    <x:row r="191">
      <x:c r="A191" s="5" t="n">
        <x:f>'均值原始浓度'!A191</x:f>
        <x:v>186</x:v>
      </x:c>
      <x:c r="B191" s="5" t="str">
        <x:f>IF('均值原始浓度'!B191="","",'均值原始浓度'!B191)</x:f>
        <x:v>3-苯基丙酸乙酯</x:v>
      </x:c>
      <x:c r="C191" s="5" t="str">
        <x:f>IF('均值原始浓度'!C191="","",'均值原始浓度'!C191)</x:f>
        <x:v>2021-28-5</x:v>
      </x:c>
      <x:c r="D191" s="5" t="n">
        <x:f>COUNT('均值原始浓度'!E191:DM191)</x:f>
        <x:v>81</x:v>
      </x:c>
      <x:c r="E191" s="6" t="n">
        <x:f>IF('均值原始浓度'!D191&gt;0,'均值原始浓度'!D191,"")</x:f>
        <x:v>125</x:v>
      </x:c>
      <x:c r="F191" s="6" t="n">
        <x:f>IF(D191=0,"",AVERAGE('均值原始浓度'!E191:DM191))</x:f>
        <x:v>766782.762962963</x:v>
      </x:c>
      <x:c r="G191" s="6" t="n">
        <x:f>IF(AND(D191&gt;0,ISNUMBER(E191),E191&gt;0),F191/E191,"")</x:f>
        <x:v>6134.262103703703</x:v>
      </x:c>
      <x:c r="H191" s="5" t="str">
        <x:f>IF(NOT(ISNUMBER(G191)),"待定",IF(G191&lt;1,"固定基底候选","参与浓度设计"))</x:f>
        <x:v>参与浓度设计</x:v>
      </x:c>
      <x:c r="I191" s="5" t="str">
        <x:f>"是"</x:f>
        <x:v>是</x:v>
      </x:c>
    </x:row>
    <x:row r="192">
      <x:c r="A192" s="5" t="n">
        <x:f>'均值原始浓度'!A192</x:f>
        <x:v>187</x:v>
      </x:c>
      <x:c r="B192" s="5" t="str">
        <x:f>IF('均值原始浓度'!B192="","",'均值原始浓度'!B192)</x:f>
        <x:v>辛酸异戊酯</x:v>
      </x:c>
      <x:c r="C192" s="5" t="str">
        <x:f>IF('均值原始浓度'!C192="","",'均值原始浓度'!C192)</x:f>
        <x:v>2035-99-6</x:v>
      </x:c>
      <x:c r="D192" s="5" t="n">
        <x:f>COUNT('均值原始浓度'!E192:DM192)</x:f>
        <x:v>31</x:v>
      </x:c>
      <x:c r="E192" s="6" t="str">
        <x:f>IF('均值原始浓度'!D192&gt;0,'均值原始浓度'!D192,"")</x:f>
      </x:c>
      <x:c r="F192" s="6" t="n">
        <x:f>IF(D192=0,"",AVERAGE('均值原始浓度'!E192:DM192))</x:f>
        <x:v>1121.0640322580648</x:v>
      </x:c>
      <x:c r="G192" s="6" t="str">
        <x:f>IF(AND(D192&gt;0,ISNUMBER(E192),E192&gt;0),F192/E192,"")</x:f>
      </x:c>
      <x:c r="H192" s="5" t="str">
        <x:f>IF(NOT(ISNUMBER(G192)),"待定",IF(G192&lt;1,"固定基底候选","参与浓度设计"))</x:f>
        <x:v>待定</x:v>
      </x:c>
      <x:c r="I192" s="5" t="str">
        <x:f>"否"</x:f>
        <x:v>否</x:v>
      </x:c>
    </x:row>
    <x:row r="193">
      <x:c r="A193" s="5" t="n">
        <x:f>'均值原始浓度'!A193</x:f>
        <x:v>188</x:v>
      </x:c>
      <x:c r="B193" s="5" t="str">
        <x:f>IF('均值原始浓度'!B193="","",'均值原始浓度'!B193)</x:f>
        <x:v>苯甲酸正戊酯</x:v>
      </x:c>
      <x:c r="C193" s="5" t="str">
        <x:f>IF('均值原始浓度'!C193="","",'均值原始浓度'!C193)</x:f>
        <x:v>2049-96-9</x:v>
      </x:c>
      <x:c r="D193" s="5" t="n">
        <x:f>COUNT('均值原始浓度'!E193:DM193)</x:f>
        <x:v>1</x:v>
      </x:c>
      <x:c r="E193" s="6" t="str">
        <x:f>IF('均值原始浓度'!D193&gt;0,'均值原始浓度'!D193,"")</x:f>
      </x:c>
      <x:c r="F193" s="6" t="n">
        <x:f>IF(D193=0,"",AVERAGE('均值原始浓度'!E193:DM193))</x:f>
        <x:v>10</x:v>
      </x:c>
      <x:c r="G193" s="6" t="str">
        <x:f>IF(AND(D193&gt;0,ISNUMBER(E193),E193&gt;0),F193/E193,"")</x:f>
      </x:c>
      <x:c r="H193" s="5" t="str">
        <x:f>IF(NOT(ISNUMBER(G193)),"待定",IF(G193&lt;1,"固定基底候选","参与浓度设计"))</x:f>
        <x:v>待定</x:v>
      </x:c>
      <x:c r="I193" s="5" t="str">
        <x:f>"否"</x:f>
        <x:v>否</x:v>
      </x:c>
    </x:row>
    <x:row r="194">
      <x:c r="A194" s="5" t="n">
        <x:f>'均值原始浓度'!A194</x:f>
        <x:v>189</x:v>
      </x:c>
      <x:c r="B194" s="5" t="str">
        <x:f>IF('均值原始浓度'!B194="","",'均值原始浓度'!B194)</x:f>
        <x:v>异丁酸异戊酯</x:v>
      </x:c>
      <x:c r="C194" s="5" t="str">
        <x:f>IF('均值原始浓度'!C194="","",'均值原始浓度'!C194)</x:f>
        <x:v>2050-01-3</x:v>
      </x:c>
      <x:c r="D194" s="5" t="n">
        <x:f>COUNT('均值原始浓度'!E194:DM194)</x:f>
        <x:v>1</x:v>
      </x:c>
      <x:c r="E194" s="6" t="str">
        <x:f>IF('均值原始浓度'!D194&gt;0,'均值原始浓度'!D194,"")</x:f>
      </x:c>
      <x:c r="F194" s="6" t="n">
        <x:f>IF(D194=0,"",AVERAGE('均值原始浓度'!E194:DM194))</x:f>
        <x:v>72.08</x:v>
      </x:c>
      <x:c r="G194" s="6" t="str">
        <x:f>IF(AND(D194&gt;0,ISNUMBER(E194),E194&gt;0),F194/E194,"")</x:f>
      </x:c>
      <x:c r="H194" s="5" t="str">
        <x:f>IF(NOT(ISNUMBER(G194)),"待定",IF(G194&lt;1,"固定基底候选","参与浓度设计"))</x:f>
        <x:v>待定</x:v>
      </x:c>
      <x:c r="I194" s="5" t="str">
        <x:f>"否"</x:f>
        <x:v>否</x:v>
      </x:c>
    </x:row>
    <x:row r="195">
      <x:c r="A195" s="5" t="n">
        <x:f>'均值原始浓度'!A195</x:f>
        <x:v>190</x:v>
      </x:c>
      <x:c r="B195" s="5" t="str">
        <x:f>IF('均值原始浓度'!B195="","",'均值原始浓度'!B195)</x:f>
        <x:v>戊酸-3-甲基丁酯</x:v>
      </x:c>
      <x:c r="C195" s="5" t="str">
        <x:f>IF('均值原始浓度'!C195="","",'均值原始浓度'!C195)</x:f>
        <x:v>2050-09-1</x:v>
      </x:c>
      <x:c r="D195" s="5" t="n">
        <x:f>COUNT('均值原始浓度'!E195:DM195)</x:f>
        <x:v>21</x:v>
      </x:c>
      <x:c r="E195" s="6" t="str">
        <x:f>IF('均值原始浓度'!D195&gt;0,'均值原始浓度'!D195,"")</x:f>
      </x:c>
      <x:c r="F195" s="6" t="n">
        <x:f>IF(D195=0,"",AVERAGE('均值原始浓度'!E195:DM195))</x:f>
        <x:v>1071.6559523809524</x:v>
      </x:c>
      <x:c r="G195" s="6" t="str">
        <x:f>IF(AND(D195&gt;0,ISNUMBER(E195),E195&gt;0),F195/E195,"")</x:f>
      </x:c>
      <x:c r="H195" s="5" t="str">
        <x:f>IF(NOT(ISNUMBER(G195)),"待定",IF(G195&lt;1,"固定基底候选","参与浓度设计"))</x:f>
        <x:v>待定</x:v>
      </x:c>
      <x:c r="I195" s="5" t="str">
        <x:f>"否"</x:f>
        <x:v>否</x:v>
      </x:c>
    </x:row>
    <x:row r="196">
      <x:c r="A196" s="5" t="n">
        <x:f>'均值原始浓度'!A196</x:f>
        <x:v>191</x:v>
      </x:c>
      <x:c r="B196" s="5" t="str">
        <x:f>IF('均值原始浓度'!B196="","",'均值原始浓度'!B196)</x:f>
      </x:c>
      <x:c r="C196" s="5" t="str">
        <x:f>IF('均值原始浓度'!C196="","",'均值原始浓度'!C196)</x:f>
        <x:v>2051-49-2</x:v>
      </x:c>
      <x:c r="D196" s="5" t="n">
        <x:f>COUNT('均值原始浓度'!E196:DM196)</x:f>
        <x:v>6</x:v>
      </x:c>
      <x:c r="E196" s="6" t="str">
        <x:f>IF('均值原始浓度'!D196&gt;0,'均值原始浓度'!D196,"")</x:f>
      </x:c>
      <x:c r="F196" s="6" t="n">
        <x:f>IF(D196=0,"",AVERAGE('均值原始浓度'!E196:DM196))</x:f>
        <x:v>6971.5</x:v>
      </x:c>
      <x:c r="G196" s="6" t="str">
        <x:f>IF(AND(D196&gt;0,ISNUMBER(E196),E196&gt;0),F196/E196,"")</x:f>
      </x:c>
      <x:c r="H196" s="5" t="str">
        <x:f>IF(NOT(ISNUMBER(G196)),"待定",IF(G196&lt;1,"固定基底候选","参与浓度设计"))</x:f>
        <x:v>待定</x:v>
      </x:c>
      <x:c r="I196" s="5" t="str">
        <x:f>"否"</x:f>
        <x:v>否</x:v>
      </x:c>
    </x:row>
    <x:row r="197">
      <x:c r="A197" s="5" t="n">
        <x:f>'均值原始浓度'!A197</x:f>
        <x:v>192</x:v>
      </x:c>
      <x:c r="B197" s="5" t="str">
        <x:f>IF('均值原始浓度'!B197="","",'均值原始浓度'!B197)</x:f>
      </x:c>
      <x:c r="C197" s="5" t="str">
        <x:f>IF('均值原始浓度'!C197="","",'均值原始浓度'!C197)</x:f>
        <x:v>2091-29-4</x:v>
      </x:c>
      <x:c r="D197" s="5" t="n">
        <x:f>COUNT('均值原始浓度'!E197:DM197)</x:f>
        <x:v>5</x:v>
      </x:c>
      <x:c r="E197" s="6" t="str">
        <x:f>IF('均值原始浓度'!D197&gt;0,'均值原始浓度'!D197,"")</x:f>
      </x:c>
      <x:c r="F197" s="6" t="n">
        <x:f>IF(D197=0,"",AVERAGE('均值原始浓度'!E197:DM197))</x:f>
        <x:v>149.8</x:v>
      </x:c>
      <x:c r="G197" s="6" t="str">
        <x:f>IF(AND(D197&gt;0,ISNUMBER(E197),E197&gt;0),F197/E197,"")</x:f>
      </x:c>
      <x:c r="H197" s="5" t="str">
        <x:f>IF(NOT(ISNUMBER(G197)),"待定",IF(G197&lt;1,"固定基底候选","参与浓度设计"))</x:f>
        <x:v>待定</x:v>
      </x:c>
      <x:c r="I197" s="5" t="str">
        <x:f>"否"</x:f>
        <x:v>否</x:v>
      </x:c>
    </x:row>
    <x:row r="198">
      <x:c r="A198" s="5" t="n">
        <x:f>'均值原始浓度'!A198</x:f>
        <x:v>193</x:v>
      </x:c>
      <x:c r="B198" s="5" t="str">
        <x:f>IF('均值原始浓度'!B198="","",'均值原始浓度'!B198)</x:f>
        <x:v>己酸异戊脂（3-甲基丁基己酸酯）</x:v>
      </x:c>
      <x:c r="C198" s="5" t="str">
        <x:f>IF('均值原始浓度'!C198="","",'均值原始浓度'!C198)</x:f>
        <x:v>2198-61-0</x:v>
      </x:c>
      <x:c r="D198" s="5" t="n">
        <x:f>COUNT('均值原始浓度'!E198:DM198)</x:f>
        <x:v>80</x:v>
      </x:c>
      <x:c r="E198" s="6" t="str">
        <x:f>IF('均值原始浓度'!D198&gt;0,'均值原始浓度'!D198,"")</x:f>
      </x:c>
      <x:c r="F198" s="6" t="n">
        <x:f>IF(D198=0,"",AVERAGE('均值原始浓度'!E198:DM198))</x:f>
        <x:v>6466.418062500002</x:v>
      </x:c>
      <x:c r="G198" s="6" t="str">
        <x:f>IF(AND(D198&gt;0,ISNUMBER(E198),E198&gt;0),F198/E198,"")</x:f>
      </x:c>
      <x:c r="H198" s="5" t="str">
        <x:f>IF(NOT(ISNUMBER(G198)),"待定",IF(G198&lt;1,"固定基底候选","参与浓度设计"))</x:f>
        <x:v>待定</x:v>
      </x:c>
      <x:c r="I198" s="5" t="str">
        <x:f>"否"</x:f>
        <x:v>否</x:v>
      </x:c>
    </x:row>
    <x:row r="199">
      <x:c r="A199" s="5" t="n">
        <x:f>'均值原始浓度'!A199</x:f>
        <x:v>194</x:v>
      </x:c>
      <x:c r="B199" s="5" t="str">
        <x:f>IF('均值原始浓度'!B199="","",'均值原始浓度'!B199)</x:f>
        <x:v>辛酸辛酯</x:v>
      </x:c>
      <x:c r="C199" s="5" t="str">
        <x:f>IF('均值原始浓度'!C199="","",'均值原始浓度'!C199)</x:f>
        <x:v>2306-88-9</x:v>
      </x:c>
      <x:c r="D199" s="5" t="n">
        <x:f>COUNT('均值原始浓度'!E199:DM199)</x:f>
        <x:v>11</x:v>
      </x:c>
      <x:c r="E199" s="6" t="str">
        <x:f>IF('均值原始浓度'!D199&gt;0,'均值原始浓度'!D199,"")</x:f>
      </x:c>
      <x:c r="F199" s="6" t="n">
        <x:f>IF(D199=0,"",AVERAGE('均值原始浓度'!E199:DM199))</x:f>
        <x:v>725.2354545454546</x:v>
      </x:c>
      <x:c r="G199" s="6" t="str">
        <x:f>IF(AND(D199&gt;0,ISNUMBER(E199),E199&gt;0),F199/E199,"")</x:f>
      </x:c>
      <x:c r="H199" s="5" t="str">
        <x:f>IF(NOT(ISNUMBER(G199)),"待定",IF(G199&lt;1,"固定基底候选","参与浓度设计"))</x:f>
        <x:v>待定</x:v>
      </x:c>
      <x:c r="I199" s="5" t="str">
        <x:f>"否"</x:f>
        <x:v>否</x:v>
      </x:c>
    </x:row>
    <x:row r="200">
      <x:c r="A200" s="5" t="n">
        <x:f>'均值原始浓度'!A200</x:f>
        <x:v>195</x:v>
      </x:c>
      <x:c r="B200" s="5" t="str">
        <x:f>IF('均值原始浓度'!B200="","",'均值原始浓度'!B200)</x:f>
      </x:c>
      <x:c r="C200" s="5" t="str">
        <x:f>IF('均值原始浓度'!C200="","",'均值原始浓度'!C200)</x:f>
        <x:v>2311-46-8</x:v>
      </x:c>
      <x:c r="D200" s="5" t="n">
        <x:f>COUNT('均值原始浓度'!E200:DM200)</x:f>
        <x:v>1</x:v>
      </x:c>
      <x:c r="E200" s="6" t="str">
        <x:f>IF('均值原始浓度'!D200&gt;0,'均值原始浓度'!D200,"")</x:f>
      </x:c>
      <x:c r="F200" s="6" t="n">
        <x:f>IF(D200=0,"",AVERAGE('均值原始浓度'!E200:DM200))</x:f>
        <x:v>9.48</x:v>
      </x:c>
      <x:c r="G200" s="6" t="str">
        <x:f>IF(AND(D200&gt;0,ISNUMBER(E200),E200&gt;0),F200/E200,"")</x:f>
      </x:c>
      <x:c r="H200" s="5" t="str">
        <x:f>IF(NOT(ISNUMBER(G200)),"待定",IF(G200&lt;1,"固定基底候选","参与浓度设计"))</x:f>
        <x:v>待定</x:v>
      </x:c>
      <x:c r="I200" s="5" t="str">
        <x:f>"否"</x:f>
        <x:v>否</x:v>
      </x:c>
    </x:row>
    <x:row r="201">
      <x:c r="A201" s="5" t="n">
        <x:f>'均值原始浓度'!A201</x:f>
        <x:v>196</x:v>
      </x:c>
      <x:c r="B201" s="5" t="str">
        <x:f>IF('均值原始浓度'!B201="","",'均值原始浓度'!B201)</x:f>
        <x:v>3-甲基-2-己醇</x:v>
      </x:c>
      <x:c r="C201" s="5" t="str">
        <x:f>IF('均值原始浓度'!C201="","",'均值原始浓度'!C201)</x:f>
        <x:v>2313-65-7</x:v>
      </x:c>
      <x:c r="D201" s="5" t="n">
        <x:f>COUNT('均值原始浓度'!E201:DM201)</x:f>
        <x:v>4</x:v>
      </x:c>
      <x:c r="E201" s="6" t="str">
        <x:f>IF('均值原始浓度'!D201&gt;0,'均值原始浓度'!D201,"")</x:f>
      </x:c>
      <x:c r="F201" s="6" t="n">
        <x:f>IF(D201=0,"",AVERAGE('均值原始浓度'!E201:DM201))</x:f>
        <x:v>2.7424999999999997</x:v>
      </x:c>
      <x:c r="G201" s="6" t="str">
        <x:f>IF(AND(D201&gt;0,ISNUMBER(E201),E201&gt;0),F201/E201,"")</x:f>
      </x:c>
      <x:c r="H201" s="5" t="str">
        <x:f>IF(NOT(ISNUMBER(G201)),"待定",IF(G201&lt;1,"固定基底候选","参与浓度设计"))</x:f>
        <x:v>待定</x:v>
      </x:c>
      <x:c r="I201" s="5" t="str">
        <x:f>"否"</x:f>
        <x:v>否</x:v>
      </x:c>
    </x:row>
    <x:row r="202">
      <x:c r="A202" s="5" t="n">
        <x:f>'均值原始浓度'!A202</x:f>
        <x:v>197</x:v>
      </x:c>
      <x:c r="B202" s="5" t="str">
        <x:f>IF('均值原始浓度'!B202="","",'均值原始浓度'!B202)</x:f>
      </x:c>
      <x:c r="C202" s="5" t="str">
        <x:f>IF('均值原始浓度'!C202="","",'均值原始浓度'!C202)</x:f>
        <x:v>2345-28-0</x:v>
      </x:c>
      <x:c r="D202" s="5" t="n">
        <x:f>COUNT('均值原始浓度'!E202:DM202)</x:f>
        <x:v>7</x:v>
      </x:c>
      <x:c r="E202" s="6" t="str">
        <x:f>IF('均值原始浓度'!D202&gt;0,'均值原始浓度'!D202,"")</x:f>
      </x:c>
      <x:c r="F202" s="6" t="n">
        <x:f>IF(D202=0,"",AVERAGE('均值原始浓度'!E202:DM202))</x:f>
        <x:v>501.4614285714286</x:v>
      </x:c>
      <x:c r="G202" s="6" t="str">
        <x:f>IF(AND(D202&gt;0,ISNUMBER(E202),E202&gt;0),F202/E202,"")</x:f>
      </x:c>
      <x:c r="H202" s="5" t="str">
        <x:f>IF(NOT(ISNUMBER(G202)),"待定",IF(G202&lt;1,"固定基底候选","参与浓度设计"))</x:f>
        <x:v>待定</x:v>
      </x:c>
      <x:c r="I202" s="5" t="str">
        <x:f>"否"</x:f>
        <x:v>否</x:v>
      </x:c>
    </x:row>
    <x:row r="203">
      <x:c r="A203" s="5" t="n">
        <x:f>'均值原始浓度'!A203</x:f>
        <x:v>198</x:v>
      </x:c>
      <x:c r="B203" s="5" t="str">
        <x:f>IF('均值原始浓度'!B203="","",'均值原始浓度'!B203)</x:f>
        <x:v>3-己烯酸乙酯</x:v>
      </x:c>
      <x:c r="C203" s="5" t="str">
        <x:f>IF('均值原始浓度'!C203="","",'均值原始浓度'!C203)</x:f>
        <x:v>2396-83-0</x:v>
      </x:c>
      <x:c r="D203" s="5" t="n">
        <x:f>COUNT('均值原始浓度'!E203:DM203)</x:f>
        <x:v>8</x:v>
      </x:c>
      <x:c r="E203" s="6" t="str">
        <x:f>IF('均值原始浓度'!D203&gt;0,'均值原始浓度'!D203,"")</x:f>
      </x:c>
      <x:c r="F203" s="6" t="n">
        <x:f>IF(D203=0,"",AVERAGE('均值原始浓度'!E203:DM203))</x:f>
        <x:v>655.25</x:v>
      </x:c>
      <x:c r="G203" s="6" t="str">
        <x:f>IF(AND(D203&gt;0,ISNUMBER(E203),E203&gt;0),F203/E203,"")</x:f>
      </x:c>
      <x:c r="H203" s="5" t="str">
        <x:f>IF(NOT(ISNUMBER(G203)),"待定",IF(G203&lt;1,"固定基底候选","参与浓度设计"))</x:f>
        <x:v>待定</x:v>
      </x:c>
      <x:c r="I203" s="5" t="str">
        <x:f>"否"</x:f>
        <x:v>否</x:v>
      </x:c>
    </x:row>
    <x:row r="204">
      <x:c r="A204" s="5" t="n">
        <x:f>'均值原始浓度'!A204</x:f>
        <x:v>199</x:v>
      </x:c>
      <x:c r="B204" s="5" t="str">
        <x:f>IF('均值原始浓度'!B204="","",'均值原始浓度'!B204)</x:f>
      </x:c>
      <x:c r="C204" s="5" t="str">
        <x:f>IF('均值原始浓度'!C204="","",'均值原始浓度'!C204)</x:f>
        <x:v>2412-80-8</x:v>
      </x:c>
      <x:c r="D204" s="5" t="n">
        <x:f>COUNT('均值原始浓度'!E204:DM204)</x:f>
        <x:v>4</x:v>
      </x:c>
      <x:c r="E204" s="6" t="str">
        <x:f>IF('均值原始浓度'!D204&gt;0,'均值原始浓度'!D204,"")</x:f>
      </x:c>
      <x:c r="F204" s="6" t="n">
        <x:f>IF(D204=0,"",AVERAGE('均值原始浓度'!E204:DM204))</x:f>
        <x:v>2.8875</x:v>
      </x:c>
      <x:c r="G204" s="6" t="str">
        <x:f>IF(AND(D204&gt;0,ISNUMBER(E204),E204&gt;0),F204/E204,"")</x:f>
      </x:c>
      <x:c r="H204" s="5" t="str">
        <x:f>IF(NOT(ISNUMBER(G204)),"待定",IF(G204&lt;1,"固定基底候选","参与浓度设计"))</x:f>
        <x:v>待定</x:v>
      </x:c>
      <x:c r="I204" s="5" t="str">
        <x:f>"否"</x:f>
        <x:v>否</x:v>
      </x:c>
    </x:row>
    <x:row r="205">
      <x:c r="A205" s="5" t="n">
        <x:f>'均值原始浓度'!A205</x:f>
        <x:v>200</x:v>
      </x:c>
      <x:c r="B205" s="5" t="str">
        <x:f>IF('均值原始浓度'!B205="","",'均值原始浓度'!B205)</x:f>
      </x:c>
      <x:c r="C205" s="5" t="str">
        <x:f>IF('均值原始浓度'!C205="","",'均值原始浓度'!C205)</x:f>
        <x:v>2425-77-6</x:v>
      </x:c>
      <x:c r="D205" s="5" t="n">
        <x:f>COUNT('均值原始浓度'!E205:DM205)</x:f>
        <x:v>1</x:v>
      </x:c>
      <x:c r="E205" s="6" t="str">
        <x:f>IF('均值原始浓度'!D205&gt;0,'均值原始浓度'!D205,"")</x:f>
      </x:c>
      <x:c r="F205" s="6" t="n">
        <x:f>IF(D205=0,"",AVERAGE('均值原始浓度'!E205:DM205))</x:f>
        <x:v>0.13</x:v>
      </x:c>
      <x:c r="G205" s="6" t="str">
        <x:f>IF(AND(D205&gt;0,ISNUMBER(E205),E205&gt;0),F205/E205,"")</x:f>
      </x:c>
      <x:c r="H205" s="5" t="str">
        <x:f>IF(NOT(ISNUMBER(G205)),"待定",IF(G205&lt;1,"固定基底候选","参与浓度设计"))</x:f>
        <x:v>待定</x:v>
      </x:c>
      <x:c r="I205" s="5" t="str">
        <x:f>"否"</x:f>
        <x:v>否</x:v>
      </x:c>
    </x:row>
    <x:row r="206">
      <x:c r="A206" s="5" t="n">
        <x:f>'均值原始浓度'!A206</x:f>
        <x:v>201</x:v>
      </x:c>
      <x:c r="B206" s="5" t="str">
        <x:f>IF('均值原始浓度'!B206="","",'均值原始浓度'!B206)</x:f>
        <x:v>反-2-壬醛</x:v>
      </x:c>
      <x:c r="C206" s="5" t="str">
        <x:f>IF('均值原始浓度'!C206="","",'均值原始浓度'!C206)</x:f>
        <x:v>2463-53-8</x:v>
      </x:c>
      <x:c r="D206" s="5" t="n">
        <x:f>COUNT('均值原始浓度'!E206:DM206)</x:f>
        <x:v>1</x:v>
      </x:c>
      <x:c r="E206" s="6" t="str">
        <x:f>IF('均值原始浓度'!D206&gt;0,'均值原始浓度'!D206,"")</x:f>
      </x:c>
      <x:c r="F206" s="6" t="n">
        <x:f>IF(D206=0,"",AVERAGE('均值原始浓度'!E206:DM206))</x:f>
        <x:v>356</x:v>
      </x:c>
      <x:c r="G206" s="6" t="str">
        <x:f>IF(AND(D206&gt;0,ISNUMBER(E206),E206&gt;0),F206/E206,"")</x:f>
      </x:c>
      <x:c r="H206" s="5" t="str">
        <x:f>IF(NOT(ISNUMBER(G206)),"待定",IF(G206&lt;1,"固定基底候选","参与浓度设计"))</x:f>
        <x:v>待定</x:v>
      </x:c>
      <x:c r="I206" s="5" t="str">
        <x:f>"否"</x:f>
        <x:v>否</x:v>
      </x:c>
    </x:row>
    <x:row r="207">
      <x:c r="A207" s="5" t="n">
        <x:f>'均值原始浓度'!A207</x:f>
        <x:v>202</x:v>
      </x:c>
      <x:c r="B207" s="5" t="str">
        <x:f>IF('均值原始浓度'!B207="","",'均值原始浓度'!B207)</x:f>
        <x:v>2-十一烯醛</x:v>
      </x:c>
      <x:c r="C207" s="5" t="str">
        <x:f>IF('均值原始浓度'!C207="","",'均值原始浓度'!C207)</x:f>
        <x:v>2463-77-6</x:v>
      </x:c>
      <x:c r="D207" s="5" t="n">
        <x:f>COUNT('均值原始浓度'!E207:DM207)</x:f>
        <x:v>2</x:v>
      </x:c>
      <x:c r="E207" s="6" t="str">
        <x:f>IF('均值原始浓度'!D207&gt;0,'均值原始浓度'!D207,"")</x:f>
      </x:c>
      <x:c r="F207" s="6" t="n">
        <x:f>IF(D207=0,"",AVERAGE('均值原始浓度'!E207:DM207))</x:f>
        <x:v>20.5</x:v>
      </x:c>
      <x:c r="G207" s="6" t="str">
        <x:f>IF(AND(D207&gt;0,ISNUMBER(E207),E207&gt;0),F207/E207,"")</x:f>
      </x:c>
      <x:c r="H207" s="5" t="str">
        <x:f>IF(NOT(ISNUMBER(G207)),"待定",IF(G207&lt;1,"固定基底候选","参与浓度设计"))</x:f>
        <x:v>待定</x:v>
      </x:c>
      <x:c r="I207" s="5" t="str">
        <x:f>"否"</x:f>
        <x:v>否</x:v>
      </x:c>
    </x:row>
    <x:row r="208">
      <x:c r="A208" s="5" t="n">
        <x:f>'均值原始浓度'!A208</x:f>
        <x:v>203</x:v>
      </x:c>
      <x:c r="B208" s="5" t="str">
        <x:f>IF('均值原始浓度'!B208="","",'均值原始浓度'!B208)</x:f>
        <x:v>丁酸己酯</x:v>
      </x:c>
      <x:c r="C208" s="5" t="str">
        <x:f>IF('均值原始浓度'!C208="","",'均值原始浓度'!C208)</x:f>
        <x:v>2639-63-6</x:v>
      </x:c>
      <x:c r="D208" s="5" t="n">
        <x:f>COUNT('均值原始浓度'!E208:DM208)</x:f>
        <x:v>15</x:v>
      </x:c>
      <x:c r="E208" s="6" t="str">
        <x:f>IF('均值原始浓度'!D208&gt;0,'均值原始浓度'!D208,"")</x:f>
      </x:c>
      <x:c r="F208" s="6" t="n">
        <x:f>IF(D208=0,"",AVERAGE('均值原始浓度'!E208:DM208))</x:f>
        <x:v>130569.06666666667</x:v>
      </x:c>
      <x:c r="G208" s="6" t="str">
        <x:f>IF(AND(D208&gt;0,ISNUMBER(E208),E208&gt;0),F208/E208,"")</x:f>
      </x:c>
      <x:c r="H208" s="5" t="str">
        <x:f>IF(NOT(ISNUMBER(G208)),"待定",IF(G208&lt;1,"固定基底候选","参与浓度设计"))</x:f>
        <x:v>待定</x:v>
      </x:c>
      <x:c r="I208" s="5" t="str">
        <x:f>"否"</x:f>
        <x:v>否</x:v>
      </x:c>
    </x:row>
    <x:row r="209">
      <x:c r="A209" s="5" t="n">
        <x:f>'均值原始浓度'!A209</x:f>
        <x:v>204</x:v>
      </x:c>
      <x:c r="B209" s="5" t="str">
        <x:f>IF('均值原始浓度'!B209="","",'均值原始浓度'!B209)</x:f>
      </x:c>
      <x:c r="C209" s="5" t="str">
        <x:f>IF('均值原始浓度'!C209="","",'均值原始浓度'!C209)</x:f>
        <x:v>2761-84-4</x:v>
      </x:c>
      <x:c r="D209" s="5" t="n">
        <x:f>COUNT('均值原始浓度'!E209:DM209)</x:f>
        <x:v>5</x:v>
      </x:c>
      <x:c r="E209" s="6" t="str">
        <x:f>IF('均值原始浓度'!D209&gt;0,'均值原始浓度'!D209,"")</x:f>
      </x:c>
      <x:c r="F209" s="6" t="n">
        <x:f>IF(D209=0,"",AVERAGE('均值原始浓度'!E209:DM209))</x:f>
        <x:v>1114</x:v>
      </x:c>
      <x:c r="G209" s="6" t="str">
        <x:f>IF(AND(D209&gt;0,ISNUMBER(E209),E209&gt;0),F209/E209,"")</x:f>
      </x:c>
      <x:c r="H209" s="5" t="str">
        <x:f>IF(NOT(ISNUMBER(G209)),"待定",IF(G209&lt;1,"固定基底候选","参与浓度设计"))</x:f>
        <x:v>待定</x:v>
      </x:c>
      <x:c r="I209" s="5" t="str">
        <x:f>"否"</x:f>
        <x:v>否</x:v>
      </x:c>
    </x:row>
    <x:row r="210">
      <x:c r="A210" s="5" t="n">
        <x:f>'均值原始浓度'!A210</x:f>
        <x:v>205</x:v>
      </x:c>
      <x:c r="B210" s="5" t="str">
        <x:f>IF('均值原始浓度'!B210="","",'均值原始浓度'!B210)</x:f>
        <x:v>4-乙基-2-甲氧基苯酚</x:v>
      </x:c>
      <x:c r="C210" s="5" t="str">
        <x:f>IF('均值原始浓度'!C210="","",'均值原始浓度'!C210)</x:f>
        <x:v>2785-89-9</x:v>
      </x:c>
      <x:c r="D210" s="5" t="n">
        <x:f>COUNT('均值原始浓度'!E210:DM210)</x:f>
        <x:v>52</x:v>
      </x:c>
      <x:c r="E210" s="6" t="str">
        <x:f>IF('均值原始浓度'!D210&gt;0,'均值原始浓度'!D210,"")</x:f>
      </x:c>
      <x:c r="F210" s="6" t="n">
        <x:f>IF(D210=0,"",AVERAGE('均值原始浓度'!E210:DM210))</x:f>
        <x:v>239.5327884615385</x:v>
      </x:c>
      <x:c r="G210" s="6" t="str">
        <x:f>IF(AND(D210&gt;0,ISNUMBER(E210),E210&gt;0),F210/E210,"")</x:f>
      </x:c>
      <x:c r="H210" s="5" t="str">
        <x:f>IF(NOT(ISNUMBER(G210)),"待定",IF(G210&lt;1,"固定基底候选","参与浓度设计"))</x:f>
        <x:v>待定</x:v>
      </x:c>
      <x:c r="I210" s="5" t="str">
        <x:f>"否"</x:f>
        <x:v>否</x:v>
      </x:c>
    </x:row>
    <x:row r="211">
      <x:c r="A211" s="5" t="n">
        <x:f>'均值原始浓度'!A211</x:f>
        <x:v>206</x:v>
      </x:c>
      <x:c r="B211" s="5" t="str">
        <x:f>IF('均值原始浓度'!B211="","",'均值原始浓度'!B211)</x:f>
      </x:c>
      <x:c r="C211" s="5" t="str">
        <x:f>IF('均值原始浓度'!C211="","",'均值原始浓度'!C211)</x:f>
        <x:v>3268-49-3</x:v>
      </x:c>
      <x:c r="D211" s="5" t="n">
        <x:f>COUNT('均值原始浓度'!E211:DM211)</x:f>
        <x:v>1</x:v>
      </x:c>
      <x:c r="E211" s="6" t="str">
        <x:f>IF('均值原始浓度'!D211&gt;0,'均值原始浓度'!D211,"")</x:f>
      </x:c>
      <x:c r="F211" s="6" t="n">
        <x:f>IF(D211=0,"",AVERAGE('均值原始浓度'!E211:DM211))</x:f>
        <x:v>369</x:v>
      </x:c>
      <x:c r="G211" s="6" t="str">
        <x:f>IF(AND(D211&gt;0,ISNUMBER(E211),E211&gt;0),F211/E211,"")</x:f>
      </x:c>
      <x:c r="H211" s="5" t="str">
        <x:f>IF(NOT(ISNUMBER(G211)),"待定",IF(G211&lt;1,"固定基底候选","参与浓度设计"))</x:f>
        <x:v>待定</x:v>
      </x:c>
      <x:c r="I211" s="5" t="str">
        <x:f>"否"</x:f>
        <x:v>否</x:v>
      </x:c>
    </x:row>
    <x:row r="212">
      <x:c r="A212" s="5" t="n">
        <x:f>'均值原始浓度'!A212</x:f>
        <x:v>207</x:v>
      </x:c>
      <x:c r="B212" s="5" t="str">
        <x:f>IF('均值原始浓度'!B212="","",'均值原始浓度'!B212)</x:f>
        <x:v>1-辛烯-3-醇</x:v>
      </x:c>
      <x:c r="C212" s="5" t="str">
        <x:f>IF('均值原始浓度'!C212="","",'均值原始浓度'!C212)</x:f>
        <x:v>3391-86-4</x:v>
      </x:c>
      <x:c r="D212" s="5" t="n">
        <x:f>COUNT('均值原始浓度'!E212:DM212)</x:f>
        <x:v>19</x:v>
      </x:c>
      <x:c r="E212" s="6" t="n">
        <x:f>IF('均值原始浓度'!D212&gt;0,'均值原始浓度'!D212,"")</x:f>
        <x:v>6.12</x:v>
      </x:c>
      <x:c r="F212" s="6" t="n">
        <x:f>IF(D212=0,"",AVERAGE('均值原始浓度'!E212:DM212))</x:f>
        <x:v>109.01</x:v>
      </x:c>
      <x:c r="G212" s="6" t="n">
        <x:f>IF(AND(D212&gt;0,ISNUMBER(E212),E212&gt;0),F212/E212,"")</x:f>
        <x:v>17.812091503267975</x:v>
      </x:c>
      <x:c r="H212" s="5" t="str">
        <x:f>IF(NOT(ISNUMBER(G212)),"待定",IF(G212&lt;1,"固定基底候选","参与浓度设计"))</x:f>
        <x:v>参与浓度设计</x:v>
      </x:c>
      <x:c r="I212" s="5" t="str">
        <x:f>"是"</x:f>
        <x:v>是</x:v>
      </x:c>
    </x:row>
    <x:row r="213">
      <x:c r="A213" s="5" t="n">
        <x:f>'均值原始浓度'!A213</x:f>
        <x:v>208</x:v>
      </x:c>
      <x:c r="B213" s="5" t="str">
        <x:f>IF('均值原始浓度'!B213="","",'均值原始浓度'!B213)</x:f>
      </x:c>
      <x:c r="C213" s="5" t="str">
        <x:f>IF('均值原始浓度'!C213="","",'均值原始浓度'!C213)</x:f>
        <x:v>3658-79-5</x:v>
      </x:c>
      <x:c r="D213" s="5" t="n">
        <x:f>COUNT('均值原始浓度'!E213:DM213)</x:f>
        <x:v>2</x:v>
      </x:c>
      <x:c r="E213" s="6" t="str">
        <x:f>IF('均值原始浓度'!D213&gt;0,'均值原始浓度'!D213,"")</x:f>
      </x:c>
      <x:c r="F213" s="6" t="n">
        <x:f>IF(D213=0,"",AVERAGE('均值原始浓度'!E213:DM213))</x:f>
        <x:v>0.86</x:v>
      </x:c>
      <x:c r="G213" s="6" t="str">
        <x:f>IF(AND(D213&gt;0,ISNUMBER(E213),E213&gt;0),F213/E213,"")</x:f>
      </x:c>
      <x:c r="H213" s="5" t="str">
        <x:f>IF(NOT(ISNUMBER(G213)),"待定",IF(G213&lt;1,"固定基底候选","参与浓度设计"))</x:f>
        <x:v>待定</x:v>
      </x:c>
      <x:c r="I213" s="5" t="str">
        <x:f>"否"</x:f>
        <x:v>否</x:v>
      </x:c>
    </x:row>
    <x:row r="214">
      <x:c r="A214" s="5" t="n">
        <x:f>'均值原始浓度'!A214</x:f>
        <x:v>209</x:v>
      </x:c>
      <x:c r="B214" s="5" t="str">
        <x:f>IF('均值原始浓度'!B214="","",'均值原始浓度'!B214)</x:f>
        <x:v>二甲基三硫醚</x:v>
      </x:c>
      <x:c r="C214" s="5" t="str">
        <x:f>IF('均值原始浓度'!C214="","",'均值原始浓度'!C214)</x:f>
        <x:v>3658-80-8</x:v>
      </x:c>
      <x:c r="D214" s="5" t="n">
        <x:f>COUNT('均值原始浓度'!E214:DM214)</x:f>
        <x:v>28</x:v>
      </x:c>
      <x:c r="E214" s="6" t="n">
        <x:f>IF('均值原始浓度'!D214&gt;0,'均值原始浓度'!D214,"")</x:f>
        <x:v>0.36</x:v>
      </x:c>
      <x:c r="F214" s="6" t="n">
        <x:f>IF(D214=0,"",AVERAGE('均值原始浓度'!E214:DM214))</x:f>
        <x:v>1141.1705964285713</x:v>
      </x:c>
      <x:c r="G214" s="6" t="n">
        <x:f>IF(AND(D214&gt;0,ISNUMBER(E214),E214&gt;0),F214/E214,"")</x:f>
        <x:v>3169.918323412698</x:v>
      </x:c>
      <x:c r="H214" s="5" t="str">
        <x:f>IF(NOT(ISNUMBER(G214)),"待定",IF(G214&lt;1,"固定基底候选","参与浓度设计"))</x:f>
        <x:v>参与浓度设计</x:v>
      </x:c>
      <x:c r="I214" s="5" t="str">
        <x:f>"是"</x:f>
        <x:v>是</x:v>
      </x:c>
    </x:row>
    <x:row r="215">
      <x:c r="A215" s="5" t="n">
        <x:f>'均值原始浓度'!A215</x:f>
        <x:v>210</x:v>
      </x:c>
      <x:c r="B215" s="5" t="str">
        <x:f>IF('均值原始浓度'!B215="","",'均值原始浓度'!B215)</x:f>
      </x:c>
      <x:c r="C215" s="5" t="str">
        <x:f>IF('均值原始浓度'!C215="","",'均值原始浓度'!C215)</x:f>
        <x:v>3658-93-3</x:v>
      </x:c>
      <x:c r="D215" s="5" t="n">
        <x:f>COUNT('均值原始浓度'!E215:DM215)</x:f>
        <x:v>2</x:v>
      </x:c>
      <x:c r="E215" s="6" t="str">
        <x:f>IF('均值原始浓度'!D215&gt;0,'均值原始浓度'!D215,"")</x:f>
      </x:c>
      <x:c r="F215" s="6" t="n">
        <x:f>IF(D215=0,"",AVERAGE('均值原始浓度'!E215:DM215))</x:f>
        <x:v>175</x:v>
      </x:c>
      <x:c r="G215" s="6" t="str">
        <x:f>IF(AND(D215&gt;0,ISNUMBER(E215),E215&gt;0),F215/E215,"")</x:f>
      </x:c>
      <x:c r="H215" s="5" t="str">
        <x:f>IF(NOT(ISNUMBER(G215)),"待定",IF(G215&lt;1,"固定基底候选","参与浓度设计"))</x:f>
        <x:v>待定</x:v>
      </x:c>
      <x:c r="I215" s="5" t="str">
        <x:f>"否"</x:f>
        <x:v>否</x:v>
      </x:c>
    </x:row>
    <x:row r="216">
      <x:c r="A216" s="5" t="n">
        <x:f>'均值原始浓度'!A216</x:f>
        <x:v>211</x:v>
      </x:c>
      <x:c r="B216" s="5" t="str">
        <x:f>IF('均值原始浓度'!B216="","",'均值原始浓度'!B216)</x:f>
      </x:c>
      <x:c r="C216" s="5" t="str">
        <x:f>IF('均值原始浓度'!C216="","",'均值原始浓度'!C216)</x:f>
        <x:v>3760-11-0</x:v>
      </x:c>
      <x:c r="D216" s="5" t="n">
        <x:f>COUNT('均值原始浓度'!E216:DM216)</x:f>
        <x:v>3</x:v>
      </x:c>
      <x:c r="E216" s="6" t="str">
        <x:f>IF('均值原始浓度'!D216&gt;0,'均值原始浓度'!D216,"")</x:f>
      </x:c>
      <x:c r="F216" s="6" t="n">
        <x:f>IF(D216=0,"",AVERAGE('均值原始浓度'!E216:DM216))</x:f>
        <x:v>4.683333333333334</x:v>
      </x:c>
      <x:c r="G216" s="6" t="str">
        <x:f>IF(AND(D216&gt;0,ISNUMBER(E216),E216&gt;0),F216/E216,"")</x:f>
      </x:c>
      <x:c r="H216" s="5" t="str">
        <x:f>IF(NOT(ISNUMBER(G216)),"待定",IF(G216&lt;1,"固定基底候选","参与浓度设计"))</x:f>
        <x:v>待定</x:v>
      </x:c>
      <x:c r="I216" s="5" t="str">
        <x:f>"否"</x:f>
        <x:v>否</x:v>
      </x:c>
    </x:row>
    <x:row r="217">
      <x:c r="A217" s="5" t="n">
        <x:f>'均值原始浓度'!A217</x:f>
        <x:v>212</x:v>
      </x:c>
      <x:c r="B217" s="5" t="str">
        <x:f>IF('均值原始浓度'!B217="","",'均值原始浓度'!B217)</x:f>
        <x:v>香叶基丙酮</x:v>
      </x:c>
      <x:c r="C217" s="5" t="str">
        <x:f>IF('均值原始浓度'!C217="","",'均值原始浓度'!C217)</x:f>
        <x:v>3796-70-1</x:v>
      </x:c>
      <x:c r="D217" s="5" t="n">
        <x:f>COUNT('均值原始浓度'!E217:DM217)</x:f>
        <x:v>12</x:v>
      </x:c>
      <x:c r="E217" s="6" t="str">
        <x:f>IF('均值原始浓度'!D217&gt;0,'均值原始浓度'!D217,"")</x:f>
      </x:c>
      <x:c r="F217" s="6" t="n">
        <x:f>IF(D217=0,"",AVERAGE('均值原始浓度'!E217:DM217))</x:f>
        <x:v>16.17083333333333</x:v>
      </x:c>
      <x:c r="G217" s="6" t="str">
        <x:f>IF(AND(D217&gt;0,ISNUMBER(E217),E217&gt;0),F217/E217,"")</x:f>
      </x:c>
      <x:c r="H217" s="5" t="str">
        <x:f>IF(NOT(ISNUMBER(G217)),"待定",IF(G217&lt;1,"固定基底候选","参与浓度设计"))</x:f>
        <x:v>待定</x:v>
      </x:c>
      <x:c r="I217" s="5" t="str">
        <x:f>"否"</x:f>
        <x:v>否</x:v>
      </x:c>
    </x:row>
    <x:row r="218">
      <x:c r="A218" s="5" t="n">
        <x:f>'均值原始浓度'!A218</x:f>
        <x:v>213</x:v>
      </x:c>
      <x:c r="B218" s="5" t="str">
        <x:f>IF('均值原始浓度'!B218="","",'均值原始浓度'!B218)</x:f>
        <x:v>异丁醛二乙缩醛</x:v>
      </x:c>
      <x:c r="C218" s="5" t="str">
        <x:f>IF('均值原始浓度'!C218="","",'均值原始浓度'!C218)</x:f>
        <x:v>3842-03-3</x:v>
      </x:c>
      <x:c r="D218" s="5" t="n">
        <x:f>COUNT('均值原始浓度'!E218:DM218)</x:f>
        <x:v>5</x:v>
      </x:c>
      <x:c r="E218" s="6" t="str">
        <x:f>IF('均值原始浓度'!D218&gt;0,'均值原始浓度'!D218,"")</x:f>
      </x:c>
      <x:c r="F218" s="6" t="n">
        <x:f>IF(D218=0,"",AVERAGE('均值原始浓度'!E218:DM218))</x:f>
        <x:v>216.3</x:v>
      </x:c>
      <x:c r="G218" s="6" t="str">
        <x:f>IF(AND(D218&gt;0,ISNUMBER(E218),E218&gt;0),F218/E218,"")</x:f>
      </x:c>
      <x:c r="H218" s="5" t="str">
        <x:f>IF(NOT(ISNUMBER(G218)),"待定",IF(G218&lt;1,"固定基底候选","参与浓度设计"))</x:f>
        <x:v>待定</x:v>
      </x:c>
      <x:c r="I218" s="5" t="str">
        <x:f>"否"</x:f>
        <x:v>否</x:v>
      </x:c>
    </x:row>
    <x:row r="219">
      <x:c r="A219" s="5" t="n">
        <x:f>'均值原始浓度'!A219</x:f>
        <x:v>214</x:v>
      </x:c>
      <x:c r="B219" s="5" t="str">
        <x:f>IF('均值原始浓度'!B219="","",'均值原始浓度'!B219)</x:f>
      </x:c>
      <x:c r="C219" s="5" t="str">
        <x:f>IF('均值原始浓度'!C219="","",'均值原始浓度'!C219)</x:f>
        <x:v>4412-16-2</x:v>
      </x:c>
      <x:c r="D219" s="5" t="n">
        <x:f>COUNT('均值原始浓度'!E219:DM219)</x:f>
        <x:v>6</x:v>
      </x:c>
      <x:c r="E219" s="6" t="str">
        <x:f>IF('均值原始浓度'!D219&gt;0,'均值原始浓度'!D219,"")</x:f>
      </x:c>
      <x:c r="F219" s="6" t="n">
        <x:f>IF(D219=0,"",AVERAGE('均值原始浓度'!E219:DM219))</x:f>
        <x:v>1209.8333333333333</x:v>
      </x:c>
      <x:c r="G219" s="6" t="str">
        <x:f>IF(AND(D219&gt;0,ISNUMBER(E219),E219&gt;0),F219/E219,"")</x:f>
      </x:c>
      <x:c r="H219" s="5" t="str">
        <x:f>IF(NOT(ISNUMBER(G219)),"待定",IF(G219&lt;1,"固定基底候选","参与浓度设计"))</x:f>
        <x:v>待定</x:v>
      </x:c>
      <x:c r="I219" s="5" t="str">
        <x:f>"否"</x:f>
        <x:v>否</x:v>
      </x:c>
    </x:row>
    <x:row r="220">
      <x:c r="A220" s="5" t="n">
        <x:f>'均值原始浓度'!A220</x:f>
        <x:v>215</x:v>
      </x:c>
      <x:c r="B220" s="5" t="str">
        <x:f>IF('均值原始浓度'!B220="","",'均值原始浓度'!B220)</x:f>
      </x:c>
      <x:c r="C220" s="5" t="str">
        <x:f>IF('均值原始浓度'!C220="","",'均值原始浓度'!C220)</x:f>
        <x:v>4437-22-3</x:v>
      </x:c>
      <x:c r="D220" s="5" t="n">
        <x:f>COUNT('均值原始浓度'!E220:DM220)</x:f>
        <x:v>1</x:v>
      </x:c>
      <x:c r="E220" s="6" t="str">
        <x:f>IF('均值原始浓度'!D220&gt;0,'均值原始浓度'!D220,"")</x:f>
      </x:c>
      <x:c r="F220" s="6" t="n">
        <x:f>IF(D220=0,"",AVERAGE('均值原始浓度'!E220:DM220))</x:f>
        <x:v>0.36</x:v>
      </x:c>
      <x:c r="G220" s="6" t="str">
        <x:f>IF(AND(D220&gt;0,ISNUMBER(E220),E220&gt;0),F220/E220,"")</x:f>
      </x:c>
      <x:c r="H220" s="5" t="str">
        <x:f>IF(NOT(ISNUMBER(G220)),"待定",IF(G220&lt;1,"固定基底候选","参与浓度设计"))</x:f>
        <x:v>待定</x:v>
      </x:c>
      <x:c r="I220" s="5" t="str">
        <x:f>"否"</x:f>
        <x:v>否</x:v>
      </x:c>
    </x:row>
    <x:row r="221">
      <x:c r="A221" s="5" t="n">
        <x:f>'均值原始浓度'!A221</x:f>
        <x:v>216</x:v>
      </x:c>
      <x:c r="B221" s="5" t="str">
        <x:f>IF('均值原始浓度'!B221="","",'均值原始浓度'!B221)</x:f>
        <x:v>2-正丁基呋喃</x:v>
      </x:c>
      <x:c r="C221" s="5" t="str">
        <x:f>IF('均值原始浓度'!C221="","",'均值原始浓度'!C221)</x:f>
        <x:v>4466-24-4</x:v>
      </x:c>
      <x:c r="D221" s="5" t="n">
        <x:f>COUNT('均值原始浓度'!E221:DM221)</x:f>
        <x:v>9</x:v>
      </x:c>
      <x:c r="E221" s="6" t="str">
        <x:f>IF('均值原始浓度'!D221&gt;0,'均值原始浓度'!D221,"")</x:f>
      </x:c>
      <x:c r="F221" s="6" t="n">
        <x:f>IF(D221=0,"",AVERAGE('均值原始浓度'!E221:DM221))</x:f>
        <x:v>841.4622222222222</x:v>
      </x:c>
      <x:c r="G221" s="6" t="str">
        <x:f>IF(AND(D221&gt;0,ISNUMBER(E221),E221&gt;0),F221/E221,"")</x:f>
      </x:c>
      <x:c r="H221" s="5" t="str">
        <x:f>IF(NOT(ISNUMBER(G221)),"待定",IF(G221&lt;1,"固定基底候选","参与浓度设计"))</x:f>
        <x:v>待定</x:v>
      </x:c>
      <x:c r="I221" s="5" t="str">
        <x:f>"否"</x:f>
        <x:v>否</x:v>
      </x:c>
    </x:row>
    <x:row r="222">
      <x:c r="A222" s="5" t="n">
        <x:f>'均值原始浓度'!A222</x:f>
        <x:v>217</x:v>
      </x:c>
      <x:c r="B222" s="5" t="str">
        <x:f>IF('均值原始浓度'!B222="","",'均值原始浓度'!B222)</x:f>
      </x:c>
      <x:c r="C222" s="5" t="str">
        <x:f>IF('均值原始浓度'!C222="","",'均值原始浓度'!C222)</x:f>
        <x:v>5405-41-4</x:v>
      </x:c>
      <x:c r="D222" s="5" t="n">
        <x:f>COUNT('均值原始浓度'!E222:DM222)</x:f>
        <x:v>3</x:v>
      </x:c>
      <x:c r="E222" s="6" t="str">
        <x:f>IF('均值原始浓度'!D222&gt;0,'均值原始浓度'!D222,"")</x:f>
      </x:c>
      <x:c r="F222" s="6" t="n">
        <x:f>IF(D222=0,"",AVERAGE('均值原始浓度'!E222:DM222))</x:f>
        <x:v>9.963333333333335</x:v>
      </x:c>
      <x:c r="G222" s="6" t="str">
        <x:f>IF(AND(D222&gt;0,ISNUMBER(E222),E222&gt;0),F222/E222,"")</x:f>
      </x:c>
      <x:c r="H222" s="5" t="str">
        <x:f>IF(NOT(ISNUMBER(G222)),"待定",IF(G222&lt;1,"固定基底候选","参与浓度设计"))</x:f>
        <x:v>待定</x:v>
      </x:c>
      <x:c r="I222" s="5" t="str">
        <x:f>"否"</x:f>
        <x:v>否</x:v>
      </x:c>
    </x:row>
    <x:row r="223">
      <x:c r="A223" s="5" t="n">
        <x:f>'均值原始浓度'!A223</x:f>
        <x:v>218</x:v>
      </x:c>
      <x:c r="B223" s="5" t="str">
        <x:f>IF('均值原始浓度'!B223="","",'均值原始浓度'!B223)</x:f>
        <x:v>庚酸丁酯</x:v>
      </x:c>
      <x:c r="C223" s="5" t="str">
        <x:f>IF('均值原始浓度'!C223="","",'均值原始浓度'!C223)</x:f>
        <x:v>5454-28-4</x:v>
      </x:c>
      <x:c r="D223" s="5" t="n">
        <x:f>COUNT('均值原始浓度'!E223:DM223)</x:f>
        <x:v>8</x:v>
      </x:c>
      <x:c r="E223" s="6" t="str">
        <x:f>IF('均值原始浓度'!D223&gt;0,'均值原始浓度'!D223,"")</x:f>
      </x:c>
      <x:c r="F223" s="6" t="n">
        <x:f>IF(D223=0,"",AVERAGE('均值原始浓度'!E223:DM223))</x:f>
        <x:v>5290.155</x:v>
      </x:c>
      <x:c r="G223" s="6" t="str">
        <x:f>IF(AND(D223&gt;0,ISNUMBER(E223),E223&gt;0),F223/E223,"")</x:f>
      </x:c>
      <x:c r="H223" s="5" t="str">
        <x:f>IF(NOT(ISNUMBER(G223)),"待定",IF(G223&lt;1,"固定基底候选","参与浓度设计"))</x:f>
        <x:v>待定</x:v>
      </x:c>
      <x:c r="I223" s="5" t="str">
        <x:f>"否"</x:f>
        <x:v>否</x:v>
      </x:c>
    </x:row>
    <x:row r="224">
      <x:c r="A224" s="5" t="n">
        <x:f>'均值原始浓度'!A224</x:f>
        <x:v>219</x:v>
      </x:c>
      <x:c r="B224" s="5" t="str">
        <x:f>IF('均值原始浓度'!B224="","",'均值原始浓度'!B224)</x:f>
        <x:v>辛酸异丁酯</x:v>
      </x:c>
      <x:c r="C224" s="5" t="str">
        <x:f>IF('均值原始浓度'!C224="","",'均值原始浓度'!C224)</x:f>
        <x:v>5461-06-3</x:v>
      </x:c>
      <x:c r="D224" s="5" t="n">
        <x:f>COUNT('均值原始浓度'!E224:DM224)</x:f>
        <x:v>6</x:v>
      </x:c>
      <x:c r="E224" s="6" t="str">
        <x:f>IF('均值原始浓度'!D224&gt;0,'均值原始浓度'!D224,"")</x:f>
      </x:c>
      <x:c r="F224" s="6" t="n">
        <x:f>IF(D224=0,"",AVERAGE('均值原始浓度'!E224:DM224))</x:f>
        <x:v>1078.6666666666667</x:v>
      </x:c>
      <x:c r="G224" s="6" t="str">
        <x:f>IF(AND(D224&gt;0,ISNUMBER(E224),E224&gt;0),F224/E224,"")</x:f>
      </x:c>
      <x:c r="H224" s="5" t="str">
        <x:f>IF(NOT(ISNUMBER(G224)),"待定",IF(G224&lt;1,"固定基底候选","参与浓度设计"))</x:f>
        <x:v>待定</x:v>
      </x:c>
      <x:c r="I224" s="5" t="str">
        <x:f>"否"</x:f>
        <x:v>否</x:v>
      </x:c>
    </x:row>
    <x:row r="225">
      <x:c r="A225" s="5" t="n">
        <x:f>'均值原始浓度'!A225</x:f>
        <x:v>220</x:v>
      </x:c>
      <x:c r="B225" s="5" t="str">
        <x:f>IF('均值原始浓度'!B225="","",'均值原始浓度'!B225)</x:f>
        <x:v>3-甲基戊酸乙酯</x:v>
      </x:c>
      <x:c r="C225" s="5" t="str">
        <x:f>IF('均值原始浓度'!C225="","",'均值原始浓度'!C225)</x:f>
        <x:v>5870-68-8</x:v>
      </x:c>
      <x:c r="D225" s="5" t="n">
        <x:f>COUNT('均值原始浓度'!E225:DM225)</x:f>
        <x:v>4</x:v>
      </x:c>
      <x:c r="E225" s="6" t="str">
        <x:f>IF('均值原始浓度'!D225&gt;0,'均值原始浓度'!D225,"")</x:f>
      </x:c>
      <x:c r="F225" s="6" t="n">
        <x:f>IF(D225=0,"",AVERAGE('均值原始浓度'!E225:DM225))</x:f>
        <x:v>5.57</x:v>
      </x:c>
      <x:c r="G225" s="6" t="str">
        <x:f>IF(AND(D225&gt;0,ISNUMBER(E225),E225&gt;0),F225/E225,"")</x:f>
      </x:c>
      <x:c r="H225" s="5" t="str">
        <x:f>IF(NOT(ISNUMBER(G225)),"待定",IF(G225&lt;1,"固定基底候选","参与浓度设计"))</x:f>
        <x:v>待定</x:v>
      </x:c>
      <x:c r="I225" s="5" t="str">
        <x:f>"否"</x:f>
        <x:v>否</x:v>
      </x:c>
    </x:row>
    <x:row r="226">
      <x:c r="A226" s="5" t="n">
        <x:f>'均值原始浓度'!A226</x:f>
        <x:v>221</x:v>
      </x:c>
      <x:c r="B226" s="5" t="str">
        <x:f>IF('均值原始浓度'!B226="","",'均值原始浓度'!B226)</x:f>
      </x:c>
      <x:c r="C226" s="5" t="str">
        <x:f>IF('均值原始浓度'!C226="","",'均值原始浓度'!C226)</x:f>
        <x:v>5941-48-0</x:v>
      </x:c>
      <x:c r="D226" s="5" t="n">
        <x:f>COUNT('均值原始浓度'!E226:DM226)</x:f>
        <x:v>6</x:v>
      </x:c>
      <x:c r="E226" s="6" t="str">
        <x:f>IF('均值原始浓度'!D226&gt;0,'均值原始浓度'!D226,"")</x:f>
      </x:c>
      <x:c r="F226" s="6" t="n">
        <x:f>IF(D226=0,"",AVERAGE('均值原始浓度'!E226:DM226))</x:f>
        <x:v>1094.6666666666667</x:v>
      </x:c>
      <x:c r="G226" s="6" t="str">
        <x:f>IF(AND(D226&gt;0,ISNUMBER(E226),E226&gt;0),F226/E226,"")</x:f>
      </x:c>
      <x:c r="H226" s="5" t="str">
        <x:f>IF(NOT(ISNUMBER(G226)),"待定",IF(G226&lt;1,"固定基底候选","参与浓度设计"))</x:f>
        <x:v>待定</x:v>
      </x:c>
      <x:c r="I226" s="5" t="str">
        <x:f>"否"</x:f>
        <x:v>否</x:v>
      </x:c>
    </x:row>
    <x:row r="227">
      <x:c r="A227" s="5" t="n">
        <x:f>'均值原始浓度'!A227</x:f>
        <x:v>222</x:v>
      </x:c>
      <x:c r="B227" s="5" t="str">
        <x:f>IF('均值原始浓度'!B227="","",'均值原始浓度'!B227)</x:f>
      </x:c>
      <x:c r="C227" s="5" t="str">
        <x:f>IF('均值原始浓度'!C227="","",'均值原始浓度'!C227)</x:f>
        <x:v>6008-27-1</x:v>
      </x:c>
      <x:c r="D227" s="5" t="n">
        <x:f>COUNT('均值原始浓度'!E227:DM227)</x:f>
        <x:v>2</x:v>
      </x:c>
      <x:c r="E227" s="6" t="n">
        <x:f>IF('均值原始浓度'!D227&gt;0,'均值原始浓度'!D227,"")</x:f>
        <x:v>90.7</x:v>
      </x:c>
      <x:c r="F227" s="6" t="n">
        <x:f>IF(D227=0,"",AVERAGE('均值原始浓度'!E227:DM227))</x:f>
        <x:v>94</x:v>
      </x:c>
      <x:c r="G227" s="6" t="n">
        <x:f>IF(AND(D227&gt;0,ISNUMBER(E227),E227&gt;0),F227/E227,"")</x:f>
        <x:v>1.0363836824696802</x:v>
      </x:c>
      <x:c r="H227" s="5" t="str">
        <x:f>IF(NOT(ISNUMBER(G227)),"待定",IF(G227&lt;1,"固定基底候选","参与浓度设计"))</x:f>
        <x:v>参与浓度设计</x:v>
      </x:c>
      <x:c r="I227" s="5" t="str">
        <x:f>"否"</x:f>
        <x:v>否</x:v>
      </x:c>
    </x:row>
    <x:row r="228">
      <x:c r="A228" s="5" t="n">
        <x:f>'均值原始浓度'!A228</x:f>
        <x:v>223</x:v>
      </x:c>
      <x:c r="B228" s="5" t="str">
        <x:f>IF('均值原始浓度'!B228="","",'均值原始浓度'!B228)</x:f>
        <x:v>2-戊醇</x:v>
      </x:c>
      <x:c r="C228" s="5" t="str">
        <x:f>IF('均值原始浓度'!C228="","",'均值原始浓度'!C228)</x:f>
        <x:v>6032-29-7</x:v>
      </x:c>
      <x:c r="D228" s="5" t="n">
        <x:f>COUNT('均值原始浓度'!E228:DM228)</x:f>
        <x:v>52</x:v>
      </x:c>
      <x:c r="E228" s="6" t="n">
        <x:f>IF('均值原始浓度'!D228&gt;0,'均值原始浓度'!D228,"")</x:f>
        <x:v>194313</x:v>
      </x:c>
      <x:c r="F228" s="6" t="n">
        <x:f>IF(D228=0,"",AVERAGE('均值原始浓度'!E228:DM228))</x:f>
        <x:v>12974.187115384617</x:v>
      </x:c>
      <x:c r="G228" s="6" t="n">
        <x:f>IF(AND(D228&gt;0,ISNUMBER(E228),E228&gt;0),F228/E228,"")</x:f>
        <x:v>0.06676952707942659</x:v>
      </x:c>
      <x:c r="H228" s="5" t="str">
        <x:f>IF(NOT(ISNUMBER(G228)),"待定",IF(G228&lt;1,"固定基底候选","参与浓度设计"))</x:f>
        <x:v>固定基底候选</x:v>
      </x:c>
      <x:c r="I228" s="5" t="str">
        <x:f>"否"</x:f>
        <x:v>否</x:v>
      </x:c>
    </x:row>
    <x:row r="229">
      <x:c r="A229" s="5" t="n">
        <x:f>'均值原始浓度'!A229</x:f>
        <x:v>224</x:v>
      </x:c>
      <x:c r="B229" s="5" t="str">
        <x:f>IF('均值原始浓度'!B229="","",'均值原始浓度'!B229)</x:f>
      </x:c>
      <x:c r="C229" s="5" t="str">
        <x:f>IF('均值原始浓度'!C229="","",'均值原始浓度'!C229)</x:f>
        <x:v>6114-18-7</x:v>
      </x:c>
      <x:c r="D229" s="5" t="n">
        <x:f>COUNT('均值原始浓度'!E229:DM229)</x:f>
        <x:v>2</x:v>
      </x:c>
      <x:c r="E229" s="6" t="str">
        <x:f>IF('均值原始浓度'!D229&gt;0,'均值原始浓度'!D229,"")</x:f>
      </x:c>
      <x:c r="F229" s="6" t="n">
        <x:f>IF(D229=0,"",AVERAGE('均值原始浓度'!E229:DM229))</x:f>
        <x:v>0.995</x:v>
      </x:c>
      <x:c r="G229" s="6" t="str">
        <x:f>IF(AND(D229&gt;0,ISNUMBER(E229),E229&gt;0),F229/E229,"")</x:f>
      </x:c>
      <x:c r="H229" s="5" t="str">
        <x:f>IF(NOT(ISNUMBER(G229)),"待定",IF(G229&lt;1,"固定基底候选","参与浓度设计"))</x:f>
        <x:v>待定</x:v>
      </x:c>
      <x:c r="I229" s="5" t="str">
        <x:f>"否"</x:f>
        <x:v>否</x:v>
      </x:c>
    </x:row>
    <x:row r="230">
      <x:c r="A230" s="5" t="n">
        <x:f>'均值原始浓度'!A230</x:f>
        <x:v>225</x:v>
      </x:c>
      <x:c r="B230" s="5" t="str">
        <x:f>IF('均值原始浓度'!B230="","",'均值原始浓度'!B230)</x:f>
        <x:v>己酸-2-苯乙酯</x:v>
      </x:c>
      <x:c r="C230" s="5" t="str">
        <x:f>IF('均值原始浓度'!C230="","",'均值原始浓度'!C230)</x:f>
        <x:v>6290-37-5</x:v>
      </x:c>
      <x:c r="D230" s="5" t="n">
        <x:f>COUNT('均值原始浓度'!E230:DM230)</x:f>
        <x:v>25</x:v>
      </x:c>
      <x:c r="E230" s="6" t="n">
        <x:f>IF('均值原始浓度'!D230&gt;0,'均值原始浓度'!D230,"")</x:f>
        <x:v>94.34</x:v>
      </x:c>
      <x:c r="F230" s="6" t="n">
        <x:f>IF(D230=0,"",AVERAGE('均值原始浓度'!E230:DM230))</x:f>
        <x:v>346.0026</x:v>
      </x:c>
      <x:c r="G230" s="6" t="n">
        <x:f>IF(AND(D230&gt;0,ISNUMBER(E230),E230&gt;0),F230/E230,"")</x:f>
        <x:v>3.6676128895484412</x:v>
      </x:c>
      <x:c r="H230" s="5" t="str">
        <x:f>IF(NOT(ISNUMBER(G230)),"待定",IF(G230&lt;1,"固定基底候选","参与浓度设计"))</x:f>
        <x:v>参与浓度设计</x:v>
      </x:c>
      <x:c r="I230" s="5" t="str">
        <x:f>"否"</x:f>
        <x:v>否</x:v>
      </x:c>
    </x:row>
    <x:row r="231">
      <x:c r="A231" s="5" t="n">
        <x:f>'均值原始浓度'!A231</x:f>
        <x:v>226</x:v>
      </x:c>
      <x:c r="B231" s="5" t="str">
        <x:f>IF('均值原始浓度'!B231="","",'均值原始浓度'!B231)</x:f>
      </x:c>
      <x:c r="C231" s="5" t="str">
        <x:f>IF('均值原始浓度'!C231="","",'均值原始浓度'!C231)</x:f>
        <x:v>6314-97-2</x:v>
      </x:c>
      <x:c r="D231" s="5" t="n">
        <x:f>COUNT('均值原始浓度'!E231:DM231)</x:f>
        <x:v>6</x:v>
      </x:c>
      <x:c r="E231" s="6" t="str">
        <x:f>IF('均值原始浓度'!D231&gt;0,'均值原始浓度'!D231,"")</x:f>
      </x:c>
      <x:c r="F231" s="6" t="n">
        <x:f>IF(D231=0,"",AVERAGE('均值原始浓度'!E231:DM231))</x:f>
        <x:v>1416.6666666666667</x:v>
      </x:c>
      <x:c r="G231" s="6" t="str">
        <x:f>IF(AND(D231&gt;0,ISNUMBER(E231),E231&gt;0),F231/E231,"")</x:f>
      </x:c>
      <x:c r="H231" s="5" t="str">
        <x:f>IF(NOT(ISNUMBER(G231)),"待定",IF(G231&lt;1,"固定基底候选","参与浓度设计"))</x:f>
        <x:v>待定</x:v>
      </x:c>
      <x:c r="I231" s="5" t="str">
        <x:f>"否"</x:f>
        <x:v>否</x:v>
      </x:c>
    </x:row>
    <x:row r="232">
      <x:c r="A232" s="5" t="n">
        <x:f>'均值原始浓度'!A232</x:f>
        <x:v>227</x:v>
      </x:c>
      <x:c r="B232" s="5" t="str">
        <x:f>IF('均值原始浓度'!B232="","",'均值原始浓度'!B232)</x:f>
        <x:v>己酸己酯</x:v>
      </x:c>
      <x:c r="C232" s="5" t="str">
        <x:f>IF('均值原始浓度'!C232="","",'均值原始浓度'!C232)</x:f>
        <x:v>6378-65-0</x:v>
      </x:c>
      <x:c r="D232" s="5" t="n">
        <x:f>COUNT('均值原始浓度'!E232:DM232)</x:f>
        <x:v>86</x:v>
      </x:c>
      <x:c r="E232" s="6" t="n">
        <x:f>IF('均值原始浓度'!D232&gt;0,'均值原始浓度'!D232,"")</x:f>
        <x:v>1891</x:v>
      </x:c>
      <x:c r="F232" s="6" t="n">
        <x:f>IF(D232=0,"",AVERAGE('均值原始浓度'!E232:DM232))</x:f>
        <x:v>25072.419999999995</x:v>
      </x:c>
      <x:c r="G232" s="6" t="n">
        <x:f>IF(AND(D232&gt;0,ISNUMBER(E232),E232&gt;0),F232/E232,"")</x:f>
        <x:v>13.258815441565307</x:v>
      </x:c>
      <x:c r="H232" s="5" t="str">
        <x:f>IF(NOT(ISNUMBER(G232)),"待定",IF(G232&lt;1,"固定基底候选","参与浓度设计"))</x:f>
        <x:v>参与浓度设计</x:v>
      </x:c>
      <x:c r="I232" s="5" t="str">
        <x:f>"是"</x:f>
        <x:v>是</x:v>
      </x:c>
    </x:row>
    <x:row r="233">
      <x:c r="A233" s="5" t="n">
        <x:f>'均值原始浓度'!A233</x:f>
        <x:v>228</x:v>
      </x:c>
      <x:c r="B233" s="5" t="str">
        <x:f>IF('均值原始浓度'!B233="","",'均值原始浓度'!B233)</x:f>
      </x:c>
      <x:c r="C233" s="5" t="str">
        <x:f>IF('均值原始浓度'!C233="","",'均值原始浓度'!C233)</x:f>
        <x:v>6920-72-5</x:v>
      </x:c>
      <x:c r="D233" s="5" t="n">
        <x:f>COUNT('均值原始浓度'!E233:DM233)</x:f>
        <x:v>1</x:v>
      </x:c>
      <x:c r="E233" s="6" t="str">
        <x:f>IF('均值原始浓度'!D233&gt;0,'均值原始浓度'!D233,"")</x:f>
      </x:c>
      <x:c r="F233" s="6" t="n">
        <x:f>IF(D233=0,"",AVERAGE('均值原始浓度'!E233:DM233))</x:f>
        <x:v>2.56</x:v>
      </x:c>
      <x:c r="G233" s="6" t="str">
        <x:f>IF(AND(D233&gt;0,ISNUMBER(E233),E233&gt;0),F233/E233,"")</x:f>
      </x:c>
      <x:c r="H233" s="5" t="str">
        <x:f>IF(NOT(ISNUMBER(G233)),"待定",IF(G233&lt;1,"固定基底候选","参与浓度设计"))</x:f>
        <x:v>待定</x:v>
      </x:c>
      <x:c r="I233" s="5" t="str">
        <x:f>"否"</x:f>
        <x:v>否</x:v>
      </x:c>
    </x:row>
    <x:row r="234">
      <x:c r="A234" s="5" t="n">
        <x:f>'均值原始浓度'!A234</x:f>
        <x:v>229</x:v>
      </x:c>
      <x:c r="B234" s="5" t="str">
        <x:f>IF('均值原始浓度'!B234="","",'均值原始浓度'!B234)</x:f>
      </x:c>
      <x:c r="C234" s="5" t="str">
        <x:f>IF('均值原始浓度'!C234="","",'均值原始浓度'!C234)</x:f>
        <x:v>6976-72-3</x:v>
      </x:c>
      <x:c r="D234" s="5" t="n">
        <x:f>COUNT('均值原始浓度'!E234:DM234)</x:f>
        <x:v>2</x:v>
      </x:c>
      <x:c r="E234" s="6" t="str">
        <x:f>IF('均值原始浓度'!D234&gt;0,'均值原始浓度'!D234,"")</x:f>
      </x:c>
      <x:c r="F234" s="6" t="n">
        <x:f>IF(D234=0,"",AVERAGE('均值原始浓度'!E234:DM234))</x:f>
        <x:v>3.2849999999999997</x:v>
      </x:c>
      <x:c r="G234" s="6" t="str">
        <x:f>IF(AND(D234&gt;0,ISNUMBER(E234),E234&gt;0),F234/E234,"")</x:f>
      </x:c>
      <x:c r="H234" s="5" t="str">
        <x:f>IF(NOT(ISNUMBER(G234)),"待定",IF(G234&lt;1,"固定基底候选","参与浓度设计"))</x:f>
        <x:v>待定</x:v>
      </x:c>
      <x:c r="I234" s="5" t="str">
        <x:f>"否"</x:f>
        <x:v>否</x:v>
      </x:c>
    </x:row>
    <x:row r="235">
      <x:c r="A235" s="5" t="n">
        <x:f>'均值原始浓度'!A235</x:f>
        <x:v>230</x:v>
      </x:c>
      <x:c r="B235" s="5" t="str">
        <x:f>IF('均值原始浓度'!B235="","",'均值原始浓度'!B235)</x:f>
      </x:c>
      <x:c r="C235" s="5" t="str">
        <x:f>IF('均值原始浓度'!C235="","",'均值原始浓度'!C235)</x:f>
        <x:v>7367-88-6</x:v>
      </x:c>
      <x:c r="D235" s="5" t="n">
        <x:f>COUNT('均值原始浓度'!E235:DM235)</x:f>
        <x:v>6</x:v>
      </x:c>
      <x:c r="E235" s="6" t="str">
        <x:f>IF('均值原始浓度'!D235&gt;0,'均值原始浓度'!D235,"")</x:f>
      </x:c>
      <x:c r="F235" s="6" t="n">
        <x:f>IF(D235=0,"",AVERAGE('均值原始浓度'!E235:DM235))</x:f>
        <x:v>412.5</x:v>
      </x:c>
      <x:c r="G235" s="6" t="str">
        <x:f>IF(AND(D235&gt;0,ISNUMBER(E235),E235&gt;0),F235/E235,"")</x:f>
      </x:c>
      <x:c r="H235" s="5" t="str">
        <x:f>IF(NOT(ISNUMBER(G235)),"待定",IF(G235&lt;1,"固定基底候选","参与浓度设计"))</x:f>
        <x:v>待定</x:v>
      </x:c>
      <x:c r="I235" s="5" t="str">
        <x:f>"否"</x:f>
        <x:v>否</x:v>
      </x:c>
    </x:row>
    <x:row r="236">
      <x:c r="A236" s="5" t="n">
        <x:f>'均值原始浓度'!A236</x:f>
        <x:v>231</x:v>
      </x:c>
      <x:c r="B236" s="5" t="str">
        <x:f>IF('均值原始浓度'!B236="","",'均值原始浓度'!B236)</x:f>
      </x:c>
      <x:c r="C236" s="5" t="str">
        <x:f>IF('均值原始浓度'!C236="","",'均值原始浓度'!C236)</x:f>
        <x:v>7378-89-4</x:v>
      </x:c>
      <x:c r="D236" s="5" t="n">
        <x:f>COUNT('均值原始浓度'!E236:DM236)</x:f>
        <x:v>5</x:v>
      </x:c>
      <x:c r="E236" s="6" t="str">
        <x:f>IF('均值原始浓度'!D236&gt;0,'均值原始浓度'!D236,"")</x:f>
      </x:c>
      <x:c r="F236" s="6" t="n">
        <x:f>IF(D236=0,"",AVERAGE('均值原始浓度'!E236:DM236))</x:f>
        <x:v>204.6</x:v>
      </x:c>
      <x:c r="G236" s="6" t="str">
        <x:f>IF(AND(D236&gt;0,ISNUMBER(E236),E236&gt;0),F236/E236,"")</x:f>
      </x:c>
      <x:c r="H236" s="5" t="str">
        <x:f>IF(NOT(ISNUMBER(G236)),"待定",IF(G236&lt;1,"固定基底候选","参与浓度设计"))</x:f>
        <x:v>待定</x:v>
      </x:c>
      <x:c r="I236" s="5" t="str">
        <x:f>"否"</x:f>
        <x:v>否</x:v>
      </x:c>
    </x:row>
    <x:row r="237">
      <x:c r="A237" s="5" t="n">
        <x:f>'均值原始浓度'!A237</x:f>
        <x:v>232</x:v>
      </x:c>
      <x:c r="B237" s="5" t="str">
        <x:f>IF('均值原始浓度'!B237="","",'均值原始浓度'!B237)</x:f>
        <x:v>2-甲基丁酸乙酯</x:v>
      </x:c>
      <x:c r="C237" s="5" t="str">
        <x:f>IF('均值原始浓度'!C237="","",'均值原始浓度'!C237)</x:f>
        <x:v>7452-79-1</x:v>
      </x:c>
      <x:c r="D237" s="5" t="n">
        <x:f>COUNT('均值原始浓度'!E237:DM237)</x:f>
        <x:v>35</x:v>
      </x:c>
      <x:c r="E237" s="6" t="n">
        <x:f>IF('均值原始浓度'!D237&gt;0,'均值原始浓度'!D237,"")</x:f>
        <x:v>18</x:v>
      </x:c>
      <x:c r="F237" s="6" t="n">
        <x:f>IF(D237=0,"",AVERAGE('均值原始浓度'!E237:DM237))</x:f>
        <x:v>553.7311428571429</x:v>
      </x:c>
      <x:c r="G237" s="6" t="n">
        <x:f>IF(AND(D237&gt;0,ISNUMBER(E237),E237&gt;0),F237/E237,"")</x:f>
        <x:v>30.762841269841275</x:v>
      </x:c>
      <x:c r="H237" s="5" t="str">
        <x:f>IF(NOT(ISNUMBER(G237)),"待定",IF(G237&lt;1,"固定基底候选","参与浓度设计"))</x:f>
        <x:v>参与浓度设计</x:v>
      </x:c>
      <x:c r="I237" s="5" t="str">
        <x:f>"是"</x:f>
        <x:v>是</x:v>
      </x:c>
    </x:row>
    <x:row r="238">
      <x:c r="A238" s="5" t="n">
        <x:f>'均值原始浓度'!A238</x:f>
        <x:v>233</x:v>
      </x:c>
      <x:c r="B238" s="5" t="str">
        <x:f>IF('均值原始浓度'!B238="","",'均值原始浓度'!B238)</x:f>
      </x:c>
      <x:c r="C238" s="5" t="str">
        <x:f>IF('均值原始浓度'!C238="","",'均值原始浓度'!C238)</x:f>
        <x:v>7493-69-8</x:v>
      </x:c>
      <x:c r="D238" s="5" t="n">
        <x:f>COUNT('均值原始浓度'!E238:DM238)</x:f>
        <x:v>4</x:v>
      </x:c>
      <x:c r="E238" s="6" t="str">
        <x:f>IF('均值原始浓度'!D238&gt;0,'均值原始浓度'!D238,"")</x:f>
      </x:c>
      <x:c r="F238" s="6" t="n">
        <x:f>IF(D238=0,"",AVERAGE('均值原始浓度'!E238:DM238))</x:f>
        <x:v>1.605</x:v>
      </x:c>
      <x:c r="G238" s="6" t="str">
        <x:f>IF(AND(D238&gt;0,ISNUMBER(E238),E238&gt;0),F238/E238,"")</x:f>
      </x:c>
      <x:c r="H238" s="5" t="str">
        <x:f>IF(NOT(ISNUMBER(G238)),"待定",IF(G238&lt;1,"固定基底候选","参与浓度设计"))</x:f>
        <x:v>待定</x:v>
      </x:c>
      <x:c r="I238" s="5" t="str">
        <x:f>"否"</x:f>
        <x:v>否</x:v>
      </x:c>
    </x:row>
    <x:row r="239">
      <x:c r="A239" s="5" t="n">
        <x:f>'均值原始浓度'!A239</x:f>
        <x:v>234</x:v>
      </x:c>
      <x:c r="B239" s="5" t="str">
        <x:f>IF('均值原始浓度'!B239="","",'均值原始浓度'!B239)</x:f>
      </x:c>
      <x:c r="C239" s="5" t="str">
        <x:f>IF('均值原始浓度'!C239="","",'均值原始浓度'!C239)</x:f>
        <x:v>7779-75-1</x:v>
      </x:c>
      <x:c r="D239" s="5" t="n">
        <x:f>COUNT('均值原始浓度'!E239:DM239)</x:f>
        <x:v>1</x:v>
      </x:c>
      <x:c r="E239" s="6" t="str">
        <x:f>IF('均值原始浓度'!D239&gt;0,'均值原始浓度'!D239,"")</x:f>
      </x:c>
      <x:c r="F239" s="6" t="n">
        <x:f>IF(D239=0,"",AVERAGE('均值原始浓度'!E239:DM239))</x:f>
        <x:v>0.04</x:v>
      </x:c>
      <x:c r="G239" s="6" t="str">
        <x:f>IF(AND(D239&gt;0,ISNUMBER(E239),E239&gt;0),F239/E239,"")</x:f>
      </x:c>
      <x:c r="H239" s="5" t="str">
        <x:f>IF(NOT(ISNUMBER(G239)),"待定",IF(G239&lt;1,"固定基底候选","参与浓度设计"))</x:f>
        <x:v>待定</x:v>
      </x:c>
      <x:c r="I239" s="5" t="str">
        <x:f>"否"</x:f>
        <x:v>否</x:v>
      </x:c>
    </x:row>
    <x:row r="240">
      <x:c r="A240" s="5" t="n">
        <x:f>'均值原始浓度'!A240</x:f>
        <x:v>235</x:v>
      </x:c>
      <x:c r="B240" s="5" t="str">
        <x:f>IF('均值原始浓度'!B240="","",'均值原始浓度'!B240)</x:f>
        <x:v>庚酸异丁酯</x:v>
      </x:c>
      <x:c r="C240" s="5" t="str">
        <x:f>IF('均值原始浓度'!C240="","",'均值原始浓度'!C240)</x:f>
        <x:v>7779-80-8</x:v>
      </x:c>
      <x:c r="D240" s="5" t="n">
        <x:f>COUNT('均值原始浓度'!E240:DM240)</x:f>
        <x:v>19</x:v>
      </x:c>
      <x:c r="E240" s="6" t="str">
        <x:f>IF('均值原始浓度'!D240&gt;0,'均值原始浓度'!D240,"")</x:f>
      </x:c>
      <x:c r="F240" s="6" t="n">
        <x:f>IF(D240=0,"",AVERAGE('均值原始浓度'!E240:DM240))</x:f>
        <x:v>179.83</x:v>
      </x:c>
      <x:c r="G240" s="6" t="str">
        <x:f>IF(AND(D240&gt;0,ISNUMBER(E240),E240&gt;0),F240/E240,"")</x:f>
      </x:c>
      <x:c r="H240" s="5" t="str">
        <x:f>IF(NOT(ISNUMBER(G240)),"待定",IF(G240&lt;1,"固定基底候选","参与浓度设计"))</x:f>
        <x:v>待定</x:v>
      </x:c>
      <x:c r="I240" s="5" t="str">
        <x:f>"否"</x:f>
        <x:v>否</x:v>
      </x:c>
    </x:row>
    <x:row r="241">
      <x:c r="A241" s="5" t="n">
        <x:f>'均值原始浓度'!A241</x:f>
        <x:v>236</x:v>
      </x:c>
      <x:c r="B241" s="5" t="str">
        <x:f>IF('均值原始浓度'!B241="","",'均值原始浓度'!B241)</x:f>
        <x:v>4-乙烯基愈创木酚</x:v>
      </x:c>
      <x:c r="C241" s="5" t="str">
        <x:f>IF('均值原始浓度'!C241="","",'均值原始浓度'!C241)</x:f>
        <x:v>7786-61-0</x:v>
      </x:c>
      <x:c r="D241" s="5" t="n">
        <x:f>COUNT('均值原始浓度'!E241:DM241)</x:f>
        <x:v>31</x:v>
      </x:c>
      <x:c r="E241" s="6" t="n">
        <x:f>IF('均值原始浓度'!D241&gt;0,'均值原始浓度'!D241,"")</x:f>
        <x:v>209</x:v>
      </x:c>
      <x:c r="F241" s="6" t="n">
        <x:f>IF(D241=0,"",AVERAGE('均值原始浓度'!E241:DM241))</x:f>
        <x:v>387.1094612903225</x:v>
      </x:c>
      <x:c r="G241" s="6" t="n">
        <x:f>IF(AND(D241&gt;0,ISNUMBER(E241),E241&gt;0),F241/E241,"")</x:f>
        <x:v>1.8521983793795334</x:v>
      </x:c>
      <x:c r="H241" s="5" t="str">
        <x:f>IF(NOT(ISNUMBER(G241)),"待定",IF(G241&lt;1,"固定基底候选","参与浓度设计"))</x:f>
        <x:v>参与浓度设计</x:v>
      </x:c>
      <x:c r="I241" s="5" t="str">
        <x:f>"否"</x:f>
        <x:v>否</x:v>
      </x:c>
    </x:row>
    <x:row r="242">
      <x:c r="A242" s="5" t="n">
        <x:f>'均值原始浓度'!A242</x:f>
        <x:v>237</x:v>
      </x:c>
      <x:c r="B242" s="5" t="str">
        <x:f>IF('均值原始浓度'!B242="","",'均值原始浓度'!B242)</x:f>
      </x:c>
      <x:c r="C242" s="5" t="str">
        <x:f>IF('均值原始浓度'!C242="","",'均值原始浓度'!C242)</x:f>
        <x:v>7789-99-3</x:v>
      </x:c>
      <x:c r="D242" s="5" t="n">
        <x:f>COUNT('均值原始浓度'!E242:DM242)</x:f>
        <x:v>1</x:v>
      </x:c>
      <x:c r="E242" s="6" t="str">
        <x:f>IF('均值原始浓度'!D242&gt;0,'均值原始浓度'!D242,"")</x:f>
      </x:c>
      <x:c r="F242" s="6" t="n">
        <x:f>IF(D242=0,"",AVERAGE('均值原始浓度'!E242:DM242))</x:f>
        <x:v>0.25</x:v>
      </x:c>
      <x:c r="G242" s="6" t="str">
        <x:f>IF(AND(D242&gt;0,ISNUMBER(E242),E242&gt;0),F242/E242,"")</x:f>
      </x:c>
      <x:c r="H242" s="5" t="str">
        <x:f>IF(NOT(ISNUMBER(G242)),"待定",IF(G242&lt;1,"固定基底候选","参与浓度设计"))</x:f>
        <x:v>待定</x:v>
      </x:c>
      <x:c r="I242" s="5" t="str">
        <x:f>"否"</x:f>
        <x:v>否</x:v>
      </x:c>
    </x:row>
    <x:row r="243">
      <x:c r="A243" s="5" t="n">
        <x:f>'均值原始浓度'!A243</x:f>
        <x:v>238</x:v>
      </x:c>
      <x:c r="B243" s="5" t="str">
        <x:f>IF('均值原始浓度'!B243="","",'均值原始浓度'!B243)</x:f>
      </x:c>
      <x:c r="C243" s="5" t="str">
        <x:f>IF('均值原始浓度'!C243="","",'均值原始浓度'!C243)</x:f>
        <x:v>10031-93-3</x:v>
      </x:c>
      <x:c r="D243" s="5" t="n">
        <x:f>COUNT('均值原始浓度'!E243:DM243)</x:f>
        <x:v>5</x:v>
      </x:c>
      <x:c r="E243" s="6" t="str">
        <x:f>IF('均值原始浓度'!D243&gt;0,'均值原始浓度'!D243,"")</x:f>
      </x:c>
      <x:c r="F243" s="6" t="n">
        <x:f>IF(D243=0,"",AVERAGE('均值原始浓度'!E243:DM243))</x:f>
        <x:v>779.4</x:v>
      </x:c>
      <x:c r="G243" s="6" t="str">
        <x:f>IF(AND(D243&gt;0,ISNUMBER(E243),E243&gt;0),F243/E243,"")</x:f>
      </x:c>
      <x:c r="H243" s="5" t="str">
        <x:f>IF(NOT(ISNUMBER(G243)),"待定",IF(G243&lt;1,"固定基底候选","参与浓度设计"))</x:f>
        <x:v>待定</x:v>
      </x:c>
      <x:c r="I243" s="5" t="str">
        <x:f>"否"</x:f>
        <x:v>否</x:v>
      </x:c>
    </x:row>
    <x:row r="244">
      <x:c r="A244" s="5" t="n">
        <x:f>'均值原始浓度'!A244</x:f>
        <x:v>239</x:v>
      </x:c>
      <x:c r="B244" s="5" t="str">
        <x:f>IF('均值原始浓度'!B244="","",'均值原始浓度'!B244)</x:f>
        <x:v>5-甲基己酸乙酯</x:v>
      </x:c>
      <x:c r="C244" s="5" t="str">
        <x:f>IF('均值原始浓度'!C244="","",'均值原始浓度'!C244)</x:f>
        <x:v>10236-10-9</x:v>
      </x:c>
      <x:c r="D244" s="5" t="n">
        <x:f>COUNT('均值原始浓度'!E244:DM244)</x:f>
        <x:v>8</x:v>
      </x:c>
      <x:c r="E244" s="6" t="str">
        <x:f>IF('均值原始浓度'!D244&gt;0,'均值原始浓度'!D244,"")</x:f>
      </x:c>
      <x:c r="F244" s="6" t="n">
        <x:f>IF(D244=0,"",AVERAGE('均值原始浓度'!E244:DM244))</x:f>
        <x:v>3264.375</x:v>
      </x:c>
      <x:c r="G244" s="6" t="str">
        <x:f>IF(AND(D244&gt;0,ISNUMBER(E244),E244&gt;0),F244/E244,"")</x:f>
      </x:c>
      <x:c r="H244" s="5" t="str">
        <x:f>IF(NOT(ISNUMBER(G244)),"待定",IF(G244&lt;1,"固定基底候选","参与浓度设计"))</x:f>
        <x:v>待定</x:v>
      </x:c>
      <x:c r="I244" s="5" t="str">
        <x:f>"否"</x:f>
        <x:v>否</x:v>
      </x:c>
    </x:row>
    <x:row r="245">
      <x:c r="A245" s="5" t="n">
        <x:f>'均值原始浓度'!A245</x:f>
        <x:v>240</x:v>
      </x:c>
      <x:c r="B245" s="5" t="str">
        <x:f>IF('均值原始浓度'!B245="","",'均值原始浓度'!B245)</x:f>
        <x:v>DL-2-羟基-4-甲基戊酸乙酯</x:v>
      </x:c>
      <x:c r="C245" s="5" t="str">
        <x:f>IF('均值原始浓度'!C245="","",'均值原始浓度'!C245)</x:f>
        <x:v>10348-47-7</x:v>
      </x:c>
      <x:c r="D245" s="5" t="n">
        <x:f>COUNT('均值原始浓度'!E245:DM245)</x:f>
        <x:v>16</x:v>
      </x:c>
      <x:c r="E245" s="6" t="str">
        <x:f>IF('均值原始浓度'!D245&gt;0,'均值原始浓度'!D245,"")</x:f>
      </x:c>
      <x:c r="F245" s="6" t="n">
        <x:f>IF(D245=0,"",AVERAGE('均值原始浓度'!E245:DM245))</x:f>
        <x:v>2465.34625</x:v>
      </x:c>
      <x:c r="G245" s="6" t="str">
        <x:f>IF(AND(D245&gt;0,ISNUMBER(E245),E245&gt;0),F245/E245,"")</x:f>
      </x:c>
      <x:c r="H245" s="5" t="str">
        <x:f>IF(NOT(ISNUMBER(G245)),"待定",IF(G245&lt;1,"固定基底候选","参与浓度设计"))</x:f>
        <x:v>待定</x:v>
      </x:c>
      <x:c r="I245" s="5" t="str">
        <x:f>"否"</x:f>
        <x:v>否</x:v>
      </x:c>
    </x:row>
    <x:row r="246">
      <x:c r="A246" s="5" t="n">
        <x:f>'均值原始浓度'!A246</x:f>
        <x:v>241</x:v>
      </x:c>
      <x:c r="B246" s="5" t="str">
        <x:f>IF('均值原始浓度'!B246="","",'均值原始浓度'!B246)</x:f>
      </x:c>
      <x:c r="C246" s="5" t="str">
        <x:f>IF('均值原始浓度'!C246="","",'均值原始浓度'!C246)</x:f>
        <x:v>10482-56-1</x:v>
      </x:c>
      <x:c r="D246" s="5" t="n">
        <x:f>COUNT('均值原始浓度'!E246:DM246)</x:f>
        <x:v>1</x:v>
      </x:c>
      <x:c r="E246" s="6" t="str">
        <x:f>IF('均值原始浓度'!D246&gt;0,'均值原始浓度'!D246,"")</x:f>
      </x:c>
      <x:c r="F246" s="6" t="n">
        <x:f>IF(D246=0,"",AVERAGE('均值原始浓度'!E246:DM246))</x:f>
        <x:v>0.94</x:v>
      </x:c>
      <x:c r="G246" s="6" t="str">
        <x:f>IF(AND(D246&gt;0,ISNUMBER(E246),E246&gt;0),F246/E246,"")</x:f>
      </x:c>
      <x:c r="H246" s="5" t="str">
        <x:f>IF(NOT(ISNUMBER(G246)),"待定",IF(G246&lt;1,"固定基底候选","参与浓度设计"))</x:f>
        <x:v>待定</x:v>
      </x:c>
      <x:c r="I246" s="5" t="str">
        <x:f>"否"</x:f>
        <x:v>否</x:v>
      </x:c>
    </x:row>
    <x:row r="247">
      <x:c r="A247" s="5" t="n">
        <x:f>'均值原始浓度'!A247</x:f>
        <x:v>242</x:v>
      </x:c>
      <x:c r="B247" s="5" t="str">
        <x:f>IF('均值原始浓度'!B247="","",'均值原始浓度'!B247)</x:f>
        <x:v>2,6-二乙基吡嗪</x:v>
      </x:c>
      <x:c r="C247" s="5" t="str">
        <x:f>IF('均值原始浓度'!C247="","",'均值原始浓度'!C247)</x:f>
        <x:v>13067-27-1</x:v>
      </x:c>
      <x:c r="D247" s="5" t="n">
        <x:f>COUNT('均值原始浓度'!E247:DM247)</x:f>
        <x:v>10</x:v>
      </x:c>
      <x:c r="E247" s="6" t="n">
        <x:f>IF('均值原始浓度'!D247&gt;0,'均值原始浓度'!D247,"")</x:f>
        <x:v>6</x:v>
      </x:c>
      <x:c r="F247" s="6" t="n">
        <x:f>IF(D247=0,"",AVERAGE('均值原始浓度'!E247:DM247))</x:f>
        <x:v>12.538</x:v>
      </x:c>
      <x:c r="G247" s="6" t="n">
        <x:f>IF(AND(D247&gt;0,ISNUMBER(E247),E247&gt;0),F247/E247,"")</x:f>
        <x:v>2.0896666666666666</x:v>
      </x:c>
      <x:c r="H247" s="5" t="str">
        <x:f>IF(NOT(ISNUMBER(G247)),"待定",IF(G247&lt;1,"固定基底候选","参与浓度设计"))</x:f>
        <x:v>参与浓度设计</x:v>
      </x:c>
      <x:c r="I247" s="5" t="str">
        <x:f>"否"</x:f>
        <x:v>否</x:v>
      </x:c>
    </x:row>
    <x:row r="248">
      <x:c r="A248" s="5" t="n">
        <x:f>'均值原始浓度'!A248</x:f>
        <x:v>243</x:v>
      </x:c>
      <x:c r="B248" s="5" t="str">
        <x:f>IF('均值原始浓度'!B248="","",'均值原始浓度'!B248)</x:f>
        <x:v>3-甲硫基丙酸乙酯</x:v>
      </x:c>
      <x:c r="C248" s="5" t="str">
        <x:f>IF('均值原始浓度'!C248="","",'均值原始浓度'!C248)</x:f>
        <x:v>13327-56-5</x:v>
      </x:c>
      <x:c r="D248" s="5" t="n">
        <x:f>COUNT('均值原始浓度'!E248:DM248)</x:f>
        <x:v>2</x:v>
      </x:c>
      <x:c r="E248" s="6" t="str">
        <x:f>IF('均值原始浓度'!D248&gt;0,'均值原始浓度'!D248,"")</x:f>
      </x:c>
      <x:c r="F248" s="6" t="n">
        <x:f>IF(D248=0,"",AVERAGE('均值原始浓度'!E248:DM248))</x:f>
        <x:v>190.5</x:v>
      </x:c>
      <x:c r="G248" s="6" t="str">
        <x:f>IF(AND(D248&gt;0,ISNUMBER(E248),E248&gt;0),F248/E248,"")</x:f>
      </x:c>
      <x:c r="H248" s="5" t="str">
        <x:f>IF(NOT(ISNUMBER(G248)),"待定",IF(G248&lt;1,"固定基底候选","参与浓度设计"))</x:f>
        <x:v>待定</x:v>
      </x:c>
      <x:c r="I248" s="5" t="str">
        <x:f>"否"</x:f>
        <x:v>否</x:v>
      </x:c>
    </x:row>
    <x:row r="249">
      <x:c r="A249" s="5" t="n">
        <x:f>'均值原始浓度'!A249</x:f>
        <x:v>244</x:v>
      </x:c>
      <x:c r="B249" s="5" t="str">
        <x:f>IF('均值原始浓度'!B249="","",'均值原始浓度'!B249)</x:f>
        <x:v>2-糠醛缩二乙醇</x:v>
      </x:c>
      <x:c r="C249" s="5" t="str">
        <x:f>IF('均值原始浓度'!C249="","",'均值原始浓度'!C249)</x:f>
        <x:v>13529-27-6</x:v>
      </x:c>
      <x:c r="D249" s="5" t="n">
        <x:f>COUNT('均值原始浓度'!E249:DM249)</x:f>
        <x:v>16</x:v>
      </x:c>
      <x:c r="E249" s="6" t="n">
        <x:f>IF('均值原始浓度'!D249&gt;0,'均值原始浓度'!D249,"")</x:f>
        <x:v>6172</x:v>
      </x:c>
      <x:c r="F249" s="6" t="n">
        <x:f>IF(D249=0,"",AVERAGE('均值原始浓度'!E249:DM249))</x:f>
        <x:v>5762.991875000001</x:v>
      </x:c>
      <x:c r="G249" s="6" t="n">
        <x:f>IF(AND(D249&gt;0,ISNUMBER(E249),E249&gt;0),F249/E249,"")</x:f>
        <x:v>0.9337316712572911</x:v>
      </x:c>
      <x:c r="H249" s="5" t="str">
        <x:f>IF(NOT(ISNUMBER(G249)),"待定",IF(G249&lt;1,"固定基底候选","参与浓度设计"))</x:f>
        <x:v>固定基底候选</x:v>
      </x:c>
      <x:c r="I249" s="5" t="str">
        <x:f>"否"</x:f>
        <x:v>否</x:v>
      </x:c>
    </x:row>
    <x:row r="250">
      <x:c r="A250" s="5" t="n">
        <x:f>'均值原始浓度'!A250</x:f>
        <x:v>245</x:v>
      </x:c>
      <x:c r="B250" s="5" t="str">
        <x:f>IF('均值原始浓度'!B250="","",'均值原始浓度'!B250)</x:f>
        <x:v>2-乙基-6-甲基吡嗪</x:v>
      </x:c>
      <x:c r="C250" s="5" t="str">
        <x:f>IF('均值原始浓度'!C250="","",'均值原始浓度'!C250)</x:f>
        <x:v>13925-03-6</x:v>
      </x:c>
      <x:c r="D250" s="5" t="n">
        <x:f>COUNT('均值原始浓度'!E250:DM250)</x:f>
        <x:v>16</x:v>
      </x:c>
      <x:c r="E250" s="6" t="n">
        <x:f>IF('均值原始浓度'!D250&gt;0,'均值原始浓度'!D250,"")</x:f>
        <x:v>40</x:v>
      </x:c>
      <x:c r="F250" s="6" t="n">
        <x:f>IF(D250=0,"",AVERAGE('均值原始浓度'!E250:DM250))</x:f>
        <x:v>75.18124999999998</x:v>
      </x:c>
      <x:c r="G250" s="6" t="n">
        <x:f>IF(AND(D250&gt;0,ISNUMBER(E250),E250&gt;0),F250/E250,"")</x:f>
        <x:v>1.8795312499999994</x:v>
      </x:c>
      <x:c r="H250" s="5" t="str">
        <x:f>IF(NOT(ISNUMBER(G250)),"待定",IF(G250&lt;1,"固定基底候选","参与浓度设计"))</x:f>
        <x:v>参与浓度设计</x:v>
      </x:c>
      <x:c r="I250" s="5" t="str">
        <x:f>"否"</x:f>
        <x:v>否</x:v>
      </x:c>
    </x:row>
    <x:row r="251">
      <x:c r="A251" s="5" t="n">
        <x:f>'均值原始浓度'!A251</x:f>
        <x:v>246</x:v>
      </x:c>
      <x:c r="B251" s="5" t="str">
        <x:f>IF('均值原始浓度'!B251="","",'均值原始浓度'!B251)</x:f>
        <x:v>十七烷酸乙酯</x:v>
      </x:c>
      <x:c r="C251" s="5" t="str">
        <x:f>IF('均值原始浓度'!C251="","",'均值原始浓度'!C251)</x:f>
        <x:v>14010-23-2</x:v>
      </x:c>
      <x:c r="D251" s="5" t="n">
        <x:f>COUNT('均值原始浓度'!E251:DM251)</x:f>
        <x:v>2</x:v>
      </x:c>
      <x:c r="E251" s="6" t="str">
        <x:f>IF('均值原始浓度'!D251&gt;0,'均值原始浓度'!D251,"")</x:f>
      </x:c>
      <x:c r="F251" s="6" t="n">
        <x:f>IF(D251=0,"",AVERAGE('均值原始浓度'!E251:DM251))</x:f>
        <x:v>3980</x:v>
      </x:c>
      <x:c r="G251" s="6" t="str">
        <x:f>IF(AND(D251&gt;0,ISNUMBER(E251),E251&gt;0),F251/E251,"")</x:f>
      </x:c>
      <x:c r="H251" s="5" t="str">
        <x:f>IF(NOT(ISNUMBER(G251)),"待定",IF(G251&lt;1,"固定基底候选","参与浓度设计"))</x:f>
        <x:v>待定</x:v>
      </x:c>
      <x:c r="I251" s="5" t="str">
        <x:f>"否"</x:f>
        <x:v>否</x:v>
      </x:c>
    </x:row>
    <x:row r="252">
      <x:c r="A252" s="5" t="n">
        <x:f>'均值原始浓度'!A252</x:f>
        <x:v>247</x:v>
      </x:c>
      <x:c r="B252" s="5" t="str">
        <x:f>IF('均值原始浓度'!B252="","",'均值原始浓度'!B252)</x:f>
        <x:v>三甲基吡嗪</x:v>
      </x:c>
      <x:c r="C252" s="5" t="str">
        <x:f>IF('均值原始浓度'!C252="","",'均值原始浓度'!C252)</x:f>
        <x:v>14667-55-1</x:v>
      </x:c>
      <x:c r="D252" s="5" t="n">
        <x:f>COUNT('均值原始浓度'!E252:DM252)</x:f>
        <x:v>20</x:v>
      </x:c>
      <x:c r="E252" s="6" t="n">
        <x:f>IF('均值原始浓度'!D252&gt;0,'均值原始浓度'!D252,"")</x:f>
        <x:v>730</x:v>
      </x:c>
      <x:c r="F252" s="6" t="n">
        <x:f>IF(D252=0,"",AVERAGE('均值原始浓度'!E252:DM252))</x:f>
        <x:v>67.4015</x:v>
      </x:c>
      <x:c r="G252" s="6" t="n">
        <x:f>IF(AND(D252&gt;0,ISNUMBER(E252),E252&gt;0),F252/E252,"")</x:f>
        <x:v>0.09233082191780821</x:v>
      </x:c>
      <x:c r="H252" s="5" t="str">
        <x:f>IF(NOT(ISNUMBER(G252)),"待定",IF(G252&lt;1,"固定基底候选","参与浓度设计"))</x:f>
        <x:v>固定基底候选</x:v>
      </x:c>
      <x:c r="I252" s="5" t="str">
        <x:f>"否"</x:f>
        <x:v>否</x:v>
      </x:c>
    </x:row>
    <x:row r="253">
      <x:c r="A253" s="5" t="n">
        <x:f>'均值原始浓度'!A253</x:f>
        <x:v>248</x:v>
      </x:c>
      <x:c r="B253" s="5" t="str">
        <x:f>IF('均值原始浓度'!B253="","",'均值原始浓度'!B253)</x:f>
        <x:v>2-甲基丁酸丁酯</x:v>
      </x:c>
      <x:c r="C253" s="5" t="str">
        <x:f>IF('均值原始浓度'!C253="","",'均值原始浓度'!C253)</x:f>
        <x:v>15706-73-7</x:v>
      </x:c>
      <x:c r="D253" s="5" t="n">
        <x:f>COUNT('均值原始浓度'!E253:DM253)</x:f>
        <x:v>13</x:v>
      </x:c>
      <x:c r="E253" s="6" t="str">
        <x:f>IF('均值原始浓度'!D253&gt;0,'均值原始浓度'!D253,"")</x:f>
      </x:c>
      <x:c r="F253" s="6" t="n">
        <x:f>IF(D253=0,"",AVERAGE('均值原始浓度'!E253:DM253))</x:f>
        <x:v>5541.305384615384</x:v>
      </x:c>
      <x:c r="G253" s="6" t="str">
        <x:f>IF(AND(D253&gt;0,ISNUMBER(E253),E253&gt;0),F253/E253,"")</x:f>
      </x:c>
      <x:c r="H253" s="5" t="str">
        <x:f>IF(NOT(ISNUMBER(G253)),"待定",IF(G253&lt;1,"固定基底候选","参与浓度设计"))</x:f>
        <x:v>待定</x:v>
      </x:c>
      <x:c r="I253" s="5" t="str">
        <x:f>"否"</x:f>
        <x:v>否</x:v>
      </x:c>
    </x:row>
    <x:row r="254">
      <x:c r="A254" s="5" t="n">
        <x:f>'均值原始浓度'!A254</x:f>
        <x:v>249</x:v>
      </x:c>
      <x:c r="B254" s="5" t="str">
        <x:f>IF('均值原始浓度'!B254="","",'均值原始浓度'!B254)</x:f>
        <x:v>2,3-二乙基吡嗪</x:v>
      </x:c>
      <x:c r="C254" s="5" t="str">
        <x:f>IF('均值原始浓度'!C254="","",'均值原始浓度'!C254)</x:f>
        <x:v>15707-24-1</x:v>
      </x:c>
      <x:c r="D254" s="5" t="n">
        <x:f>COUNT('均值原始浓度'!E254:DM254)</x:f>
        <x:v>14</x:v>
      </x:c>
      <x:c r="E254" s="6" t="str">
        <x:f>IF('均值原始浓度'!D254&gt;0,'均值原始浓度'!D254,"")</x:f>
      </x:c>
      <x:c r="F254" s="6" t="n">
        <x:f>IF(D254=0,"",AVERAGE('均值原始浓度'!E254:DM254))</x:f>
        <x:v>99.13357142857144</x:v>
      </x:c>
      <x:c r="G254" s="6" t="str">
        <x:f>IF(AND(D254&gt;0,ISNUMBER(E254),E254&gt;0),F254/E254,"")</x:f>
      </x:c>
      <x:c r="H254" s="5" t="str">
        <x:f>IF(NOT(ISNUMBER(G254)),"待定",IF(G254&lt;1,"固定基底候选","参与浓度设计"))</x:f>
        <x:v>待定</x:v>
      </x:c>
      <x:c r="I254" s="5" t="str">
        <x:f>"否"</x:f>
        <x:v>否</x:v>
      </x:c>
    </x:row>
    <x:row r="255">
      <x:c r="A255" s="5" t="n">
        <x:f>'均值原始浓度'!A255</x:f>
        <x:v>250</x:v>
      </x:c>
      <x:c r="B255" s="5" t="str">
        <x:f>IF('均值原始浓度'!B255="","",'均值原始浓度'!B255)</x:f>
        <x:v>3,3-二乙氧基-1-丙醇</x:v>
      </x:c>
      <x:c r="C255" s="5" t="str">
        <x:f>IF('均值原始浓度'!C255="","",'均值原始浓度'!C255)</x:f>
        <x:v>16777-87-0</x:v>
      </x:c>
      <x:c r="D255" s="5" t="n">
        <x:f>COUNT('均值原始浓度'!E255:DM255)</x:f>
        <x:v>4</x:v>
      </x:c>
      <x:c r="E255" s="6" t="str">
        <x:f>IF('均值原始浓度'!D255&gt;0,'均值原始浓度'!D255,"")</x:f>
      </x:c>
      <x:c r="F255" s="6" t="n">
        <x:f>IF(D255=0,"",AVERAGE('均值原始浓度'!E255:DM255))</x:f>
        <x:v>3.54</x:v>
      </x:c>
      <x:c r="G255" s="6" t="str">
        <x:f>IF(AND(D255&gt;0,ISNUMBER(E255),E255&gt;0),F255/E255,"")</x:f>
      </x:c>
      <x:c r="H255" s="5" t="str">
        <x:f>IF(NOT(ISNUMBER(G255)),"待定",IF(G255&lt;1,"固定基底候选","参与浓度设计"))</x:f>
        <x:v>待定</x:v>
      </x:c>
      <x:c r="I255" s="5" t="str">
        <x:f>"否"</x:f>
        <x:v>否</x:v>
      </x:c>
    </x:row>
    <x:row r="256">
      <x:c r="A256" s="5" t="n">
        <x:f>'均值原始浓度'!A256</x:f>
        <x:v>251</x:v>
      </x:c>
      <x:c r="B256" s="5" t="str">
        <x:f>IF('均值原始浓度'!B256="","",'均值原始浓度'!B256)</x:f>
        <x:v>2,3-丁二醇</x:v>
      </x:c>
      <x:c r="C256" s="5" t="str">
        <x:f>IF('均值原始浓度'!C256="","",'均值原始浓度'!C256)</x:f>
        <x:v>19132-06-0</x:v>
      </x:c>
      <x:c r="D256" s="5" t="n">
        <x:f>COUNT('均值原始浓度'!E256:DM256)</x:f>
        <x:v>7</x:v>
      </x:c>
      <x:c r="E256" s="6" t="str">
        <x:f>IF('均值原始浓度'!D256&gt;0,'均值原始浓度'!D256,"")</x:f>
      </x:c>
      <x:c r="F256" s="6" t="n">
        <x:f>IF(D256=0,"",AVERAGE('均值原始浓度'!E256:DM256))</x:f>
        <x:v>34870.37285714286</x:v>
      </x:c>
      <x:c r="G256" s="6" t="str">
        <x:f>IF(AND(D256&gt;0,ISNUMBER(E256),E256&gt;0),F256/E256,"")</x:f>
      </x:c>
      <x:c r="H256" s="5" t="str">
        <x:f>IF(NOT(ISNUMBER(G256)),"待定",IF(G256&lt;1,"固定基底候选","参与浓度设计"))</x:f>
        <x:v>待定</x:v>
      </x:c>
      <x:c r="I256" s="5" t="str">
        <x:f>"否"</x:f>
        <x:v>否</x:v>
      </x:c>
    </x:row>
    <x:row r="257">
      <x:c r="A257" s="5" t="n">
        <x:f>'均值原始浓度'!A257</x:f>
        <x:v>252</x:v>
      </x:c>
      <x:c r="B257" s="5" t="str">
        <x:f>IF('均值原始浓度'!B257="","",'均值原始浓度'!B257)</x:f>
        <x:v>乳酸异戊酯</x:v>
      </x:c>
      <x:c r="C257" s="5" t="str">
        <x:f>IF('均值原始浓度'!C257="","",'均值原始浓度'!C257)</x:f>
        <x:v>19329-89-6</x:v>
      </x:c>
      <x:c r="D257" s="5" t="n">
        <x:f>COUNT('均值原始浓度'!E257:DM257)</x:f>
        <x:v>4</x:v>
      </x:c>
      <x:c r="E257" s="6" t="str">
        <x:f>IF('均值原始浓度'!D257&gt;0,'均值原始浓度'!D257,"")</x:f>
      </x:c>
      <x:c r="F257" s="6" t="n">
        <x:f>IF(D257=0,"",AVERAGE('均值原始浓度'!E257:DM257))</x:f>
        <x:v>2289.0299999999997</x:v>
      </x:c>
      <x:c r="G257" s="6" t="str">
        <x:f>IF(AND(D257&gt;0,ISNUMBER(E257),E257&gt;0),F257/E257,"")</x:f>
      </x:c>
      <x:c r="H257" s="5" t="str">
        <x:f>IF(NOT(ISNUMBER(G257)),"待定",IF(G257&lt;1,"固定基底候选","参与浓度设计"))</x:f>
        <x:v>待定</x:v>
      </x:c>
      <x:c r="I257" s="5" t="str">
        <x:f>"否"</x:f>
        <x:v>否</x:v>
      </x:c>
    </x:row>
    <x:row r="258">
      <x:c r="A258" s="5" t="n">
        <x:f>'均值原始浓度'!A258</x:f>
        <x:v>253</x:v>
      </x:c>
      <x:c r="B258" s="5" t="str">
        <x:f>IF('均值原始浓度'!B258="","",'均值原始浓度'!B258)</x:f>
        <x:v>异丙基3-苯基丙酸酯</x:v>
      </x:c>
      <x:c r="C258" s="5" t="str">
        <x:f>IF('均值原始浓度'!C258="","",'均值原始浓度'!C258)</x:f>
        <x:v>22767-95-9</x:v>
      </x:c>
      <x:c r="D258" s="5" t="n">
        <x:f>COUNT('均值原始浓度'!E258:DM258)</x:f>
        <x:v>1</x:v>
      </x:c>
      <x:c r="E258" s="6" t="str">
        <x:f>IF('均值原始浓度'!D258&gt;0,'均值原始浓度'!D258,"")</x:f>
      </x:c>
      <x:c r="F258" s="6" t="n">
        <x:f>IF(D258=0,"",AVERAGE('均值原始浓度'!E258:DM258))</x:f>
        <x:v>32</x:v>
      </x:c>
      <x:c r="G258" s="6" t="str">
        <x:f>IF(AND(D258&gt;0,ISNUMBER(E258),E258&gt;0),F258/E258,"")</x:f>
      </x:c>
      <x:c r="H258" s="5" t="str">
        <x:f>IF(NOT(ISNUMBER(G258)),"待定",IF(G258&lt;1,"固定基底候选","参与浓度设计"))</x:f>
        <x:v>待定</x:v>
      </x:c>
      <x:c r="I258" s="5" t="str">
        <x:f>"否"</x:f>
        <x:v>否</x:v>
      </x:c>
    </x:row>
    <x:row r="259">
      <x:c r="A259" s="5" t="n">
        <x:f>'均值原始浓度'!A259</x:f>
        <x:v>254</x:v>
      </x:c>
      <x:c r="B259" s="5" t="str">
        <x:f>IF('均值原始浓度'!B259="","",'均值原始浓度'!B259)</x:f>
        <x:v>大马士酮</x:v>
      </x:c>
      <x:c r="C259" s="5" t="str">
        <x:f>IF('均值原始浓度'!C259="","",'均值原始浓度'!C259)</x:f>
        <x:v>23726-91-2</x:v>
      </x:c>
      <x:c r="D259" s="5" t="n">
        <x:f>COUNT('均值原始浓度'!E259:DM259)</x:f>
        <x:v>1</x:v>
      </x:c>
      <x:c r="E259" s="6" t="n">
        <x:f>IF('均值原始浓度'!D259&gt;0,'均值原始浓度'!D259,"")</x:f>
        <x:v>0.12</x:v>
      </x:c>
      <x:c r="F259" s="6" t="n">
        <x:f>IF(D259=0,"",AVERAGE('均值原始浓度'!E259:DM259))</x:f>
        <x:v>148</x:v>
      </x:c>
      <x:c r="G259" s="6" t="n">
        <x:f>IF(AND(D259&gt;0,ISNUMBER(E259),E259&gt;0),F259/E259,"")</x:f>
        <x:v>1233.3333333333335</x:v>
      </x:c>
      <x:c r="H259" s="5" t="str">
        <x:f>IF(NOT(ISNUMBER(G259)),"待定",IF(G259&lt;1,"固定基底候选","参与浓度设计"))</x:f>
        <x:v>参与浓度设计</x:v>
      </x:c>
      <x:c r="I259" s="5" t="str">
        <x:f>"否"</x:f>
        <x:v>否</x:v>
      </x:c>
    </x:row>
    <x:row r="260">
      <x:c r="A260" s="5" t="n">
        <x:f>'均值原始浓度'!A260</x:f>
        <x:v>255</x:v>
      </x:c>
      <x:c r="B260" s="5" t="str">
        <x:f>IF('均值原始浓度'!B260="","",'均值原始浓度'!B260)</x:f>
        <x:v>β-大马酮</x:v>
      </x:c>
      <x:c r="C260" s="5" t="str">
        <x:f>IF('均值原始浓度'!C260="","",'均值原始浓度'!C260)</x:f>
        <x:v>23726-93-4</x:v>
      </x:c>
      <x:c r="D260" s="5" t="n">
        <x:f>COUNT('均值原始浓度'!E260:DM260)</x:f>
        <x:v>26</x:v>
      </x:c>
      <x:c r="E260" s="6" t="n">
        <x:f>IF('均值原始浓度'!D260&gt;0,'均值原始浓度'!D260,"")</x:f>
        <x:v>0.12</x:v>
      </x:c>
      <x:c r="F260" s="6" t="n">
        <x:f>IF(D260=0,"",AVERAGE('均值原始浓度'!E260:DM260))</x:f>
        <x:v>10.73141153846154</x:v>
      </x:c>
      <x:c r="G260" s="6" t="n">
        <x:f>IF(AND(D260&gt;0,ISNUMBER(E260),E260&gt;0),F260/E260,"")</x:f>
        <x:v>89.4284294871795</x:v>
      </x:c>
      <x:c r="H260" s="5" t="str">
        <x:f>IF(NOT(ISNUMBER(G260)),"待定",IF(G260&lt;1,"固定基底候选","参与浓度设计"))</x:f>
        <x:v>参与浓度设计</x:v>
      </x:c>
      <x:c r="I260" s="5" t="str">
        <x:f>"是"</x:f>
        <x:v>是</x:v>
      </x:c>
    </x:row>
    <x:row r="261">
      <x:c r="A261" s="5" t="n">
        <x:f>'均值原始浓度'!A261</x:f>
        <x:v>256</x:v>
      </x:c>
      <x:c r="B261" s="5" t="str">
        <x:f>IF('均值原始浓度'!B261="","",'均值原始浓度'!B261)</x:f>
        <x:v>2-甲基丁酸-2-苯乙酯</x:v>
      </x:c>
      <x:c r="C261" s="5" t="str">
        <x:f>IF('均值原始浓度'!C261="","",'均值原始浓度'!C261)</x:f>
        <x:v>24817-51-4</x:v>
      </x:c>
      <x:c r="D261" s="5" t="n">
        <x:f>COUNT('均值原始浓度'!E261:DM261)</x:f>
        <x:v>1</x:v>
      </x:c>
      <x:c r="E261" s="6" t="str">
        <x:f>IF('均值原始浓度'!D261&gt;0,'均值原始浓度'!D261,"")</x:f>
      </x:c>
      <x:c r="F261" s="6" t="n">
        <x:f>IF(D261=0,"",AVERAGE('均值原始浓度'!E261:DM261))</x:f>
        <x:v>27</x:v>
      </x:c>
      <x:c r="G261" s="6" t="str">
        <x:f>IF(AND(D261&gt;0,ISNUMBER(E261),E261&gt;0),F261/E261,"")</x:f>
      </x:c>
      <x:c r="H261" s="5" t="str">
        <x:f>IF(NOT(ISNUMBER(G261)),"待定",IF(G261&lt;1,"固定基底候选","参与浓度设计"))</x:f>
        <x:v>待定</x:v>
      </x:c>
      <x:c r="I261" s="5" t="str">
        <x:f>"否"</x:f>
        <x:v>否</x:v>
      </x:c>
    </x:row>
    <x:row r="262">
      <x:c r="A262" s="5" t="n">
        <x:f>'均值原始浓度'!A262</x:f>
        <x:v>257</x:v>
      </x:c>
      <x:c r="B262" s="5" t="str">
        <x:f>IF('均值原始浓度'!B262="","",'均值原始浓度'!B262)</x:f>
        <x:v>4-甲基-戊酸乙酯</x:v>
      </x:c>
      <x:c r="C262" s="5" t="str">
        <x:f>IF('均值原始浓度'!C262="","",'均值原始浓度'!C262)</x:f>
        <x:v>25415-67-2</x:v>
      </x:c>
      <x:c r="D262" s="5" t="n">
        <x:f>COUNT('均值原始浓度'!E262:DM262)</x:f>
        <x:v>14</x:v>
      </x:c>
      <x:c r="E262" s="6" t="str">
        <x:f>IF('均值原始浓度'!D262&gt;0,'均值原始浓度'!D262,"")</x:f>
      </x:c>
      <x:c r="F262" s="6" t="n">
        <x:f>IF(D262=0,"",AVERAGE('均值原始浓度'!E262:DM262))</x:f>
        <x:v>864.657142857143</x:v>
      </x:c>
      <x:c r="G262" s="6" t="str">
        <x:f>IF(AND(D262&gt;0,ISNUMBER(E262),E262&gt;0),F262/E262,"")</x:f>
      </x:c>
      <x:c r="H262" s="5" t="str">
        <x:f>IF(NOT(ISNUMBER(G262)),"待定",IF(G262&lt;1,"固定基底候选","参与浓度设计"))</x:f>
        <x:v>待定</x:v>
      </x:c>
      <x:c r="I262" s="5" t="str">
        <x:f>"否"</x:f>
        <x:v>否</x:v>
      </x:c>
    </x:row>
    <x:row r="263">
      <x:c r="A263" s="5" t="n">
        <x:f>'均值原始浓度'!A263</x:f>
        <x:v>258</x:v>
      </x:c>
      <x:c r="B263" s="5" t="str">
        <x:f>IF('均值原始浓度'!B263="","",'均值原始浓度'!B263)</x:f>
      </x:c>
      <x:c r="C263" s="5" t="str">
        <x:f>IF('均值原始浓度'!C263="","",'均值原始浓度'!C263)</x:f>
        <x:v>26764-41-0</x:v>
      </x:c>
      <x:c r="D263" s="5" t="n">
        <x:f>COUNT('均值原始浓度'!E263:DM263)</x:f>
        <x:v>6</x:v>
      </x:c>
      <x:c r="E263" s="6" t="str">
        <x:f>IF('均值原始浓度'!D263&gt;0,'均值原始浓度'!D263,"")</x:f>
      </x:c>
      <x:c r="F263" s="6" t="n">
        <x:f>IF(D263=0,"",AVERAGE('均值原始浓度'!E263:DM263))</x:f>
        <x:v>523.5</x:v>
      </x:c>
      <x:c r="G263" s="6" t="str">
        <x:f>IF(AND(D263&gt;0,ISNUMBER(E263),E263&gt;0),F263/E263,"")</x:f>
      </x:c>
      <x:c r="H263" s="5" t="str">
        <x:f>IF(NOT(ISNUMBER(G263)),"待定",IF(G263&lt;1,"固定基底候选","参与浓度设计"))</x:f>
        <x:v>待定</x:v>
      </x:c>
      <x:c r="I263" s="5" t="str">
        <x:f>"否"</x:f>
        <x:v>否</x:v>
      </x:c>
    </x:row>
    <x:row r="264">
      <x:c r="A264" s="5" t="n">
        <x:f>'均值原始浓度'!A264</x:f>
        <x:v>259</x:v>
      </x:c>
      <x:c r="B264" s="5" t="str">
        <x:f>IF('均值原始浓度'!B264="","",'均值原始浓度'!B264)</x:f>
        <x:v>2-壬烯-4-酮</x:v>
      </x:c>
      <x:c r="C264" s="5" t="str">
        <x:f>IF('均值原始浓度'!C264="","",'均值原始浓度'!C264)</x:f>
        <x:v>27743-70-0</x:v>
      </x:c>
      <x:c r="D264" s="5" t="n">
        <x:f>COUNT('均值原始浓度'!E264:DM264)</x:f>
        <x:v>3</x:v>
      </x:c>
      <x:c r="E264" s="6" t="str">
        <x:f>IF('均值原始浓度'!D264&gt;0,'均值原始浓度'!D264,"")</x:f>
      </x:c>
      <x:c r="F264" s="6" t="n">
        <x:f>IF(D264=0,"",AVERAGE('均值原始浓度'!E264:DM264))</x:f>
        <x:v>140</x:v>
      </x:c>
      <x:c r="G264" s="6" t="str">
        <x:f>IF(AND(D264&gt;0,ISNUMBER(E264),E264&gt;0),F264/E264,"")</x:f>
      </x:c>
      <x:c r="H264" s="5" t="str">
        <x:f>IF(NOT(ISNUMBER(G264)),"待定",IF(G264&lt;1,"固定基底候选","参与浓度设计"))</x:f>
        <x:v>待定</x:v>
      </x:c>
      <x:c r="I264" s="5" t="str">
        <x:f>"否"</x:f>
        <x:v>否</x:v>
      </x:c>
    </x:row>
    <x:row r="265">
      <x:c r="A265" s="5" t="n">
        <x:f>'均值原始浓度'!A265</x:f>
        <x:v>260</x:v>
      </x:c>
      <x:c r="B265" s="5" t="str">
        <x:f>IF('均值原始浓度'!B265="","",'均值原始浓度'!B265)</x:f>
      </x:c>
      <x:c r="C265" s="5" t="str">
        <x:f>IF('均值原始浓度'!C265="","",'均值原始浓度'!C265)</x:f>
        <x:v>28267-29-0</x:v>
      </x:c>
      <x:c r="D265" s="5" t="n">
        <x:f>COUNT('均值原始浓度'!E265:DM265)</x:f>
        <x:v>6</x:v>
      </x:c>
      <x:c r="E265" s="6" t="str">
        <x:f>IF('均值原始浓度'!D265&gt;0,'均值原始浓度'!D265,"")</x:f>
      </x:c>
      <x:c r="F265" s="6" t="n">
        <x:f>IF(D265=0,"",AVERAGE('均值原始浓度'!E265:DM265))</x:f>
        <x:v>841.6666666666666</x:v>
      </x:c>
      <x:c r="G265" s="6" t="str">
        <x:f>IF(AND(D265&gt;0,ISNUMBER(E265),E265&gt;0),F265/E265,"")</x:f>
      </x:c>
      <x:c r="H265" s="5" t="str">
        <x:f>IF(NOT(ISNUMBER(G265)),"待定",IF(G265&lt;1,"固定基底候选","参与浓度设计"))</x:f>
        <x:v>待定</x:v>
      </x:c>
      <x:c r="I265" s="5" t="str">
        <x:f>"否"</x:f>
        <x:v>否</x:v>
      </x:c>
    </x:row>
    <x:row r="266">
      <x:c r="A266" s="5" t="n">
        <x:f>'均值原始浓度'!A266</x:f>
        <x:v>261</x:v>
      </x:c>
      <x:c r="B266" s="5" t="str">
        <x:f>IF('均值原始浓度'!B266="","",'均值原始浓度'!B266)</x:f>
      </x:c>
      <x:c r="C266" s="5" t="str">
        <x:f>IF('均值原始浓度'!C266="","",'均值原始浓度'!C266)</x:f>
        <x:v>34764-02-8</x:v>
      </x:c>
      <x:c r="D266" s="5" t="n">
        <x:f>COUNT('均值原始浓度'!E266:DM266)</x:f>
        <x:v>6</x:v>
      </x:c>
      <x:c r="E266" s="6" t="str">
        <x:f>IF('均值原始浓度'!D266&gt;0,'均值原始浓度'!D266,"")</x:f>
      </x:c>
      <x:c r="F266" s="6" t="n">
        <x:f>IF(D266=0,"",AVERAGE('均值原始浓度'!E266:DM266))</x:f>
        <x:v>605.6666666666666</x:v>
      </x:c>
      <x:c r="G266" s="6" t="str">
        <x:f>IF(AND(D266&gt;0,ISNUMBER(E266),E266&gt;0),F266/E266,"")</x:f>
      </x:c>
      <x:c r="H266" s="5" t="str">
        <x:f>IF(NOT(ISNUMBER(G266)),"待定",IF(G266&lt;1,"固定基底候选","参与浓度设计"))</x:f>
        <x:v>待定</x:v>
      </x:c>
      <x:c r="I266" s="5" t="str">
        <x:f>"否"</x:f>
        <x:v>否</x:v>
      </x:c>
    </x:row>
    <x:row r="267">
      <x:c r="A267" s="5" t="n">
        <x:f>'均值原始浓度'!A267</x:f>
        <x:v>262</x:v>
      </x:c>
      <x:c r="B267" s="5" t="str">
        <x:f>IF('均值原始浓度'!B267="","",'均值原始浓度'!B267)</x:f>
        <x:v>己酸糠酯</x:v>
      </x:c>
      <x:c r="C267" s="5" t="str">
        <x:f>IF('均值原始浓度'!C267="","",'均值原始浓度'!C267)</x:f>
        <x:v>39252-02-3</x:v>
      </x:c>
      <x:c r="D267" s="5" t="n">
        <x:f>COUNT('均值原始浓度'!E267:DM267)</x:f>
        <x:v>3</x:v>
      </x:c>
      <x:c r="E267" s="6" t="str">
        <x:f>IF('均值原始浓度'!D267&gt;0,'均值原始浓度'!D267,"")</x:f>
      </x:c>
      <x:c r="F267" s="6" t="n">
        <x:f>IF(D267=0,"",AVERAGE('均值原始浓度'!E267:DM267))</x:f>
        <x:v>335.3666666666667</x:v>
      </x:c>
      <x:c r="G267" s="6" t="str">
        <x:f>IF(AND(D267&gt;0,ISNUMBER(E267),E267&gt;0),F267/E267,"")</x:f>
      </x:c>
      <x:c r="H267" s="5" t="str">
        <x:f>IF(NOT(ISNUMBER(G267)),"待定",IF(G267&lt;1,"固定基底候选","参与浓度设计"))</x:f>
        <x:v>待定</x:v>
      </x:c>
      <x:c r="I267" s="5" t="str">
        <x:f>"否"</x:f>
        <x:v>否</x:v>
      </x:c>
    </x:row>
    <x:row r="268">
      <x:c r="A268" s="5" t="n">
        <x:f>'均值原始浓度'!A268</x:f>
        <x:v>263</x:v>
      </x:c>
      <x:c r="B268" s="5" t="str">
        <x:f>IF('均值原始浓度'!B268="","",'均值原始浓度'!B268)</x:f>
      </x:c>
      <x:c r="C268" s="5" t="str">
        <x:f>IF('均值原始浓度'!C268="","",'均值原始浓度'!C268)</x:f>
        <x:v>41114-00-5</x:v>
      </x:c>
      <x:c r="D268" s="5" t="n">
        <x:f>COUNT('均值原始浓度'!E268:DM268)</x:f>
        <x:v>10</x:v>
      </x:c>
      <x:c r="E268" s="6" t="str">
        <x:f>IF('均值原始浓度'!D268&gt;0,'均值原始浓度'!D268,"")</x:f>
      </x:c>
      <x:c r="F268" s="6" t="n">
        <x:f>IF(D268=0,"",AVERAGE('均值原始浓度'!E268:DM268))</x:f>
        <x:v>1459.035</x:v>
      </x:c>
      <x:c r="G268" s="6" t="str">
        <x:f>IF(AND(D268&gt;0,ISNUMBER(E268),E268&gt;0),F268/E268,"")</x:f>
      </x:c>
      <x:c r="H268" s="5" t="str">
        <x:f>IF(NOT(ISNUMBER(G268)),"待定",IF(G268&lt;1,"固定基底候选","参与浓度设计"))</x:f>
        <x:v>待定</x:v>
      </x:c>
      <x:c r="I268" s="5" t="str">
        <x:f>"否"</x:f>
        <x:v>否</x:v>
      </x:c>
    </x:row>
    <x:row r="269">
      <x:c r="A269" s="5" t="n">
        <x:f>'均值原始浓度'!A269</x:f>
        <x:v>264</x:v>
      </x:c>
      <x:c r="B269" s="5" t="str">
        <x:f>IF('均值原始浓度'!B269="","",'均值原始浓度'!B269)</x:f>
        <x:v>2-羟基己酸乙酯a</x:v>
      </x:c>
      <x:c r="C269" s="5" t="str">
        <x:f>IF('均值原始浓度'!C269="","",'均值原始浓度'!C269)</x:f>
        <x:v>52089-55-1</x:v>
      </x:c>
      <x:c r="D269" s="5" t="n">
        <x:f>COUNT('均值原始浓度'!E269:DM269)</x:f>
        <x:v>31</x:v>
      </x:c>
      <x:c r="E269" s="6" t="str">
        <x:f>IF('均值原始浓度'!D269&gt;0,'均值原始浓度'!D269,"")</x:f>
      </x:c>
      <x:c r="F269" s="6" t="n">
        <x:f>IF(D269=0,"",AVERAGE('均值原始浓度'!E269:DM269))</x:f>
        <x:v>311.1466129032258</x:v>
      </x:c>
      <x:c r="G269" s="6" t="str">
        <x:f>IF(AND(D269&gt;0,ISNUMBER(E269),E269&gt;0),F269/E269,"")</x:f>
      </x:c>
      <x:c r="H269" s="5" t="str">
        <x:f>IF(NOT(ISNUMBER(G269)),"待定",IF(G269&lt;1,"固定基底候选","参与浓度设计"))</x:f>
        <x:v>待定</x:v>
      </x:c>
      <x:c r="I269" s="5" t="str">
        <x:f>"否"</x:f>
        <x:v>否</x:v>
      </x:c>
    </x:row>
    <x:row r="270">
      <x:c r="A270" s="5" t="n">
        <x:f>'均值原始浓度'!A270</x:f>
        <x:v>265</x:v>
      </x:c>
      <x:c r="B270" s="5" t="str">
        <x:f>IF('均值原始浓度'!B270="","",'均值原始浓度'!B270)</x:f>
      </x:c>
      <x:c r="C270" s="5" t="str">
        <x:f>IF('均值原始浓度'!C270="","",'均值原始浓度'!C270)</x:f>
        <x:v>54546-22-4</x:v>
      </x:c>
      <x:c r="D270" s="5" t="n">
        <x:f>COUNT('均值原始浓度'!E270:DM270)</x:f>
        <x:v>8</x:v>
      </x:c>
      <x:c r="E270" s="6" t="str">
        <x:f>IF('均值原始浓度'!D270&gt;0,'均值原始浓度'!D270,"")</x:f>
      </x:c>
      <x:c r="F270" s="6" t="n">
        <x:f>IF(D270=0,"",AVERAGE('均值原始浓度'!E270:DM270))</x:f>
        <x:v>5057.77375</x:v>
      </x:c>
      <x:c r="G270" s="6" t="str">
        <x:f>IF(AND(D270&gt;0,ISNUMBER(E270),E270&gt;0),F270/E270,"")</x:f>
      </x:c>
      <x:c r="H270" s="5" t="str">
        <x:f>IF(NOT(ISNUMBER(G270)),"待定",IF(G270&lt;1,"固定基底候选","参与浓度设计"))</x:f>
        <x:v>待定</x:v>
      </x:c>
      <x:c r="I270" s="5" t="str">
        <x:f>"否"</x:f>
        <x:v>否</x:v>
      </x:c>
    </x:row>
    <x:row r="271">
      <x:c r="A271" s="5" t="n">
        <x:f>'均值原始浓度'!A271</x:f>
        <x:v>266</x:v>
      </x:c>
      <x:c r="B271" s="5" t="str">
        <x:f>IF('均值原始浓度'!B271="","",'均值原始浓度'!B271)</x:f>
      </x:c>
      <x:c r="C271" s="5" t="str">
        <x:f>IF('均值原始浓度'!C271="","",'均值原始浓度'!C271)</x:f>
        <x:v>54815-13-3</x:v>
      </x:c>
      <x:c r="D271" s="5" t="n">
        <x:f>COUNT('均值原始浓度'!E271:DM271)</x:f>
        <x:v>9</x:v>
      </x:c>
      <x:c r="E271" s="6" t="str">
        <x:f>IF('均值原始浓度'!D271&gt;0,'均值原始浓度'!D271,"")</x:f>
      </x:c>
      <x:c r="F271" s="6" t="n">
        <x:f>IF(D271=0,"",AVERAGE('均值原始浓度'!E271:DM271))</x:f>
        <x:v>1889.0500000000002</x:v>
      </x:c>
      <x:c r="G271" s="6" t="str">
        <x:f>IF(AND(D271&gt;0,ISNUMBER(E271),E271&gt;0),F271/E271,"")</x:f>
      </x:c>
      <x:c r="H271" s="5" t="str">
        <x:f>IF(NOT(ISNUMBER(G271)),"待定",IF(G271&lt;1,"固定基底候选","参与浓度设计"))</x:f>
        <x:v>待定</x:v>
      </x:c>
      <x:c r="I271" s="5" t="str">
        <x:f>"否"</x:f>
        <x:v>否</x:v>
      </x:c>
    </x:row>
    <x:row r="272">
      <x:c r="A272" s="5" t="n">
        <x:f>'均值原始浓度'!A272</x:f>
        <x:v>267</x:v>
      </x:c>
      <x:c r="B272" s="5" t="str">
        <x:f>IF('均值原始浓度'!B272="","",'均值原始浓度'!B272)</x:f>
      </x:c>
      <x:c r="C272" s="5" t="str">
        <x:f>IF('均值原始浓度'!C272="","",'均值原始浓度'!C272)</x:f>
        <x:v>57274-46-1</x:v>
      </x:c>
      <x:c r="D272" s="5" t="n">
        <x:f>COUNT('均值原始浓度'!E272:DM272)</x:f>
        <x:v>6</x:v>
      </x:c>
      <x:c r="E272" s="6" t="str">
        <x:f>IF('均值原始浓度'!D272&gt;0,'均值原始浓度'!D272,"")</x:f>
      </x:c>
      <x:c r="F272" s="6" t="n">
        <x:f>IF(D272=0,"",AVERAGE('均值原始浓度'!E272:DM272))</x:f>
        <x:v>295.6666666666667</x:v>
      </x:c>
      <x:c r="G272" s="6" t="str">
        <x:f>IF(AND(D272&gt;0,ISNUMBER(E272),E272&gt;0),F272/E272,"")</x:f>
      </x:c>
      <x:c r="H272" s="5" t="str">
        <x:f>IF(NOT(ISNUMBER(G272)),"待定",IF(G272&lt;1,"固定基底候选","参与浓度设计"))</x:f>
        <x:v>待定</x:v>
      </x:c>
      <x:c r="I272" s="5" t="str">
        <x:f>"否"</x:f>
        <x:v>否</x:v>
      </x:c>
    </x:row>
    <x:row r="273">
      <x:c r="A273" s="5" t="n">
        <x:f>'均值原始浓度'!A273</x:f>
        <x:v>268</x:v>
      </x:c>
      <x:c r="B273" s="5" t="str">
        <x:f>IF('均值原始浓度'!B273="","",'均值原始浓度'!B273)</x:f>
      </x:c>
      <x:c r="C273" s="5" t="str">
        <x:f>IF('均值原始浓度'!C273="","",'均值原始浓度'!C273)</x:f>
        <x:v>60415-61-4</x:v>
      </x:c>
      <x:c r="D273" s="5" t="n">
        <x:f>COUNT('均值原始浓度'!E273:DM273)</x:f>
        <x:v>1</x:v>
      </x:c>
      <x:c r="E273" s="6" t="str">
        <x:f>IF('均值原始浓度'!D273&gt;0,'均值原始浓度'!D273,"")</x:f>
      </x:c>
      <x:c r="F273" s="6" t="n">
        <x:f>IF(D273=0,"",AVERAGE('均值原始浓度'!E273:DM273))</x:f>
        <x:v>0.25</x:v>
      </x:c>
      <x:c r="G273" s="6" t="str">
        <x:f>IF(AND(D273&gt;0,ISNUMBER(E273),E273&gt;0),F273/E273,"")</x:f>
      </x:c>
      <x:c r="H273" s="5" t="str">
        <x:f>IF(NOT(ISNUMBER(G273)),"待定",IF(G273&lt;1,"固定基底候选","参与浓度设计"))</x:f>
        <x:v>待定</x:v>
      </x:c>
      <x:c r="I273" s="5" t="str">
        <x:f>"否"</x:f>
        <x:v>否</x:v>
      </x:c>
    </x:row>
    <x:row r="274">
      <x:c r="A274" s="5" t="n">
        <x:f>'均值原始浓度'!A274</x:f>
        <x:v>269</x:v>
      </x:c>
      <x:c r="B274" s="5" t="str">
        <x:f>IF('均值原始浓度'!B274="","",'均值原始浓度'!B274)</x:f>
      </x:c>
      <x:c r="C274" s="5" t="str">
        <x:f>IF('均值原始浓度'!C274="","",'均值原始浓度'!C274)</x:f>
        <x:v>75039-84-8</x:v>
      </x:c>
      <x:c r="D274" s="5" t="n">
        <x:f>COUNT('均值原始浓度'!E274:DM274)</x:f>
        <x:v>1</x:v>
      </x:c>
      <x:c r="E274" s="6" t="str">
        <x:f>IF('均值原始浓度'!D274&gt;0,'均值原始浓度'!D274,"")</x:f>
      </x:c>
      <x:c r="F274" s="6" t="n">
        <x:f>IF(D274=0,"",AVERAGE('均值原始浓度'!E274:DM274))</x:f>
        <x:v>0.42</x:v>
      </x:c>
      <x:c r="G274" s="6" t="str">
        <x:f>IF(AND(D274&gt;0,ISNUMBER(E274),E274&gt;0),F274/E274,"")</x:f>
      </x:c>
      <x:c r="H274" s="5" t="str">
        <x:f>IF(NOT(ISNUMBER(G274)),"待定",IF(G274&lt;1,"固定基底候选","参与浓度设计"))</x:f>
        <x:v>待定</x:v>
      </x:c>
      <x:c r="I274" s="5" t="str">
        <x:f>"否"</x:f>
        <x:v>否</x:v>
      </x:c>
    </x:row>
    <x:row r="275">
      <x:c r="A275" s="5" t="n">
        <x:f>'均值原始浓度'!A275</x:f>
        <x:v>270</x:v>
      </x:c>
      <x:c r="B275" s="5" t="str">
        <x:f>IF('均值原始浓度'!B275="","",'均值原始浓度'!B275)</x:f>
        <x:v>反-4-癸烯酸乙酯</x:v>
      </x:c>
      <x:c r="C275" s="5" t="str">
        <x:f>IF('均值原始浓度'!C275="","",'均值原始浓度'!C275)</x:f>
        <x:v>76649-16-6</x:v>
      </x:c>
      <x:c r="D275" s="5" t="n">
        <x:f>COUNT('均值原始浓度'!E275:DM275)</x:f>
        <x:v>17</x:v>
      </x:c>
      <x:c r="E275" s="6" t="n">
        <x:f>IF('均值原始浓度'!D275&gt;0,'均值原始浓度'!D275,"")</x:f>
        <x:v>8844.66</x:v>
      </x:c>
      <x:c r="F275" s="6" t="n">
        <x:f>IF(D275=0,"",AVERAGE('均值原始浓度'!E275:DM275))</x:f>
        <x:v>264.0241176470588</x:v>
      </x:c>
      <x:c r="G275" s="6" t="n">
        <x:f>IF(AND(D275&gt;0,ISNUMBER(E275),E275&gt;0),F275/E275,"")</x:f>
        <x:v>0.029851245570441238</x:v>
      </x:c>
      <x:c r="H275" s="5" t="str">
        <x:f>IF(NOT(ISNUMBER(G275)),"待定",IF(G275&lt;1,"固定基底候选","参与浓度设计"))</x:f>
        <x:v>固定基底候选</x:v>
      </x:c>
      <x:c r="I275" s="5" t="str">
        <x:f>"否"</x:f>
        <x:v>否</x:v>
      </x:c>
    </x:row>
    <x:row r="276">
      <x:c r="A276" s="5" t="n">
        <x:f>'均值原始浓度'!A276</x:f>
        <x:v>271</x:v>
      </x:c>
      <x:c r="B276" s="5" t="str">
        <x:f>IF('均值原始浓度'!B276="","",'均值原始浓度'!B276)</x:f>
        <x:v>3-壬烯酸乙酯</x:v>
      </x:c>
      <x:c r="C276" s="5" t="str">
        <x:f>IF('均值原始浓度'!C276="","",'均值原始浓度'!C276)</x:f>
        <x:v>91213-30-8</x:v>
      </x:c>
      <x:c r="D276" s="5" t="n">
        <x:f>COUNT('均值原始浓度'!E276:DM276)</x:f>
        <x:v>6</x:v>
      </x:c>
      <x:c r="E276" s="6" t="str">
        <x:f>IF('均值原始浓度'!D276&gt;0,'均值原始浓度'!D276,"")</x:f>
      </x:c>
      <x:c r="F276" s="6" t="n">
        <x:f>IF(D276=0,"",AVERAGE('均值原始浓度'!E276:DM276))</x:f>
        <x:v>1350</x:v>
      </x:c>
      <x:c r="G276" s="6" t="str">
        <x:f>IF(AND(D276&gt;0,ISNUMBER(E276),E276&gt;0),F276/E276,"")</x:f>
      </x:c>
      <x:c r="H276" s="5" t="str">
        <x:f>IF(NOT(ISNUMBER(G276)),"待定",IF(G276&lt;1,"固定基底候选","参与浓度设计"))</x:f>
        <x:v>待定</x:v>
      </x:c>
      <x:c r="I276" s="5" t="str">
        <x:f>"否"</x:f>
        <x:v>否</x:v>
      </x:c>
    </x:row>
    <x:row r="277">
      <x:c r="A277" s="5" t="n">
        <x:f>'均值原始浓度'!A277</x:f>
        <x:v>272</x:v>
      </x:c>
      <x:c r="B277" s="5" t="str">
        <x:f>IF('均值原始浓度'!B277="","",'均值原始浓度'!B277)</x:f>
      </x:c>
      <x:c r="C277" s="5" t="str">
        <x:f>IF('均值原始浓度'!C277="","",'均值原始浓度'!C277)</x:f>
      </x:c>
      <x:c r="D277" s="5" t="n">
        <x:f>COUNT('均值原始浓度'!E277:DM277)</x:f>
        <x:v>2</x:v>
      </x:c>
      <x:c r="E277" s="6" t="str">
        <x:f>IF('均值原始浓度'!D277&gt;0,'均值原始浓度'!D277,"")</x:f>
      </x:c>
      <x:c r="F277" s="6" t="n">
        <x:f>IF(D277=0,"",AVERAGE('均值原始浓度'!E277:DM277))</x:f>
        <x:v>2</x:v>
      </x:c>
      <x:c r="G277" s="6" t="str">
        <x:f>IF(AND(D277&gt;0,ISNUMBER(E277),E277&gt;0),F277/E277,"")</x:f>
      </x:c>
      <x:c r="H277" s="5" t="str">
        <x:f>IF(NOT(ISNUMBER(G277)),"待定",IF(G277&lt;1,"固定基底候选","参与浓度设计"))</x:f>
        <x:v>待定</x:v>
      </x:c>
      <x:c r="I277" s="5" t="str">
        <x:f>"否"</x:f>
        <x:v>否</x:v>
      </x:c>
    </x:row>
    <x:row r="278">
      <x:c r="A278" s="5" t="n">
        <x:f>'均值原始浓度'!A278</x:f>
        <x:v>273</x:v>
      </x:c>
      <x:c r="B278" s="5" t="str">
        <x:f>IF('均值原始浓度'!B278="","",'均值原始浓度'!B278)</x:f>
        <x:v>1,1-二乙氧基-2-苯乙烷</x:v>
      </x:c>
      <x:c r="C278" s="5" t="str">
        <x:f>IF('均值原始浓度'!C278="","",'均值原始浓度'!C278)</x:f>
      </x:c>
      <x:c r="D278" s="5" t="n">
        <x:f>COUNT('均值原始浓度'!E278:DM278)</x:f>
        <x:v>10</x:v>
      </x:c>
      <x:c r="E278" s="6" t="str">
        <x:f>IF('均值原始浓度'!D278&gt;0,'均值原始浓度'!D278,"")</x:f>
      </x:c>
      <x:c r="F278" s="6" t="n">
        <x:f>IF(D278=0,"",AVERAGE('均值原始浓度'!E278:DM278))</x:f>
        <x:v>1069.903</x:v>
      </x:c>
      <x:c r="G278" s="6" t="str">
        <x:f>IF(AND(D278&gt;0,ISNUMBER(E278),E278&gt;0),F278/E278,"")</x:f>
      </x:c>
      <x:c r="H278" s="5" t="str">
        <x:f>IF(NOT(ISNUMBER(G278)),"待定",IF(G278&lt;1,"固定基底候选","参与浓度设计"))</x:f>
        <x:v>待定</x:v>
      </x:c>
      <x:c r="I278" s="5" t="str">
        <x:f>"否"</x:f>
        <x:v>否</x:v>
      </x:c>
    </x:row>
    <x:row r="279">
      <x:c r="A279" s="5" t="n">
        <x:f>'均值原始浓度'!A279</x:f>
        <x:v>274</x:v>
      </x:c>
      <x:c r="B279" s="5" t="str">
        <x:f>IF('均值原始浓度'!B279="","",'均值原始浓度'!B279)</x:f>
      </x:c>
      <x:c r="C279" s="5" t="str">
        <x:f>IF('均值原始浓度'!C279="","",'均值原始浓度'!C279)</x:f>
      </x:c>
      <x:c r="D279" s="5" t="n">
        <x:f>COUNT('均值原始浓度'!E279:DM279)</x:f>
        <x:v>0</x:v>
      </x:c>
      <x:c r="E279" s="6" t="n">
        <x:f>IF('均值原始浓度'!D279&gt;0,'均值原始浓度'!D279,"")</x:f>
        <x:v>2520</x:v>
      </x:c>
      <x:c r="F279" s="6" t="str">
        <x:f>IF(D279=0,"",AVERAGE('均值原始浓度'!E279:DM279))</x:f>
      </x:c>
      <x:c r="G279" s="6" t="str">
        <x:f>IF(AND(D279&gt;0,ISNUMBER(E279),E279&gt;0),F279/E279,"")</x:f>
      </x:c>
      <x:c r="H279" s="5" t="str">
        <x:f>IF(NOT(ISNUMBER(G279)),"待定",IF(G279&lt;1,"固定基底候选","参与浓度设计"))</x:f>
        <x:v>待定</x:v>
      </x:c>
      <x:c r="I279" s="5" t="str">
        <x:f>"否"</x:f>
        <x:v>否</x:v>
      </x:c>
    </x:row>
    <x:row r="280">
      <x:c r="A280" s="5" t="n">
        <x:f>'均值原始浓度'!A280</x:f>
        <x:v>275</x:v>
      </x:c>
      <x:c r="B280" s="5" t="str">
        <x:f>IF('均值原始浓度'!B280="","",'均值原始浓度'!B280)</x:f>
        <x:v>1-丁醇（mg·L-1）</x:v>
      </x:c>
      <x:c r="C280" s="5" t="str">
        <x:f>IF('均值原始浓度'!C280="","",'均值原始浓度'!C280)</x:f>
      </x:c>
      <x:c r="D280" s="5" t="n">
        <x:f>COUNT('均值原始浓度'!E280:DM280)</x:f>
        <x:v>2</x:v>
      </x:c>
      <x:c r="E280" s="6" t="n">
        <x:f>IF('均值原始浓度'!D280&gt;0,'均值原始浓度'!D280,"")</x:f>
        <x:v>2733</x:v>
      </x:c>
      <x:c r="F280" s="6" t="n">
        <x:f>IF(D280=0,"",AVERAGE('均值原始浓度'!E280:DM280))</x:f>
        <x:v>555.75</x:v>
      </x:c>
      <x:c r="G280" s="6" t="n">
        <x:f>IF(AND(D280&gt;0,ISNUMBER(E280),E280&gt;0),F280/E280,"")</x:f>
        <x:v>0.20334796926454446</x:v>
      </x:c>
      <x:c r="H280" s="5" t="str">
        <x:f>IF(NOT(ISNUMBER(G280)),"待定",IF(G280&lt;1,"固定基底候选","参与浓度设计"))</x:f>
        <x:v>固定基底候选</x:v>
      </x:c>
      <x:c r="I280" s="5" t="str">
        <x:f>"否"</x:f>
        <x:v>否</x:v>
      </x:c>
    </x:row>
    <x:row r="281">
      <x:c r="A281" s="5" t="n">
        <x:f>'均值原始浓度'!A281</x:f>
        <x:v>276</x:v>
      </x:c>
      <x:c r="B281" s="5" t="str">
        <x:f>IF('均值原始浓度'!B281="","",'均值原始浓度'!B281)</x:f>
        <x:v>1-己醇（mg·L-1）</x:v>
      </x:c>
      <x:c r="C281" s="5" t="str">
        <x:f>IF('均值原始浓度'!C281="","",'均值原始浓度'!C281)</x:f>
      </x:c>
      <x:c r="D281" s="5" t="n">
        <x:f>COUNT('均值原始浓度'!E281:DM281)</x:f>
        <x:v>2</x:v>
      </x:c>
      <x:c r="E281" s="6" t="n">
        <x:f>IF('均值原始浓度'!D281&gt;0,'均值原始浓度'!D281,"")</x:f>
        <x:v>5370</x:v>
      </x:c>
      <x:c r="F281" s="6" t="n">
        <x:f>IF(D281=0,"",AVERAGE('均值原始浓度'!E281:DM281))</x:f>
        <x:v>82.44</x:v>
      </x:c>
      <x:c r="G281" s="6" t="n">
        <x:f>IF(AND(D281&gt;0,ISNUMBER(E281),E281&gt;0),F281/E281,"")</x:f>
        <x:v>0.01535195530726257</x:v>
      </x:c>
      <x:c r="H281" s="5" t="str">
        <x:f>IF(NOT(ISNUMBER(G281)),"待定",IF(G281&lt;1,"固定基底候选","参与浓度设计"))</x:f>
        <x:v>固定基底候选</x:v>
      </x:c>
      <x:c r="I281" s="5" t="str">
        <x:f>"否"</x:f>
        <x:v>否</x:v>
      </x:c>
    </x:row>
    <x:row r="282">
      <x:c r="A282" s="5" t="n">
        <x:f>'均值原始浓度'!A282</x:f>
        <x:v>277</x:v>
      </x:c>
      <x:c r="B282" s="5" t="str">
        <x:f>IF('均值原始浓度'!B282="","",'均值原始浓度'!B282)</x:f>
        <x:v>1-辛醇（mg·L-1）</x:v>
      </x:c>
      <x:c r="C282" s="5" t="str">
        <x:f>IF('均值原始浓度'!C282="","",'均值原始浓度'!C282)</x:f>
      </x:c>
      <x:c r="D282" s="5" t="n">
        <x:f>COUNT('均值原始浓度'!E282:DM282)</x:f>
        <x:v>4</x:v>
      </x:c>
      <x:c r="E282" s="6" t="n">
        <x:f>IF('均值原始浓度'!D282&gt;0,'均值原始浓度'!D282,"")</x:f>
        <x:v>1100</x:v>
      </x:c>
      <x:c r="F282" s="6" t="n">
        <x:f>IF(D282=0,"",AVERAGE('均值原始浓度'!E282:DM282))</x:f>
        <x:v>8.575</x:v>
      </x:c>
      <x:c r="G282" s="6" t="n">
        <x:f>IF(AND(D282&gt;0,ISNUMBER(E282),E282&gt;0),F282/E282,"")</x:f>
        <x:v>0.007795454545454545</x:v>
      </x:c>
      <x:c r="H282" s="5" t="str">
        <x:f>IF(NOT(ISNUMBER(G282)),"待定",IF(G282&lt;1,"固定基底候选","参与浓度设计"))</x:f>
        <x:v>固定基底候选</x:v>
      </x:c>
      <x:c r="I282" s="5" t="str">
        <x:f>"否"</x:f>
        <x:v>否</x:v>
      </x:c>
    </x:row>
    <x:row r="283">
      <x:c r="A283" s="5" t="n">
        <x:f>'均值原始浓度'!A283</x:f>
        <x:v>278</x:v>
      </x:c>
      <x:c r="B283" s="5" t="str">
        <x:f>IF('均值原始浓度'!B283="","",'均值原始浓度'!B283)</x:f>
        <x:v>1-（1-乙氧基乙氧基）-丁烷</x:v>
      </x:c>
      <x:c r="C283" s="5" t="str">
        <x:f>IF('均值原始浓度'!C283="","",'均值原始浓度'!C283)</x:f>
      </x:c>
      <x:c r="D283" s="5" t="n">
        <x:f>COUNT('均值原始浓度'!E283:DM283)</x:f>
        <x:v>4</x:v>
      </x:c>
      <x:c r="E283" s="6" t="str">
        <x:f>IF('均值原始浓度'!D283&gt;0,'均值原始浓度'!D283,"")</x:f>
      </x:c>
      <x:c r="F283" s="6" t="n">
        <x:f>IF(D283=0,"",AVERAGE('均值原始浓度'!E283:DM283))</x:f>
        <x:v>1.6800000000000002</x:v>
      </x:c>
      <x:c r="G283" s="6" t="str">
        <x:f>IF(AND(D283&gt;0,ISNUMBER(E283),E283&gt;0),F283/E283,"")</x:f>
      </x:c>
      <x:c r="H283" s="5" t="str">
        <x:f>IF(NOT(ISNUMBER(G283)),"待定",IF(G283&lt;1,"固定基底候选","参与浓度设计"))</x:f>
        <x:v>待定</x:v>
      </x:c>
      <x:c r="I283" s="5" t="str">
        <x:f>"否"</x:f>
        <x:v>否</x:v>
      </x:c>
    </x:row>
    <x:row r="284">
      <x:c r="A284" s="5" t="n">
        <x:f>'均值原始浓度'!A284</x:f>
        <x:v>279</x:v>
      </x:c>
      <x:c r="B284" s="5" t="str">
        <x:f>IF('均值原始浓度'!B284="","",'均值原始浓度'!B284)</x:f>
        <x:v>1.2- 丙二醇</x:v>
      </x:c>
      <x:c r="C284" s="5" t="str">
        <x:f>IF('均值原始浓度'!C284="","",'均值原始浓度'!C284)</x:f>
      </x:c>
      <x:c r="D284" s="5" t="n">
        <x:f>COUNT('均值原始浓度'!E284:DM284)</x:f>
        <x:v>3</x:v>
      </x:c>
      <x:c r="E284" s="6" t="str">
        <x:f>IF('均值原始浓度'!D284&gt;0,'均值原始浓度'!D284,"")</x:f>
      </x:c>
      <x:c r="F284" s="6" t="n">
        <x:f>IF(D284=0,"",AVERAGE('均值原始浓度'!E284:DM284))</x:f>
        <x:v>1780</x:v>
      </x:c>
      <x:c r="G284" s="6" t="str">
        <x:f>IF(AND(D284&gt;0,ISNUMBER(E284),E284&gt;0),F284/E284,"")</x:f>
      </x:c>
      <x:c r="H284" s="5" t="str">
        <x:f>IF(NOT(ISNUMBER(G284)),"待定",IF(G284&lt;1,"固定基底候选","参与浓度设计"))</x:f>
        <x:v>待定</x:v>
      </x:c>
      <x:c r="I284" s="5" t="str">
        <x:f>"否"</x:f>
        <x:v>否</x:v>
      </x:c>
    </x:row>
    <x:row r="285">
      <x:c r="A285" s="5" t="n">
        <x:f>'均值原始浓度'!A285</x:f>
        <x:v>280</x:v>
      </x:c>
      <x:c r="B285" s="5" t="str">
        <x:f>IF('均值原始浓度'!B285="","",'均值原始浓度'!B285)</x:f>
      </x:c>
      <x:c r="C285" s="5" t="str">
        <x:f>IF('均值原始浓度'!C285="","",'均值原始浓度'!C285)</x:f>
      </x:c>
      <x:c r="D285" s="5" t="n">
        <x:f>COUNT('均值原始浓度'!E285:DM285)</x:f>
        <x:v>1</x:v>
      </x:c>
      <x:c r="E285" s="6" t="str">
        <x:f>IF('均值原始浓度'!D285&gt;0,'均值原始浓度'!D285,"")</x:f>
      </x:c>
      <x:c r="F285" s="6" t="n">
        <x:f>IF(D285=0,"",AVERAGE('均值原始浓度'!E285:DM285))</x:f>
        <x:v>393</x:v>
      </x:c>
      <x:c r="G285" s="6" t="str">
        <x:f>IF(AND(D285&gt;0,ISNUMBER(E285),E285&gt;0),F285/E285,"")</x:f>
      </x:c>
      <x:c r="H285" s="5" t="str">
        <x:f>IF(NOT(ISNUMBER(G285)),"待定",IF(G285&lt;1,"固定基底候选","参与浓度设计"))</x:f>
        <x:v>待定</x:v>
      </x:c>
      <x:c r="I285" s="5" t="str">
        <x:f>"否"</x:f>
        <x:v>否</x:v>
      </x:c>
    </x:row>
    <x:row r="286">
      <x:c r="A286" s="5" t="n">
        <x:f>'均值原始浓度'!A286</x:f>
        <x:v>281</x:v>
      </x:c>
      <x:c r="B286" s="5" t="str">
        <x:f>IF('均值原始浓度'!B286="","",'均值原始浓度'!B286)</x:f>
        <x:v>1，1-二乙氧基-2-甲基丁烷</x:v>
      </x:c>
      <x:c r="C286" s="5" t="str">
        <x:f>IF('均值原始浓度'!C286="","",'均值原始浓度'!C286)</x:f>
      </x:c>
      <x:c r="D286" s="5" t="n">
        <x:f>COUNT('均值原始浓度'!E286:DM286)</x:f>
        <x:v>4</x:v>
      </x:c>
      <x:c r="E286" s="6" t="str">
        <x:f>IF('均值原始浓度'!D286&gt;0,'均值原始浓度'!D286,"")</x:f>
      </x:c>
      <x:c r="F286" s="6" t="n">
        <x:f>IF(D286=0,"",AVERAGE('均值原始浓度'!E286:DM286))</x:f>
        <x:v>10.64</x:v>
      </x:c>
      <x:c r="G286" s="6" t="str">
        <x:f>IF(AND(D286&gt;0,ISNUMBER(E286),E286&gt;0),F286/E286,"")</x:f>
      </x:c>
      <x:c r="H286" s="5" t="str">
        <x:f>IF(NOT(ISNUMBER(G286)),"待定",IF(G286&lt;1,"固定基底候选","参与浓度设计"))</x:f>
        <x:v>待定</x:v>
      </x:c>
      <x:c r="I286" s="5" t="str">
        <x:f>"否"</x:f>
        <x:v>否</x:v>
      </x:c>
    </x:row>
    <x:row r="287">
      <x:c r="A287" s="5" t="n">
        <x:f>'均值原始浓度'!A287</x:f>
        <x:v>282</x:v>
      </x:c>
      <x:c r="B287" s="5" t="str">
        <x:f>IF('均值原始浓度'!B287="","",'均值原始浓度'!B287)</x:f>
        <x:v>1，1-二乙氧基-3-甲基丁烷</x:v>
      </x:c>
      <x:c r="C287" s="5" t="str">
        <x:f>IF('均值原始浓度'!C287="","",'均值原始浓度'!C287)</x:f>
      </x:c>
      <x:c r="D287" s="5" t="n">
        <x:f>COUNT('均值原始浓度'!E287:DM287)</x:f>
        <x:v>4</x:v>
      </x:c>
      <x:c r="E287" s="6" t="str">
        <x:f>IF('均值原始浓度'!D287&gt;0,'均值原始浓度'!D287,"")</x:f>
      </x:c>
      <x:c r="F287" s="6" t="n">
        <x:f>IF(D287=0,"",AVERAGE('均值原始浓度'!E287:DM287))</x:f>
        <x:v>34.5875</x:v>
      </x:c>
      <x:c r="G287" s="6" t="str">
        <x:f>IF(AND(D287&gt;0,ISNUMBER(E287),E287&gt;0),F287/E287,"")</x:f>
      </x:c>
      <x:c r="H287" s="5" t="str">
        <x:f>IF(NOT(ISNUMBER(G287)),"待定",IF(G287&lt;1,"固定基底候选","参与浓度设计"))</x:f>
        <x:v>待定</x:v>
      </x:c>
      <x:c r="I287" s="5" t="str">
        <x:f>"否"</x:f>
        <x:v>否</x:v>
      </x:c>
    </x:row>
    <x:row r="288">
      <x:c r="A288" s="5" t="n">
        <x:f>'均值原始浓度'!A288</x:f>
        <x:v>283</x:v>
      </x:c>
      <x:c r="B288" s="5" t="str">
        <x:f>IF('均值原始浓度'!B288="","",'均值原始浓度'!B288)</x:f>
        <x:v>1，1-二乙氧基乙烷</x:v>
      </x:c>
      <x:c r="C288" s="5" t="str">
        <x:f>IF('均值原始浓度'!C288="","",'均值原始浓度'!C288)</x:f>
      </x:c>
      <x:c r="D288" s="5" t="n">
        <x:f>COUNT('均值原始浓度'!E288:DM288)</x:f>
        <x:v>4</x:v>
      </x:c>
      <x:c r="E288" s="6" t="str">
        <x:f>IF('均值原始浓度'!D288&gt;0,'均值原始浓度'!D288,"")</x:f>
      </x:c>
      <x:c r="F288" s="6" t="n">
        <x:f>IF(D288=0,"",AVERAGE('均值原始浓度'!E288:DM288))</x:f>
        <x:v>267.39</x:v>
      </x:c>
      <x:c r="G288" s="6" t="str">
        <x:f>IF(AND(D288&gt;0,ISNUMBER(E288),E288&gt;0),F288/E288,"")</x:f>
      </x:c>
      <x:c r="H288" s="5" t="str">
        <x:f>IF(NOT(ISNUMBER(G288)),"待定",IF(G288&lt;1,"固定基底候选","参与浓度设计"))</x:f>
        <x:v>待定</x:v>
      </x:c>
      <x:c r="I288" s="5" t="str">
        <x:f>"否"</x:f>
        <x:v>否</x:v>
      </x:c>
    </x:row>
    <x:row r="289">
      <x:c r="A289" s="5" t="n">
        <x:f>'均值原始浓度'!A289</x:f>
        <x:v>284</x:v>
      </x:c>
      <x:c r="B289" s="5" t="str">
        <x:f>IF('均值原始浓度'!B289="","",'均值原始浓度'!B289)</x:f>
        <x:v>1，1，3-三乙氧基丙烷</x:v>
      </x:c>
      <x:c r="C289" s="5" t="str">
        <x:f>IF('均值原始浓度'!C289="","",'均值原始浓度'!C289)</x:f>
      </x:c>
      <x:c r="D289" s="5" t="n">
        <x:f>COUNT('均值原始浓度'!E289:DM289)</x:f>
        <x:v>4</x:v>
      </x:c>
      <x:c r="E289" s="6" t="str">
        <x:f>IF('均值原始浓度'!D289&gt;0,'均值原始浓度'!D289,"")</x:f>
      </x:c>
      <x:c r="F289" s="6" t="n">
        <x:f>IF(D289=0,"",AVERAGE('均值原始浓度'!E289:DM289))</x:f>
        <x:v>1.9474999999999998</x:v>
      </x:c>
      <x:c r="G289" s="6" t="str">
        <x:f>IF(AND(D289&gt;0,ISNUMBER(E289),E289&gt;0),F289/E289,"")</x:f>
      </x:c>
      <x:c r="H289" s="5" t="str">
        <x:f>IF(NOT(ISNUMBER(G289)),"待定",IF(G289&lt;1,"固定基底候选","参与浓度设计"))</x:f>
        <x:v>待定</x:v>
      </x:c>
      <x:c r="I289" s="5" t="str">
        <x:f>"否"</x:f>
        <x:v>否</x:v>
      </x:c>
    </x:row>
    <x:row r="290">
      <x:c r="A290" s="5" t="n">
        <x:f>'均值原始浓度'!A290</x:f>
        <x:v>285</x:v>
      </x:c>
      <x:c r="B290" s="5" t="str">
        <x:f>IF('均值原始浓度'!B290="","",'均值原始浓度'!B290)</x:f>
        <x:v>1，2－丙二醇</x:v>
      </x:c>
      <x:c r="C290" s="5" t="str">
        <x:f>IF('均值原始浓度'!C290="","",'均值原始浓度'!C290)</x:f>
      </x:c>
      <x:c r="D290" s="5" t="n">
        <x:f>COUNT('均值原始浓度'!E290:DM290)</x:f>
        <x:v>9</x:v>
      </x:c>
      <x:c r="E290" s="6" t="str">
        <x:f>IF('均值原始浓度'!D290&gt;0,'均值原始浓度'!D290,"")</x:f>
      </x:c>
      <x:c r="F290" s="6" t="n">
        <x:f>IF(D290=0,"",AVERAGE('均值原始浓度'!E290:DM290))</x:f>
        <x:v>16633.333333333332</x:v>
      </x:c>
      <x:c r="G290" s="6" t="str">
        <x:f>IF(AND(D290&gt;0,ISNUMBER(E290),E290&gt;0),F290/E290,"")</x:f>
      </x:c>
      <x:c r="H290" s="5" t="str">
        <x:f>IF(NOT(ISNUMBER(G290)),"待定",IF(G290&lt;1,"固定基底候选","参与浓度设计"))</x:f>
        <x:v>待定</x:v>
      </x:c>
      <x:c r="I290" s="5" t="str">
        <x:f>"否"</x:f>
        <x:v>否</x:v>
      </x:c>
    </x:row>
    <x:row r="291">
      <x:c r="A291" s="5" t="n">
        <x:f>'均值原始浓度'!A291</x:f>
        <x:v>286</x:v>
      </x:c>
      <x:c r="B291" s="5" t="str">
        <x:f>IF('均值原始浓度'!B291="","",'均值原始浓度'!B291)</x:f>
      </x:c>
      <x:c r="C291" s="5" t="str">
        <x:f>IF('均值原始浓度'!C291="","",'均值原始浓度'!C291)</x:f>
      </x:c>
      <x:c r="D291" s="5" t="n">
        <x:f>COUNT('均值原始浓度'!E291:DM291)</x:f>
        <x:v>2</x:v>
      </x:c>
      <x:c r="E291" s="6" t="str">
        <x:f>IF('均值原始浓度'!D291&gt;0,'均值原始浓度'!D291,"")</x:f>
      </x:c>
      <x:c r="F291" s="6" t="n">
        <x:f>IF(D291=0,"",AVERAGE('均值原始浓度'!E291:DM291))</x:f>
        <x:v>1030.5</x:v>
      </x:c>
      <x:c r="G291" s="6" t="str">
        <x:f>IF(AND(D291&gt;0,ISNUMBER(E291),E291&gt;0),F291/E291,"")</x:f>
      </x:c>
      <x:c r="H291" s="5" t="str">
        <x:f>IF(NOT(ISNUMBER(G291)),"待定",IF(G291&lt;1,"固定基底候选","参与浓度设计"))</x:f>
        <x:v>待定</x:v>
      </x:c>
      <x:c r="I291" s="5" t="str">
        <x:f>"否"</x:f>
        <x:v>否</x:v>
      </x:c>
    </x:row>
    <x:row r="292">
      <x:c r="A292" s="5" t="n">
        <x:f>'均值原始浓度'!A292</x:f>
        <x:v>287</x:v>
      </x:c>
      <x:c r="B292" s="5" t="str">
        <x:f>IF('均值原始浓度'!B292="","",'均值原始浓度'!B292)</x:f>
      </x:c>
      <x:c r="C292" s="5" t="str">
        <x:f>IF('均值原始浓度'!C292="","",'均值原始浓度'!C292)</x:f>
      </x:c>
      <x:c r="D292" s="5" t="n">
        <x:f>COUNT('均值原始浓度'!E292:DM292)</x:f>
        <x:v>0</x:v>
      </x:c>
      <x:c r="E292" s="6" t="str">
        <x:f>IF('均值原始浓度'!D292&gt;0,'均值原始浓度'!D292,"")</x:f>
      </x:c>
      <x:c r="F292" s="6" t="str">
        <x:f>IF(D292=0,"",AVERAGE('均值原始浓度'!E292:DM292))</x:f>
      </x:c>
      <x:c r="G292" s="6" t="str">
        <x:f>IF(AND(D292&gt;0,ISNUMBER(E292),E292&gt;0),F292/E292,"")</x:f>
      </x:c>
      <x:c r="H292" s="5" t="str">
        <x:f>IF(NOT(ISNUMBER(G292)),"待定",IF(G292&lt;1,"固定基底候选","参与浓度设计"))</x:f>
        <x:v>待定</x:v>
      </x:c>
      <x:c r="I292" s="5" t="str">
        <x:f>"否"</x:f>
        <x:v>否</x:v>
      </x:c>
    </x:row>
    <x:row r="293">
      <x:c r="A293" s="5" t="n">
        <x:f>'均值原始浓度'!A293</x:f>
        <x:v>288</x:v>
      </x:c>
      <x:c r="B293" s="5" t="str">
        <x:f>IF('均值原始浓度'!B293="","",'均值原始浓度'!B293)</x:f>
      </x:c>
      <x:c r="C293" s="5" t="str">
        <x:f>IF('均值原始浓度'!C293="","",'均值原始浓度'!C293)</x:f>
      </x:c>
      <x:c r="D293" s="5" t="n">
        <x:f>COUNT('均值原始浓度'!E293:DM293)</x:f>
        <x:v>0</x:v>
      </x:c>
      <x:c r="E293" s="6" t="str">
        <x:f>IF('均值原始浓度'!D293&gt;0,'均值原始浓度'!D293,"")</x:f>
      </x:c>
      <x:c r="F293" s="6" t="str">
        <x:f>IF(D293=0,"",AVERAGE('均值原始浓度'!E293:DM293))</x:f>
      </x:c>
      <x:c r="G293" s="6" t="str">
        <x:f>IF(AND(D293&gt;0,ISNUMBER(E293),E293&gt;0),F293/E293,"")</x:f>
      </x:c>
      <x:c r="H293" s="5" t="str">
        <x:f>IF(NOT(ISNUMBER(G293)),"待定",IF(G293&lt;1,"固定基底候选","参与浓度设计"))</x:f>
        <x:v>待定</x:v>
      </x:c>
      <x:c r="I293" s="5" t="str">
        <x:f>"否"</x:f>
        <x:v>否</x:v>
      </x:c>
    </x:row>
    <x:row r="294">
      <x:c r="A294" s="5" t="n">
        <x:f>'均值原始浓度'!A294</x:f>
        <x:v>289</x:v>
      </x:c>
      <x:c r="B294" s="5" t="str">
        <x:f>IF('均值原始浓度'!B294="","",'均值原始浓度'!B294)</x:f>
      </x:c>
      <x:c r="C294" s="5" t="str">
        <x:f>IF('均值原始浓度'!C294="","",'均值原始浓度'!C294)</x:f>
      </x:c>
      <x:c r="D294" s="5" t="n">
        <x:f>COUNT('均值原始浓度'!E294:DM294)</x:f>
        <x:v>0</x:v>
      </x:c>
      <x:c r="E294" s="6" t="str">
        <x:f>IF('均值原始浓度'!D294&gt;0,'均值原始浓度'!D294,"")</x:f>
      </x:c>
      <x:c r="F294" s="6" t="str">
        <x:f>IF(D294=0,"",AVERAGE('均值原始浓度'!E294:DM294))</x:f>
      </x:c>
      <x:c r="G294" s="6" t="str">
        <x:f>IF(AND(D294&gt;0,ISNUMBER(E294),E294&gt;0),F294/E294,"")</x:f>
      </x:c>
      <x:c r="H294" s="5" t="str">
        <x:f>IF(NOT(ISNUMBER(G294)),"待定",IF(G294&lt;1,"固定基底候选","参与浓度设计"))</x:f>
        <x:v>待定</x:v>
      </x:c>
      <x:c r="I294" s="5" t="str">
        <x:f>"否"</x:f>
        <x:v>否</x:v>
      </x:c>
    </x:row>
    <x:row r="295">
      <x:c r="A295" s="5" t="n">
        <x:f>'均值原始浓度'!A295</x:f>
        <x:v>290</x:v>
      </x:c>
      <x:c r="B295" s="5" t="str">
        <x:f>IF('均值原始浓度'!B295="","",'均值原始浓度'!B295)</x:f>
        <x:v>2-壬酮2-nonanone</x:v>
      </x:c>
      <x:c r="C295" s="5" t="str">
        <x:f>IF('均值原始浓度'!C295="","",'均值原始浓度'!C295)</x:f>
      </x:c>
      <x:c r="D295" s="5" t="n">
        <x:f>COUNT('均值原始浓度'!E295:DM295)</x:f>
        <x:v>0</x:v>
      </x:c>
      <x:c r="E295" s="6" t="n">
        <x:f>IF('均值原始浓度'!D295&gt;0,'均值原始浓度'!D295,"")</x:f>
        <x:v>393</x:v>
      </x:c>
      <x:c r="F295" s="6" t="str">
        <x:f>IF(D295=0,"",AVERAGE('均值原始浓度'!E295:DM295))</x:f>
      </x:c>
      <x:c r="G295" s="6" t="str">
        <x:f>IF(AND(D295&gt;0,ISNUMBER(E295),E295&gt;0),F295/E295,"")</x:f>
      </x:c>
      <x:c r="H295" s="5" t="str">
        <x:f>IF(NOT(ISNUMBER(G295)),"待定",IF(G295&lt;1,"固定基底候选","参与浓度设计"))</x:f>
        <x:v>待定</x:v>
      </x:c>
      <x:c r="I295" s="5" t="str">
        <x:f>"否"</x:f>
        <x:v>否</x:v>
      </x:c>
    </x:row>
    <x:row r="296">
      <x:c r="A296" s="5" t="n">
        <x:f>'均值原始浓度'!A296</x:f>
        <x:v>291</x:v>
      </x:c>
      <x:c r="B296" s="5" t="str">
        <x:f>IF('均值原始浓度'!B296="","",'均值原始浓度'!B296)</x:f>
        <x:v>2-庚醇2-heptanol</x:v>
      </x:c>
      <x:c r="C296" s="5" t="str">
        <x:f>IF('均值原始浓度'!C296="","",'均值原始浓度'!C296)</x:f>
      </x:c>
      <x:c r="D296" s="5" t="n">
        <x:f>COUNT('均值原始浓度'!E296:DM296)</x:f>
        <x:v>0</x:v>
      </x:c>
      <x:c r="E296" s="6" t="n">
        <x:f>IF('均值原始浓度'!D296&gt;0,'均值原始浓度'!D296,"")</x:f>
        <x:v>1431</x:v>
      </x:c>
      <x:c r="F296" s="6" t="str">
        <x:f>IF(D296=0,"",AVERAGE('均值原始浓度'!E296:DM296))</x:f>
      </x:c>
      <x:c r="G296" s="6" t="str">
        <x:f>IF(AND(D296&gt;0,ISNUMBER(E296),E296&gt;0),F296/E296,"")</x:f>
      </x:c>
      <x:c r="H296" s="5" t="str">
        <x:f>IF(NOT(ISNUMBER(G296)),"待定",IF(G296&lt;1,"固定基底候选","参与浓度设计"))</x:f>
        <x:v>待定</x:v>
      </x:c>
      <x:c r="I296" s="5" t="str">
        <x:f>"否"</x:f>
        <x:v>否</x:v>
      </x:c>
    </x:row>
    <x:row r="297">
      <x:c r="A297" s="5" t="n">
        <x:f>'均值原始浓度'!A297</x:f>
        <x:v>292</x:v>
      </x:c>
      <x:c r="B297" s="5" t="str">
        <x:f>IF('均值原始浓度'!B297="","",'均值原始浓度'!B297)</x:f>
        <x:v>2-癸醛decanal</x:v>
      </x:c>
      <x:c r="C297" s="5" t="str">
        <x:f>IF('均值原始浓度'!C297="","",'均值原始浓度'!C297)</x:f>
      </x:c>
      <x:c r="D297" s="5" t="n">
        <x:f>COUNT('均值原始浓度'!E297:DM297)</x:f>
        <x:v>0</x:v>
      </x:c>
      <x:c r="E297" s="6" t="str">
        <x:f>IF('均值原始浓度'!D297&gt;0,'均值原始浓度'!D297,"")</x:f>
      </x:c>
      <x:c r="F297" s="6" t="str">
        <x:f>IF(D297=0,"",AVERAGE('均值原始浓度'!E297:DM297))</x:f>
      </x:c>
      <x:c r="G297" s="6" t="str">
        <x:f>IF(AND(D297&gt;0,ISNUMBER(E297),E297&gt;0),F297/E297,"")</x:f>
      </x:c>
      <x:c r="H297" s="5" t="str">
        <x:f>IF(NOT(ISNUMBER(G297)),"待定",IF(G297&lt;1,"固定基底候选","参与浓度设计"))</x:f>
        <x:v>待定</x:v>
      </x:c>
      <x:c r="I297" s="5" t="str">
        <x:f>"否"</x:f>
        <x:v>否</x:v>
      </x:c>
    </x:row>
    <x:row r="298">
      <x:c r="A298" s="5" t="n">
        <x:f>'均值原始浓度'!A298</x:f>
        <x:v>293</x:v>
      </x:c>
      <x:c r="B298" s="5" t="str">
        <x:f>IF('均值原始浓度'!B298="","",'均值原始浓度'!B298)</x:f>
        <x:v>2-苯乙酸乙酯ethyl 2-phenylacetate</x:v>
      </x:c>
      <x:c r="C298" s="5" t="str">
        <x:f>IF('均值原始浓度'!C298="","",'均值原始浓度'!C298)</x:f>
      </x:c>
      <x:c r="D298" s="5" t="n">
        <x:f>COUNT('均值原始浓度'!E298:DM298)</x:f>
        <x:v>0</x:v>
      </x:c>
      <x:c r="E298" s="6" t="n">
        <x:f>IF('均值原始浓度'!D298&gt;0,'均值原始浓度'!D298,"")</x:f>
        <x:v>407</x:v>
      </x:c>
      <x:c r="F298" s="6" t="str">
        <x:f>IF(D298=0,"",AVERAGE('均值原始浓度'!E298:DM298))</x:f>
      </x:c>
      <x:c r="G298" s="6" t="str">
        <x:f>IF(AND(D298&gt;0,ISNUMBER(E298),E298&gt;0),F298/E298,"")</x:f>
      </x:c>
      <x:c r="H298" s="5" t="str">
        <x:f>IF(NOT(ISNUMBER(G298)),"待定",IF(G298&lt;1,"固定基底候选","参与浓度设计"))</x:f>
        <x:v>待定</x:v>
      </x:c>
      <x:c r="I298" s="5" t="str">
        <x:f>"否"</x:f>
        <x:v>否</x:v>
      </x:c>
    </x:row>
    <x:row r="299">
      <x:c r="A299" s="5" t="n">
        <x:f>'均值原始浓度'!A299</x:f>
        <x:v>294</x:v>
      </x:c>
      <x:c r="B299" s="5" t="str">
        <x:f>IF('均值原始浓度'!B299="","",'均值原始浓度'!B299)</x:f>
        <x:v>2-苯乙酸乙酯（mg·L-1）</x:v>
      </x:c>
      <x:c r="C299" s="5" t="str">
        <x:f>IF('均值原始浓度'!C299="","",'均值原始浓度'!C299)</x:f>
      </x:c>
      <x:c r="D299" s="5" t="n">
        <x:f>COUNT('均值原始浓度'!E299:DM299)</x:f>
        <x:v>4</x:v>
      </x:c>
      <x:c r="E299" s="6" t="n">
        <x:f>IF('均值原始浓度'!D299&gt;0,'均值原始浓度'!D299,"")</x:f>
        <x:v>407</x:v>
      </x:c>
      <x:c r="F299" s="6" t="n">
        <x:f>IF(D299=0,"",AVERAGE('均值原始浓度'!E299:DM299))</x:f>
        <x:v>12.665</x:v>
      </x:c>
      <x:c r="G299" s="6" t="n">
        <x:f>IF(AND(D299&gt;0,ISNUMBER(E299),E299&gt;0),F299/E299,"")</x:f>
        <x:v>0.031117936117936115</x:v>
      </x:c>
      <x:c r="H299" s="5" t="str">
        <x:f>IF(NOT(ISNUMBER(G299)),"待定",IF(G299&lt;1,"固定基底候选","参与浓度设计"))</x:f>
        <x:v>固定基底候选</x:v>
      </x:c>
      <x:c r="I299" s="5" t="str">
        <x:f>"否"</x:f>
        <x:v>否</x:v>
      </x:c>
    </x:row>
    <x:row r="300">
      <x:c r="A300" s="5" t="n">
        <x:f>'均值原始浓度'!A300</x:f>
        <x:v>295</x:v>
      </x:c>
      <x:c r="B300" s="5" t="str">
        <x:f>IF('均值原始浓度'!B300="","",'均值原始浓度'!B300)</x:f>
        <x:v>2-辛酮2-octanone</x:v>
      </x:c>
      <x:c r="C300" s="5" t="str">
        <x:f>IF('均值原始浓度'!C300="","",'均值原始浓度'!C300)</x:f>
      </x:c>
      <x:c r="D300" s="5" t="n">
        <x:f>COUNT('均值原始浓度'!E300:DM300)</x:f>
        <x:v>0</x:v>
      </x:c>
      <x:c r="E300" s="6" t="n">
        <x:f>IF('均值原始浓度'!D300&gt;0,'均值原始浓度'!D300,"")</x:f>
        <x:v>250</x:v>
      </x:c>
      <x:c r="F300" s="6" t="str">
        <x:f>IF(D300=0,"",AVERAGE('均值原始浓度'!E300:DM300))</x:f>
      </x:c>
      <x:c r="G300" s="6" t="str">
        <x:f>IF(AND(D300&gt;0,ISNUMBER(E300),E300&gt;0),F300/E300,"")</x:f>
      </x:c>
      <x:c r="H300" s="5" t="str">
        <x:f>IF(NOT(ISNUMBER(G300)),"待定",IF(G300&lt;1,"固定基底候选","参与浓度设计"))</x:f>
        <x:v>待定</x:v>
      </x:c>
      <x:c r="I300" s="5" t="str">
        <x:f>"否"</x:f>
        <x:v>否</x:v>
      </x:c>
    </x:row>
    <x:row r="301">
      <x:c r="A301" s="5" t="n">
        <x:f>'均值原始浓度'!A301</x:f>
        <x:v>296</x:v>
      </x:c>
      <x:c r="B301" s="5" t="str">
        <x:f>IF('均值原始浓度'!B301="","",'均值原始浓度'!B301)</x:f>
        <x:v>2.3- 丁二醇</x:v>
      </x:c>
      <x:c r="C301" s="5" t="str">
        <x:f>IF('均值原始浓度'!C301="","",'均值原始浓度'!C301)</x:f>
      </x:c>
      <x:c r="D301" s="5" t="n">
        <x:f>COUNT('均值原始浓度'!E301:DM301)</x:f>
        <x:v>3</x:v>
      </x:c>
      <x:c r="E301" s="6" t="str">
        <x:f>IF('均值原始浓度'!D301&gt;0,'均值原始浓度'!D301,"")</x:f>
      </x:c>
      <x:c r="F301" s="6" t="n">
        <x:f>IF(D301=0,"",AVERAGE('均值原始浓度'!E301:DM301))</x:f>
        <x:v>743.3333333333334</x:v>
      </x:c>
      <x:c r="G301" s="6" t="str">
        <x:f>IF(AND(D301&gt;0,ISNUMBER(E301),E301&gt;0),F301/E301,"")</x:f>
      </x:c>
      <x:c r="H301" s="5" t="str">
        <x:f>IF(NOT(ISNUMBER(G301)),"待定",IF(G301&lt;1,"固定基底候选","参与浓度设计"))</x:f>
        <x:v>待定</x:v>
      </x:c>
      <x:c r="I301" s="5" t="str">
        <x:f>"否"</x:f>
        <x:v>否</x:v>
      </x:c>
    </x:row>
    <x:row r="302">
      <x:c r="A302" s="5" t="n">
        <x:f>'均值原始浓度'!A302</x:f>
        <x:v>297</x:v>
      </x:c>
      <x:c r="B302" s="5" t="str">
        <x:f>IF('均值原始浓度'!B302="","",'均值原始浓度'!B302)</x:f>
        <x:v>2，3－丁二醇</x:v>
      </x:c>
      <x:c r="C302" s="5" t="str">
        <x:f>IF('均值原始浓度'!C302="","",'均值原始浓度'!C302)</x:f>
      </x:c>
      <x:c r="D302" s="5" t="n">
        <x:f>COUNT('均值原始浓度'!E302:DM302)</x:f>
        <x:v>9</x:v>
      </x:c>
      <x:c r="E302" s="6" t="str">
        <x:f>IF('均值原始浓度'!D302&gt;0,'均值原始浓度'!D302,"")</x:f>
      </x:c>
      <x:c r="F302" s="6" t="n">
        <x:f>IF(D302=0,"",AVERAGE('均值原始浓度'!E302:DM302))</x:f>
        <x:v>5722.222222222223</x:v>
      </x:c>
      <x:c r="G302" s="6" t="str">
        <x:f>IF(AND(D302&gt;0,ISNUMBER(E302),E302&gt;0),F302/E302,"")</x:f>
      </x:c>
      <x:c r="H302" s="5" t="str">
        <x:f>IF(NOT(ISNUMBER(G302)),"待定",IF(G302&lt;1,"固定基底候选","参与浓度设计"))</x:f>
        <x:v>待定</x:v>
      </x:c>
      <x:c r="I302" s="5" t="str">
        <x:f>"否"</x:f>
        <x:v>否</x:v>
      </x:c>
    </x:row>
    <x:row r="303">
      <x:c r="A303" s="5" t="n">
        <x:f>'均值原始浓度'!A303</x:f>
        <x:v>298</x:v>
      </x:c>
      <x:c r="B303" s="5" t="str">
        <x:f>IF('均值原始浓度'!B303="","",'均值原始浓度'!B303)</x:f>
        <x:v>2－丁醇</x:v>
      </x:c>
      <x:c r="C303" s="5" t="str">
        <x:f>IF('均值原始浓度'!C303="","",'均值原始浓度'!C303)</x:f>
      </x:c>
      <x:c r="D303" s="5" t="n">
        <x:f>COUNT('均值原始浓度'!E303:DM303)</x:f>
        <x:v>9</x:v>
      </x:c>
      <x:c r="E303" s="6" t="n">
        <x:f>IF('均值原始浓度'!D303&gt;0,'均值原始浓度'!D303,"")</x:f>
        <x:v>50000</x:v>
      </x:c>
      <x:c r="F303" s="6" t="n">
        <x:f>IF(D303=0,"",AVERAGE('均值原始浓度'!E303:DM303))</x:f>
        <x:v>40011.11111111111</x:v>
      </x:c>
      <x:c r="G303" s="6" t="n">
        <x:f>IF(AND(D303&gt;0,ISNUMBER(E303),E303&gt;0),F303/E303,"")</x:f>
        <x:v>0.8002222222222222</x:v>
      </x:c>
      <x:c r="H303" s="5" t="str">
        <x:f>IF(NOT(ISNUMBER(G303)),"待定",IF(G303&lt;1,"固定基底候选","参与浓度设计"))</x:f>
        <x:v>固定基底候选</x:v>
      </x:c>
      <x:c r="I303" s="5" t="str">
        <x:f>"否"</x:f>
        <x:v>否</x:v>
      </x:c>
    </x:row>
    <x:row r="304">
      <x:c r="A304" s="5" t="n">
        <x:f>'均值原始浓度'!A304</x:f>
        <x:v>299</x:v>
      </x:c>
      <x:c r="B304" s="5" t="str">
        <x:f>IF('均值原始浓度'!B304="","",'均值原始浓度'!B304)</x:f>
        <x:v>2－戊酮</x:v>
      </x:c>
      <x:c r="C304" s="5" t="str">
        <x:f>IF('均值原始浓度'!C304="","",'均值原始浓度'!C304)</x:f>
      </x:c>
      <x:c r="D304" s="5" t="n">
        <x:f>COUNT('均值原始浓度'!E304:DM304)</x:f>
        <x:v>9</x:v>
      </x:c>
      <x:c r="E304" s="6" t="str">
        <x:f>IF('均值原始浓度'!D304&gt;0,'均值原始浓度'!D304,"")</x:f>
      </x:c>
      <x:c r="F304" s="6" t="n">
        <x:f>IF(D304=0,"",AVERAGE('均值原始浓度'!E304:DM304))</x:f>
        <x:v>1744.4444444444443</x:v>
      </x:c>
      <x:c r="G304" s="6" t="str">
        <x:f>IF(AND(D304&gt;0,ISNUMBER(E304),E304&gt;0),F304/E304,"")</x:f>
      </x:c>
      <x:c r="H304" s="5" t="str">
        <x:f>IF(NOT(ISNUMBER(G304)),"待定",IF(G304&lt;1,"固定基底候选","参与浓度设计"))</x:f>
        <x:v>待定</x:v>
      </x:c>
      <x:c r="I304" s="5" t="str">
        <x:f>"否"</x:f>
        <x:v>否</x:v>
      </x:c>
    </x:row>
    <x:row r="305">
      <x:c r="A305" s="5" t="n">
        <x:f>'均值原始浓度'!A305</x:f>
        <x:v>300</x:v>
      </x:c>
      <x:c r="B305" s="5" t="str">
        <x:f>IF('均值原始浓度'!B305="","",'均值原始浓度'!B305)</x:f>
        <x:v>3-甲基-2（3H）-苯并呋喃酮</x:v>
      </x:c>
      <x:c r="C305" s="5" t="str">
        <x:f>IF('均值原始浓度'!C305="","",'均值原始浓度'!C305)</x:f>
      </x:c>
      <x:c r="D305" s="5" t="n">
        <x:f>COUNT('均值原始浓度'!E305:DM305)</x:f>
        <x:v>1</x:v>
      </x:c>
      <x:c r="E305" s="6" t="str">
        <x:f>IF('均值原始浓度'!D305&gt;0,'均值原始浓度'!D305,"")</x:f>
      </x:c>
      <x:c r="F305" s="6" t="n">
        <x:f>IF(D305=0,"",AVERAGE('均值原始浓度'!E305:DM305))</x:f>
        <x:v>26.55</x:v>
      </x:c>
      <x:c r="G305" s="6" t="str">
        <x:f>IF(AND(D305&gt;0,ISNUMBER(E305),E305&gt;0),F305/E305,"")</x:f>
      </x:c>
      <x:c r="H305" s="5" t="str">
        <x:f>IF(NOT(ISNUMBER(G305)),"待定",IF(G305&lt;1,"固定基底候选","参与浓度设计"))</x:f>
        <x:v>待定</x:v>
      </x:c>
      <x:c r="I305" s="5" t="str">
        <x:f>"否"</x:f>
        <x:v>否</x:v>
      </x:c>
    </x:row>
    <x:row r="306">
      <x:c r="A306" s="5" t="n">
        <x:f>'均值原始浓度'!A306</x:f>
        <x:v>301</x:v>
      </x:c>
      <x:c r="B306" s="5" t="str">
        <x:f>IF('均值原始浓度'!B306="","",'均值原始浓度'!B306)</x:f>
        <x:v>3-甲基丁酸3-methylbutanoic acid</x:v>
      </x:c>
      <x:c r="C306" s="5" t="str">
        <x:f>IF('均值原始浓度'!C306="","",'均值原始浓度'!C306)</x:f>
      </x:c>
      <x:c r="D306" s="5" t="n">
        <x:f>COUNT('均值原始浓度'!E306:DM306)</x:f>
        <x:v>0</x:v>
      </x:c>
      <x:c r="E306" s="6" t="n">
        <x:f>IF('均值原始浓度'!D306&gt;0,'均值原始浓度'!D306,"")</x:f>
        <x:v>1050</x:v>
      </x:c>
      <x:c r="F306" s="6" t="str">
        <x:f>IF(D306=0,"",AVERAGE('均值原始浓度'!E306:DM306))</x:f>
      </x:c>
      <x:c r="G306" s="6" t="str">
        <x:f>IF(AND(D306&gt;0,ISNUMBER(E306),E306&gt;0),F306/E306,"")</x:f>
      </x:c>
      <x:c r="H306" s="5" t="str">
        <x:f>IF(NOT(ISNUMBER(G306)),"待定",IF(G306&lt;1,"固定基底候选","参与浓度设计"))</x:f>
        <x:v>待定</x:v>
      </x:c>
      <x:c r="I306" s="5" t="str">
        <x:f>"否"</x:f>
        <x:v>否</x:v>
      </x:c>
    </x:row>
    <x:row r="307">
      <x:c r="A307" s="5" t="n">
        <x:f>'均值原始浓度'!A307</x:f>
        <x:v>302</x:v>
      </x:c>
      <x:c r="B307" s="5" t="str">
        <x:f>IF('均值原始浓度'!B307="","",'均值原始浓度'!B307)</x:f>
        <x:v>3-甲基丁酸（μg·L-1）</x:v>
      </x:c>
      <x:c r="C307" s="5" t="str">
        <x:f>IF('均值原始浓度'!C307="","",'均值原始浓度'!C307)</x:f>
      </x:c>
      <x:c r="D307" s="5" t="n">
        <x:f>COUNT('均值原始浓度'!E307:DM307)</x:f>
        <x:v>2</x:v>
      </x:c>
      <x:c r="E307" s="6" t="n">
        <x:f>IF('均值原始浓度'!D307&gt;0,'均值原始浓度'!D307,"")</x:f>
        <x:v>1050</x:v>
      </x:c>
      <x:c r="F307" s="6" t="n">
        <x:f>IF(D307=0,"",AVERAGE('均值原始浓度'!E307:DM307))</x:f>
        <x:v>5800.615000000001</x:v>
      </x:c>
      <x:c r="G307" s="6" t="n">
        <x:f>IF(AND(D307&gt;0,ISNUMBER(E307),E307&gt;0),F307/E307,"")</x:f>
        <x:v>5.524395238095239</x:v>
      </x:c>
      <x:c r="H307" s="5" t="str">
        <x:f>IF(NOT(ISNUMBER(G307)),"待定",IF(G307&lt;1,"固定基底候选","参与浓度设计"))</x:f>
        <x:v>参与浓度设计</x:v>
      </x:c>
      <x:c r="I307" s="5" t="str">
        <x:f>"否"</x:f>
        <x:v>否</x:v>
      </x:c>
    </x:row>
    <x:row r="308">
      <x:c r="A308" s="5" t="n">
        <x:f>'均值原始浓度'!A308</x:f>
        <x:v>303</x:v>
      </x:c>
      <x:c r="B308" s="5" t="str">
        <x:f>IF('均值原始浓度'!B308="","",'均值原始浓度'!B308)</x:f>
        <x:v>3-甲基丁醛二乙基缩醛</x:v>
      </x:c>
      <x:c r="C308" s="5" t="str">
        <x:f>IF('均值原始浓度'!C308="","",'均值原始浓度'!C308)</x:f>
      </x:c>
      <x:c r="D308" s="5" t="n">
        <x:f>COUNT('均值原始浓度'!E308:DM308)</x:f>
        <x:v>2</x:v>
      </x:c>
      <x:c r="E308" s="6" t="str">
        <x:f>IF('均值原始浓度'!D308&gt;0,'均值原始浓度'!D308,"")</x:f>
      </x:c>
      <x:c r="F308" s="6" t="n">
        <x:f>IF(D308=0,"",AVERAGE('均值原始浓度'!E308:DM308))</x:f>
        <x:v>11535</x:v>
      </x:c>
      <x:c r="G308" s="6" t="str">
        <x:f>IF(AND(D308&gt;0,ISNUMBER(E308),E308&gt;0),F308/E308,"")</x:f>
      </x:c>
      <x:c r="H308" s="5" t="str">
        <x:f>IF(NOT(ISNUMBER(G308)),"待定",IF(G308&lt;1,"固定基底候选","参与浓度设计"))</x:f>
        <x:v>待定</x:v>
      </x:c>
      <x:c r="I308" s="5" t="str">
        <x:f>"否"</x:f>
        <x:v>否</x:v>
      </x:c>
    </x:row>
    <x:row r="309">
      <x:c r="A309" s="5" t="n">
        <x:f>'均值原始浓度'!A309</x:f>
        <x:v>304</x:v>
      </x:c>
      <x:c r="B309" s="5" t="str">
        <x:f>IF('均值原始浓度'!B309="","",'均值原始浓度'!B309)</x:f>
        <x:v>3-苯丙酸乙酯ethyl 3-phenylpropanoate</x:v>
      </x:c>
      <x:c r="C309" s="5" t="str">
        <x:f>IF('均值原始浓度'!C309="","",'均值原始浓度'!C309)</x:f>
      </x:c>
      <x:c r="D309" s="5" t="n">
        <x:f>COUNT('均值原始浓度'!E309:DM309)</x:f>
        <x:v>0</x:v>
      </x:c>
      <x:c r="E309" s="6" t="n">
        <x:f>IF('均值原始浓度'!D309&gt;0,'均值原始浓度'!D309,"")</x:f>
        <x:v>125</x:v>
      </x:c>
      <x:c r="F309" s="6" t="str">
        <x:f>IF(D309=0,"",AVERAGE('均值原始浓度'!E309:DM309))</x:f>
      </x:c>
      <x:c r="G309" s="6" t="str">
        <x:f>IF(AND(D309&gt;0,ISNUMBER(E309),E309&gt;0),F309/E309,"")</x:f>
      </x:c>
      <x:c r="H309" s="5" t="str">
        <x:f>IF(NOT(ISNUMBER(G309)),"待定",IF(G309&lt;1,"固定基底候选","参与浓度设计"))</x:f>
        <x:v>待定</x:v>
      </x:c>
      <x:c r="I309" s="5" t="str">
        <x:f>"否"</x:f>
        <x:v>否</x:v>
      </x:c>
    </x:row>
    <x:row r="310">
      <x:c r="A310" s="5" t="n">
        <x:f>'均值原始浓度'!A310</x:f>
        <x:v>305</x:v>
      </x:c>
      <x:c r="B310" s="5" t="str">
        <x:f>IF('均值原始浓度'!B310="","",'均值原始浓度'!B310)</x:f>
        <x:v>3-苯丙酸乙酯（mg·L-1）</x:v>
      </x:c>
      <x:c r="C310" s="5" t="str">
        <x:f>IF('均值原始浓度'!C310="","",'均值原始浓度'!C310)</x:f>
      </x:c>
      <x:c r="D310" s="5" t="n">
        <x:f>COUNT('均值原始浓度'!E310:DM310)</x:f>
        <x:v>4</x:v>
      </x:c>
      <x:c r="E310" s="6" t="n">
        <x:f>IF('均值原始浓度'!D310&gt;0,'均值原始浓度'!D310,"")</x:f>
        <x:v>125</x:v>
      </x:c>
      <x:c r="F310" s="6" t="n">
        <x:f>IF(D310=0,"",AVERAGE('均值原始浓度'!E310:DM310))</x:f>
        <x:v>13.957500000000001</x:v>
      </x:c>
      <x:c r="G310" s="6" t="n">
        <x:f>IF(AND(D310&gt;0,ISNUMBER(E310),E310&gt;0),F310/E310,"")</x:f>
        <x:v>0.11166000000000001</x:v>
      </x:c>
      <x:c r="H310" s="5" t="str">
        <x:f>IF(NOT(ISNUMBER(G310)),"待定",IF(G310&lt;1,"固定基底候选","参与浓度设计"))</x:f>
        <x:v>固定基底候选</x:v>
      </x:c>
      <x:c r="I310" s="5" t="str">
        <x:f>"否"</x:f>
        <x:v>否</x:v>
      </x:c>
    </x:row>
    <x:row r="311">
      <x:c r="A311" s="5" t="n">
        <x:f>'均值原始浓度'!A311</x:f>
        <x:v>306</x:v>
      </x:c>
      <x:c r="B311" s="5" t="str">
        <x:f>IF('均值原始浓度'!B311="","",'均值原始浓度'!B311)</x:f>
        <x:v>3-辛醇3-octanol</x:v>
      </x:c>
      <x:c r="C311" s="5" t="str">
        <x:f>IF('均值原始浓度'!C311="","",'均值原始浓度'!C311)</x:f>
      </x:c>
      <x:c r="D311" s="5" t="n">
        <x:f>COUNT('均值原始浓度'!E311:DM311)</x:f>
        <x:v>0</x:v>
      </x:c>
      <x:c r="E311" s="6" t="n">
        <x:f>IF('均值原始浓度'!D311&gt;0,'均值原始浓度'!D311,"")</x:f>
        <x:v>483</x:v>
      </x:c>
      <x:c r="F311" s="6" t="str">
        <x:f>IF(D311=0,"",AVERAGE('均值原始浓度'!E311:DM311))</x:f>
      </x:c>
      <x:c r="G311" s="6" t="str">
        <x:f>IF(AND(D311&gt;0,ISNUMBER(E311),E311&gt;0),F311/E311,"")</x:f>
      </x:c>
      <x:c r="H311" s="5" t="str">
        <x:f>IF(NOT(ISNUMBER(G311)),"待定",IF(G311&lt;1,"固定基底候选","参与浓度设计"))</x:f>
        <x:v>待定</x:v>
      </x:c>
      <x:c r="I311" s="5" t="str">
        <x:f>"否"</x:f>
        <x:v>否</x:v>
      </x:c>
    </x:row>
    <x:row r="312">
      <x:c r="A312" s="5" t="n">
        <x:f>'均值原始浓度'!A312</x:f>
        <x:v>307</x:v>
      </x:c>
      <x:c r="B312" s="5" t="str">
        <x:f>IF('均值原始浓度'!B312="","",'均值原始浓度'!B312)</x:f>
        <x:v>3-（环戊基）丙酸乙酯</x:v>
      </x:c>
      <x:c r="C312" s="5" t="str">
        <x:f>IF('均值原始浓度'!C312="","",'均值原始浓度'!C312)</x:f>
      </x:c>
      <x:c r="D312" s="5" t="n">
        <x:f>COUNT('均值原始浓度'!E312:DM312)</x:f>
        <x:v>1</x:v>
      </x:c>
      <x:c r="E312" s="6" t="str">
        <x:f>IF('均值原始浓度'!D312&gt;0,'均值原始浓度'!D312,"")</x:f>
      </x:c>
      <x:c r="F312" s="6" t="n">
        <x:f>IF(D312=0,"",AVERAGE('均值原始浓度'!E312:DM312))</x:f>
        <x:v>0.76</x:v>
      </x:c>
      <x:c r="G312" s="6" t="str">
        <x:f>IF(AND(D312&gt;0,ISNUMBER(E312),E312&gt;0),F312/E312,"")</x:f>
      </x:c>
      <x:c r="H312" s="5" t="str">
        <x:f>IF(NOT(ISNUMBER(G312)),"待定",IF(G312&lt;1,"固定基底候选","参与浓度设计"))</x:f>
        <x:v>待定</x:v>
      </x:c>
      <x:c r="I312" s="5" t="str">
        <x:f>"否"</x:f>
        <x:v>否</x:v>
      </x:c>
    </x:row>
    <x:row r="313">
      <x:c r="A313" s="5" t="n">
        <x:f>'均值原始浓度'!A313</x:f>
        <x:v>308</x:v>
      </x:c>
      <x:c r="B313" s="5" t="str">
        <x:f>IF('均值原始浓度'!B313="","",'均值原始浓度'!B313)</x:f>
        <x:v>3－羟基－2－丁酮</x:v>
      </x:c>
      <x:c r="C313" s="5" t="str">
        <x:f>IF('均值原始浓度'!C313="","",'均值原始浓度'!C313)</x:f>
      </x:c>
      <x:c r="D313" s="5" t="n">
        <x:f>COUNT('均值原始浓度'!E313:DM313)</x:f>
        <x:v>9</x:v>
      </x:c>
      <x:c r="E313" s="6" t="n">
        <x:f>IF('均值原始浓度'!D313&gt;0,'均值原始浓度'!D313,"")</x:f>
        <x:v>259</x:v>
      </x:c>
      <x:c r="F313" s="6" t="n">
        <x:f>IF(D313=0,"",AVERAGE('均值原始浓度'!E313:DM313))</x:f>
        <x:v>78977.77777777778</x:v>
      </x:c>
      <x:c r="G313" s="6" t="n">
        <x:f>IF(AND(D313&gt;0,ISNUMBER(E313),E313&gt;0),F313/E313,"")</x:f>
        <x:v>304.93350493350493</x:v>
      </x:c>
      <x:c r="H313" s="5" t="str">
        <x:f>IF(NOT(ISNUMBER(G313)),"待定",IF(G313&lt;1,"固定基底候选","参与浓度设计"))</x:f>
        <x:v>参与浓度设计</x:v>
      </x:c>
      <x:c r="I313" s="5" t="str">
        <x:f>"否"</x:f>
        <x:v>否</x:v>
      </x:c>
    </x:row>
    <x:row r="314">
      <x:c r="A314" s="5" t="n">
        <x:f>'均值原始浓度'!A314</x:f>
        <x:v>309</x:v>
      </x:c>
      <x:c r="B314" s="5" t="str">
        <x:f>IF('均值原始浓度'!B314="","",'均值原始浓度'!B314)</x:f>
        <x:v>4-乙基愈创木酚（μg·L-1）</x:v>
      </x:c>
      <x:c r="C314" s="5" t="str">
        <x:f>IF('均值原始浓度'!C314="","",'均值原始浓度'!C314)</x:f>
      </x:c>
      <x:c r="D314" s="5" t="n">
        <x:f>COUNT('均值原始浓度'!E314:DM314)</x:f>
        <x:v>4</x:v>
      </x:c>
      <x:c r="E314" s="6" t="str">
        <x:f>IF('均值原始浓度'!D314&gt;0,'均值原始浓度'!D314,"")</x:f>
      </x:c>
      <x:c r="F314" s="6" t="n">
        <x:f>IF(D314=0,"",AVERAGE('均值原始浓度'!E314:DM314))</x:f>
        <x:v>417.1474999999999</x:v>
      </x:c>
      <x:c r="G314" s="6" t="str">
        <x:f>IF(AND(D314&gt;0,ISNUMBER(E314),E314&gt;0),F314/E314,"")</x:f>
      </x:c>
      <x:c r="H314" s="5" t="str">
        <x:f>IF(NOT(ISNUMBER(G314)),"待定",IF(G314&lt;1,"固定基底候选","参与浓度设计"))</x:f>
        <x:v>待定</x:v>
      </x:c>
      <x:c r="I314" s="5" t="str">
        <x:f>"否"</x:f>
        <x:v>否</x:v>
      </x:c>
    </x:row>
    <x:row r="315">
      <x:c r="A315" s="5" t="n">
        <x:f>'均值原始浓度'!A315</x:f>
        <x:v>310</x:v>
      </x:c>
      <x:c r="B315" s="5" t="str">
        <x:f>IF('均值原始浓度'!B315="","",'均值原始浓度'!B315)</x:f>
        <x:v>4-乙基苯酚4-ethylphenol</x:v>
      </x:c>
      <x:c r="C315" s="5" t="str">
        <x:f>IF('均值原始浓度'!C315="","",'均值原始浓度'!C315)</x:f>
      </x:c>
      <x:c r="D315" s="5" t="n">
        <x:f>COUNT('均值原始浓度'!E315:DM315)</x:f>
        <x:v>0</x:v>
      </x:c>
      <x:c r="E315" s="6" t="n">
        <x:f>IF('均值原始浓度'!D315&gt;0,'均值原始浓度'!D315,"")</x:f>
        <x:v>123</x:v>
      </x:c>
      <x:c r="F315" s="6" t="str">
        <x:f>IF(D315=0,"",AVERAGE('均值原始浓度'!E315:DM315))</x:f>
      </x:c>
      <x:c r="G315" s="6" t="str">
        <x:f>IF(AND(D315&gt;0,ISNUMBER(E315),E315&gt;0),F315/E315,"")</x:f>
      </x:c>
      <x:c r="H315" s="5" t="str">
        <x:f>IF(NOT(ISNUMBER(G315)),"待定",IF(G315&lt;1,"固定基底候选","参与浓度设计"))</x:f>
        <x:v>待定</x:v>
      </x:c>
      <x:c r="I315" s="5" t="str">
        <x:f>"否"</x:f>
        <x:v>否</x:v>
      </x:c>
    </x:row>
    <x:row r="316">
      <x:c r="A316" s="5" t="n">
        <x:f>'均值原始浓度'!A316</x:f>
        <x:v>311</x:v>
      </x:c>
      <x:c r="B316" s="5" t="str">
        <x:f>IF('均值原始浓度'!B316="","",'均值原始浓度'!B316)</x:f>
        <x:v>4-乙基苯酚（μg·L-1）</x:v>
      </x:c>
      <x:c r="C316" s="5" t="str">
        <x:f>IF('均值原始浓度'!C316="","",'均值原始浓度'!C316)</x:f>
      </x:c>
      <x:c r="D316" s="5" t="n">
        <x:f>COUNT('均值原始浓度'!E316:DM316)</x:f>
        <x:v>2</x:v>
      </x:c>
      <x:c r="E316" s="6" t="n">
        <x:f>IF('均值原始浓度'!D316&gt;0,'均值原始浓度'!D316,"")</x:f>
        <x:v>123</x:v>
      </x:c>
      <x:c r="F316" s="6" t="n">
        <x:f>IF(D316=0,"",AVERAGE('均值原始浓度'!E316:DM316))</x:f>
        <x:v>790.05</x:v>
      </x:c>
      <x:c r="G316" s="6" t="n">
        <x:f>IF(AND(D316&gt;0,ISNUMBER(E316),E316&gt;0),F316/E316,"")</x:f>
        <x:v>6.423170731707317</x:v>
      </x:c>
      <x:c r="H316" s="5" t="str">
        <x:f>IF(NOT(ISNUMBER(G316)),"待定",IF(G316&lt;1,"固定基底候选","参与浓度设计"))</x:f>
        <x:v>参与浓度设计</x:v>
      </x:c>
      <x:c r="I316" s="5" t="str">
        <x:f>"否"</x:f>
        <x:v>否</x:v>
      </x:c>
    </x:row>
    <x:row r="317">
      <x:c r="A317" s="5" t="n">
        <x:f>'均值原始浓度'!A317</x:f>
        <x:v>312</x:v>
      </x:c>
      <x:c r="B317" s="5" t="str">
        <x:f>IF('均值原始浓度'!B317="","",'均值原始浓度'!B317)</x:f>
        <x:v>4-甲基愈创木酚（μg·L-1）</x:v>
      </x:c>
      <x:c r="C317" s="5" t="str">
        <x:f>IF('均值原始浓度'!C317="","",'均值原始浓度'!C317)</x:f>
      </x:c>
      <x:c r="D317" s="5" t="n">
        <x:f>COUNT('均值原始浓度'!E317:DM317)</x:f>
        <x:v>2</x:v>
      </x:c>
      <x:c r="E317" s="6" t="n">
        <x:f>IF('均值原始浓度'!D317&gt;0,'均值原始浓度'!D317,"")</x:f>
        <x:v>315</x:v>
      </x:c>
      <x:c r="F317" s="6" t="n">
        <x:f>IF(D317=0,"",AVERAGE('均值原始浓度'!E317:DM317))</x:f>
        <x:v>468.05999999999995</x:v>
      </x:c>
      <x:c r="G317" s="6" t="n">
        <x:f>IF(AND(D317&gt;0,ISNUMBER(E317),E317&gt;0),F317/E317,"")</x:f>
        <x:v>1.4859047619047618</x:v>
      </x:c>
      <x:c r="H317" s="5" t="str">
        <x:f>IF(NOT(ISNUMBER(G317)),"待定",IF(G317&lt;1,"固定基底候选","参与浓度设计"))</x:f>
        <x:v>参与浓度设计</x:v>
      </x:c>
      <x:c r="I317" s="5" t="str">
        <x:f>"否"</x:f>
        <x:v>否</x:v>
      </x:c>
    </x:row>
    <x:row r="318">
      <x:c r="A318" s="5" t="n">
        <x:f>'均值原始浓度'!A318</x:f>
        <x:v>313</x:v>
      </x:c>
      <x:c r="B318" s="5" t="str">
        <x:f>IF('均值原始浓度'!B318="","",'均值原始浓度'!B318)</x:f>
        <x:v>4-甲基戊酸（μg·L-1）</x:v>
      </x:c>
      <x:c r="C318" s="5" t="str">
        <x:f>IF('均值原始浓度'!C318="","",'均值原始浓度'!C318)</x:f>
      </x:c>
      <x:c r="D318" s="5" t="n">
        <x:f>COUNT('均值原始浓度'!E318:DM318)</x:f>
        <x:v>2</x:v>
      </x:c>
      <x:c r="E318" s="6" t="str">
        <x:f>IF('均值原始浓度'!D318&gt;0,'均值原始浓度'!D318,"")</x:f>
      </x:c>
      <x:c r="F318" s="6" t="n">
        <x:f>IF(D318=0,"",AVERAGE('均值原始浓度'!E318:DM318))</x:f>
        <x:v>458.07</x:v>
      </x:c>
      <x:c r="G318" s="6" t="str">
        <x:f>IF(AND(D318&gt;0,ISNUMBER(E318),E318&gt;0),F318/E318,"")</x:f>
      </x:c>
      <x:c r="H318" s="5" t="str">
        <x:f>IF(NOT(ISNUMBER(G318)),"待定",IF(G318&lt;1,"固定基底候选","参与浓度设计"))</x:f>
        <x:v>待定</x:v>
      </x:c>
      <x:c r="I318" s="5" t="str">
        <x:f>"否"</x:f>
        <x:v>否</x:v>
      </x:c>
    </x:row>
    <x:row r="319">
      <x:c r="A319" s="5" t="n">
        <x:f>'均值原始浓度'!A319</x:f>
        <x:v>314</x:v>
      </x:c>
      <x:c r="B319" s="5" t="str">
        <x:f>IF('均值原始浓度'!B319="","",'均值原始浓度'!B319)</x:f>
        <x:v>4-甲基苯酚4-methylphenol</x:v>
      </x:c>
      <x:c r="C319" s="5" t="str">
        <x:f>IF('均值原始浓度'!C319="","",'均值原始浓度'!C319)</x:f>
      </x:c>
      <x:c r="D319" s="5" t="n">
        <x:f>COUNT('均值原始浓度'!E319:DM319)</x:f>
        <x:v>0</x:v>
      </x:c>
      <x:c r="E319" s="6" t="n">
        <x:f>IF('均值原始浓度'!D319&gt;0,'均值原始浓度'!D319,"")</x:f>
        <x:v>167</x:v>
      </x:c>
      <x:c r="F319" s="6" t="str">
        <x:f>IF(D319=0,"",AVERAGE('均值原始浓度'!E319:DM319))</x:f>
      </x:c>
      <x:c r="G319" s="6" t="str">
        <x:f>IF(AND(D319&gt;0,ISNUMBER(E319),E319&gt;0),F319/E319,"")</x:f>
      </x:c>
      <x:c r="H319" s="5" t="str">
        <x:f>IF(NOT(ISNUMBER(G319)),"待定",IF(G319&lt;1,"固定基底候选","参与浓度设计"))</x:f>
        <x:v>待定</x:v>
      </x:c>
      <x:c r="I319" s="5" t="str">
        <x:f>"否"</x:f>
        <x:v>否</x:v>
      </x:c>
    </x:row>
    <x:row r="320">
      <x:c r="A320" s="5" t="n">
        <x:f>'均值原始浓度'!A320</x:f>
        <x:v>315</x:v>
      </x:c>
      <x:c r="B320" s="5" t="str">
        <x:f>IF('均值原始浓度'!B320="","",'均值原始浓度'!B320)</x:f>
        <x:v>9-十六碳烯酸乙酯</x:v>
      </x:c>
      <x:c r="C320" s="5" t="str">
        <x:f>IF('均值原始浓度'!C320="","",'均值原始浓度'!C320)</x:f>
      </x:c>
      <x:c r="D320" s="5" t="n">
        <x:f>COUNT('均值原始浓度'!E320:DM320)</x:f>
        <x:v>4</x:v>
      </x:c>
      <x:c r="E320" s="6" t="str">
        <x:f>IF('均值原始浓度'!D320&gt;0,'均值原始浓度'!D320,"")</x:f>
      </x:c>
      <x:c r="F320" s="6" t="n">
        <x:f>IF(D320=0,"",AVERAGE('均值原始浓度'!E320:DM320))</x:f>
        <x:v>95.42750000000001</x:v>
      </x:c>
      <x:c r="G320" s="6" t="str">
        <x:f>IF(AND(D320&gt;0,ISNUMBER(E320),E320&gt;0),F320/E320,"")</x:f>
      </x:c>
      <x:c r="H320" s="5" t="str">
        <x:f>IF(NOT(ISNUMBER(G320)),"待定",IF(G320&lt;1,"固定基底候选","参与浓度设计"))</x:f>
        <x:v>待定</x:v>
      </x:c>
      <x:c r="I320" s="5" t="str">
        <x:f>"否"</x:f>
        <x:v>否</x:v>
      </x:c>
    </x:row>
    <x:row r="321">
      <x:c r="A321" s="5" t="n">
        <x:f>'均值原始浓度'!A321</x:f>
        <x:v>316</x:v>
      </x:c>
      <x:c r="B321" s="5" t="str">
        <x:f>IF('均值原始浓度'!B321="","",'均值原始浓度'!B321)</x:f>
      </x:c>
      <x:c r="C321" s="5" t="str">
        <x:f>IF('均值原始浓度'!C321="","",'均值原始浓度'!C321)</x:f>
      </x:c>
      <x:c r="D321" s="5" t="n">
        <x:f>COUNT('均值原始浓度'!E321:DM321)</x:f>
        <x:v>0</x:v>
      </x:c>
      <x:c r="E321" s="6" t="n">
        <x:f>IF('均值原始浓度'!D321&gt;0,'均值原始浓度'!D321,"")</x:f>
        <x:v>2090</x:v>
      </x:c>
      <x:c r="F321" s="6" t="str">
        <x:f>IF(D321=0,"",AVERAGE('均值原始浓度'!E321:DM321))</x:f>
      </x:c>
      <x:c r="G321" s="6" t="str">
        <x:f>IF(AND(D321&gt;0,ISNUMBER(E321),E321&gt;0),F321/E321,"")</x:f>
      </x:c>
      <x:c r="H321" s="5" t="str">
        <x:f>IF(NOT(ISNUMBER(G321)),"待定",IF(G321&lt;1,"固定基底候选","参与浓度设计"))</x:f>
        <x:v>待定</x:v>
      </x:c>
      <x:c r="I321" s="5" t="str">
        <x:f>"否"</x:f>
        <x:v>否</x:v>
      </x:c>
    </x:row>
    <x:row r="322">
      <x:c r="A322" s="5" t="n">
        <x:f>'均值原始浓度'!A322</x:f>
        <x:v>317</x:v>
      </x:c>
      <x:c r="B322" s="5" t="str">
        <x:f>IF('均值原始浓度'!B322="","",'均值原始浓度'!B322)</x:f>
      </x:c>
      <x:c r="C322" s="5" t="str">
        <x:f>IF('均值原始浓度'!C322="","",'均值原始浓度'!C322)</x:f>
      </x:c>
      <x:c r="D322" s="5" t="n">
        <x:f>COUNT('均值原始浓度'!E322:DM322)</x:f>
        <x:v>0</x:v>
      </x:c>
      <x:c r="E322" s="6" t="n">
        <x:f>IF('均值原始浓度'!D322&gt;0,'均值原始浓度'!D322,"")</x:f>
        <x:v>259</x:v>
      </x:c>
      <x:c r="F322" s="6" t="str">
        <x:f>IF(D322=0,"",AVERAGE('均值原始浓度'!E322:DM322))</x:f>
      </x:c>
      <x:c r="G322" s="6" t="str">
        <x:f>IF(AND(D322&gt;0,ISNUMBER(E322),E322&gt;0),F322/E322,"")</x:f>
      </x:c>
      <x:c r="H322" s="5" t="str">
        <x:f>IF(NOT(ISNUMBER(G322)),"待定",IF(G322&lt;1,"固定基底候选","参与浓度设计"))</x:f>
        <x:v>待定</x:v>
      </x:c>
      <x:c r="I322" s="5" t="str">
        <x:f>"否"</x:f>
        <x:v>否</x:v>
      </x:c>
    </x:row>
    <x:row r="323">
      <x:c r="A323" s="5" t="n">
        <x:f>'均值原始浓度'!A323</x:f>
        <x:v>318</x:v>
      </x:c>
      <x:c r="B323" s="5" t="str">
        <x:f>IF('均值原始浓度'!B323="","",'均值原始浓度'!B323)</x:f>
      </x:c>
      <x:c r="C323" s="5" t="str">
        <x:f>IF('均值原始浓度'!C323="","",'均值原始浓度'!C323)</x:f>
      </x:c>
      <x:c r="D323" s="5" t="n">
        <x:f>COUNT('均值原始浓度'!E323:DM323)</x:f>
        <x:v>2</x:v>
      </x:c>
      <x:c r="E323" s="6" t="str">
        <x:f>IF('均值原始浓度'!D323&gt;0,'均值原始浓度'!D323,"")</x:f>
      </x:c>
      <x:c r="F323" s="6" t="n">
        <x:f>IF(D323=0,"",AVERAGE('均值原始浓度'!E323:DM323))</x:f>
        <x:v>869</x:v>
      </x:c>
      <x:c r="G323" s="6" t="str">
        <x:f>IF(AND(D323&gt;0,ISNUMBER(E323),E323&gt;0),F323/E323,"")</x:f>
      </x:c>
      <x:c r="H323" s="5" t="str">
        <x:f>IF(NOT(ISNUMBER(G323)),"待定",IF(G323&lt;1,"固定基底候选","参与浓度设计"))</x:f>
        <x:v>待定</x:v>
      </x:c>
      <x:c r="I323" s="5" t="str">
        <x:f>"否"</x:f>
        <x:v>否</x:v>
      </x:c>
    </x:row>
    <x:row r="324">
      <x:c r="A324" s="5" t="n">
        <x:f>'均值原始浓度'!A324</x:f>
        <x:v>319</x:v>
      </x:c>
      <x:c r="B324" s="5" t="str">
        <x:f>IF('均值原始浓度'!B324="","",'均值原始浓度'!B324)</x:f>
      </x:c>
      <x:c r="C324" s="5" t="str">
        <x:f>IF('均值原始浓度'!C324="","",'均值原始浓度'!C324)</x:f>
      </x:c>
      <x:c r="D324" s="5" t="n">
        <x:f>COUNT('均值原始浓度'!E324:DM324)</x:f>
        <x:v>0</x:v>
      </x:c>
      <x:c r="E324" s="6" t="str">
        <x:f>IF('均值原始浓度'!D324&gt;0,'均值原始浓度'!D324,"")</x:f>
      </x:c>
      <x:c r="F324" s="6" t="str">
        <x:f>IF(D324=0,"",AVERAGE('均值原始浓度'!E324:DM324))</x:f>
      </x:c>
      <x:c r="G324" s="6" t="str">
        <x:f>IF(AND(D324&gt;0,ISNUMBER(E324),E324&gt;0),F324/E324,"")</x:f>
      </x:c>
      <x:c r="H324" s="5" t="str">
        <x:f>IF(NOT(ISNUMBER(G324)),"待定",IF(G324&lt;1,"固定基底候选","参与浓度设计"))</x:f>
        <x:v>待定</x:v>
      </x:c>
      <x:c r="I324" s="5" t="str">
        <x:f>"否"</x:f>
        <x:v>否</x:v>
      </x:c>
    </x:row>
    <x:row r="325">
      <x:c r="A325" s="5" t="n">
        <x:f>'均值原始浓度'!A325</x:f>
        <x:v>320</x:v>
      </x:c>
      <x:c r="B325" s="5" t="str">
        <x:f>IF('均值原始浓度'!B325="","",'均值原始浓度'!B325)</x:f>
      </x:c>
      <x:c r="C325" s="5" t="str">
        <x:f>IF('均值原始浓度'!C325="","",'均值原始浓度'!C325)</x:f>
      </x:c>
      <x:c r="D325" s="5" t="n">
        <x:f>COUNT('均值原始浓度'!E325:DM325)</x:f>
        <x:v>2</x:v>
      </x:c>
      <x:c r="E325" s="6" t="n">
        <x:f>IF('均值原始浓度'!D325&gt;0,'均值原始浓度'!D325,"")</x:f>
        <x:v>0.36</x:v>
      </x:c>
      <x:c r="F325" s="6" t="n">
        <x:f>IF(D325=0,"",AVERAGE('均值原始浓度'!E325:DM325))</x:f>
        <x:v>137.5</x:v>
      </x:c>
      <x:c r="G325" s="6" t="n">
        <x:f>IF(AND(D325&gt;0,ISNUMBER(E325),E325&gt;0),F325/E325,"")</x:f>
        <x:v>381.94444444444446</x:v>
      </x:c>
      <x:c r="H325" s="5" t="str">
        <x:f>IF(NOT(ISNUMBER(G325)),"待定",IF(G325&lt;1,"固定基底候选","参与浓度设计"))</x:f>
        <x:v>参与浓度设计</x:v>
      </x:c>
      <x:c r="I325" s="5" t="str">
        <x:f>"否"</x:f>
        <x:v>否</x:v>
      </x:c>
    </x:row>
    <x:row r="326">
      <x:c r="A326" s="5" t="n">
        <x:f>'均值原始浓度'!A326</x:f>
        <x:v>321</x:v>
      </x:c>
      <x:c r="B326" s="5" t="str">
        <x:f>IF('均值原始浓度'!B326="","",'均值原始浓度'!B326)</x:f>
      </x:c>
      <x:c r="C326" s="5" t="str">
        <x:f>IF('均值原始浓度'!C326="","",'均值原始浓度'!C326)</x:f>
      </x:c>
      <x:c r="D326" s="5" t="n">
        <x:f>COUNT('均值原始浓度'!E326:DM326)</x:f>
        <x:v>6</x:v>
      </x:c>
      <x:c r="E326" s="6" t="n">
        <x:f>IF('均值原始浓度'!D326&gt;0,'均值原始浓度'!D326,"")</x:f>
        <x:v>12.9</x:v>
      </x:c>
      <x:c r="F326" s="6" t="n">
        <x:f>IF(D326=0,"",AVERAGE('均值原始浓度'!E326:DM326))</x:f>
        <x:v>248.83333333333334</x:v>
      </x:c>
      <x:c r="G326" s="6" t="n">
        <x:f>IF(AND(D326&gt;0,ISNUMBER(E326),E326&gt;0),F326/E326,"")</x:f>
        <x:v>19.289405684754524</x:v>
      </x:c>
      <x:c r="H326" s="5" t="str">
        <x:f>IF(NOT(ISNUMBER(G326)),"待定",IF(G326&lt;1,"固定基底候选","参与浓度设计"))</x:f>
        <x:v>参与浓度设计</x:v>
      </x:c>
      <x:c r="I326" s="5" t="str">
        <x:f>"否"</x:f>
        <x:v>否</x:v>
      </x:c>
    </x:row>
    <x:row r="327">
      <x:c r="A327" s="5" t="n">
        <x:f>'均值原始浓度'!A327</x:f>
        <x:v>322</x:v>
      </x:c>
      <x:c r="B327" s="5" t="str">
        <x:f>IF('均值原始浓度'!B327="","",'均值原始浓度'!B327)</x:f>
      </x:c>
      <x:c r="C327" s="5" t="str">
        <x:f>IF('均值原始浓度'!C327="","",'均值原始浓度'!C327)</x:f>
      </x:c>
      <x:c r="D327" s="5" t="n">
        <x:f>COUNT('均值原始浓度'!E327:DM327)</x:f>
        <x:v>8</x:v>
      </x:c>
      <x:c r="E327" s="6" t="str">
        <x:f>IF('均值原始浓度'!D327&gt;0,'均值原始浓度'!D327,"")</x:f>
      </x:c>
      <x:c r="F327" s="6" t="n">
        <x:f>IF(D327=0,"",AVERAGE('均值原始浓度'!E327:DM327))</x:f>
        <x:v>106562.5</x:v>
      </x:c>
      <x:c r="G327" s="6" t="str">
        <x:f>IF(AND(D327&gt;0,ISNUMBER(E327),E327&gt;0),F327/E327,"")</x:f>
      </x:c>
      <x:c r="H327" s="5" t="str">
        <x:f>IF(NOT(ISNUMBER(G327)),"待定",IF(G327&lt;1,"固定基底候选","参与浓度设计"))</x:f>
        <x:v>待定</x:v>
      </x:c>
      <x:c r="I327" s="5" t="str">
        <x:f>"否"</x:f>
        <x:v>否</x:v>
      </x:c>
    </x:row>
    <x:row r="328">
      <x:c r="A328" s="5" t="n">
        <x:f>'均值原始浓度'!A328</x:f>
        <x:v>323</x:v>
      </x:c>
      <x:c r="B328" s="5" t="str">
        <x:f>IF('均值原始浓度'!B328="","",'均值原始浓度'!B328)</x:f>
      </x:c>
      <x:c r="C328" s="5" t="str">
        <x:f>IF('均值原始浓度'!C328="","",'均值原始浓度'!C328)</x:f>
      </x:c>
      <x:c r="D328" s="5" t="n">
        <x:f>COUNT('均值原始浓度'!E328:DM328)</x:f>
        <x:v>5</x:v>
      </x:c>
      <x:c r="E328" s="6" t="str">
        <x:f>IF('均值原始浓度'!D328&gt;0,'均值原始浓度'!D328,"")</x:f>
      </x:c>
      <x:c r="F328" s="6" t="n">
        <x:f>IF(D328=0,"",AVERAGE('均值原始浓度'!E328:DM328))</x:f>
        <x:v>459.4</x:v>
      </x:c>
      <x:c r="G328" s="6" t="str">
        <x:f>IF(AND(D328&gt;0,ISNUMBER(E328),E328&gt;0),F328/E328,"")</x:f>
      </x:c>
      <x:c r="H328" s="5" t="str">
        <x:f>IF(NOT(ISNUMBER(G328)),"待定",IF(G328&lt;1,"固定基底候选","参与浓度设计"))</x:f>
        <x:v>待定</x:v>
      </x:c>
      <x:c r="I328" s="5" t="str">
        <x:f>"否"</x:f>
        <x:v>否</x:v>
      </x:c>
    </x:row>
    <x:row r="329">
      <x:c r="A329" s="5" t="n">
        <x:f>'均值原始浓度'!A329</x:f>
        <x:v>324</x:v>
      </x:c>
      <x:c r="B329" s="5" t="str">
        <x:f>IF('均值原始浓度'!B329="","",'均值原始浓度'!B329)</x:f>
      </x:c>
      <x:c r="C329" s="5" t="str">
        <x:f>IF('均值原始浓度'!C329="","",'均值原始浓度'!C329)</x:f>
      </x:c>
      <x:c r="D329" s="5" t="n">
        <x:f>COUNT('均值原始浓度'!E329:DM329)</x:f>
        <x:v>6</x:v>
      </x:c>
      <x:c r="E329" s="6" t="n">
        <x:f>IF('均值原始浓度'!D329&gt;0,'均值原始浓度'!D329,"")</x:f>
        <x:v>6.89</x:v>
      </x:c>
      <x:c r="F329" s="6" t="n">
        <x:f>IF(D329=0,"",AVERAGE('均值原始浓度'!E329:DM329))</x:f>
        <x:v>2731.3333333333335</x:v>
      </x:c>
      <x:c r="G329" s="6" t="n">
        <x:f>IF(AND(D329&gt;0,ISNUMBER(E329),E329&gt;0),F329/E329,"")</x:f>
        <x:v>396.41993226898893</x:v>
      </x:c>
      <x:c r="H329" s="5" t="str">
        <x:f>IF(NOT(ISNUMBER(G329)),"待定",IF(G329&lt;1,"固定基底候选","参与浓度设计"))</x:f>
        <x:v>参与浓度设计</x:v>
      </x:c>
      <x:c r="I329" s="5" t="str">
        <x:f>"否"</x:f>
        <x:v>否</x:v>
      </x:c>
    </x:row>
    <x:row r="330">
      <x:c r="A330" s="5" t="n">
        <x:f>'均值原始浓度'!A330</x:f>
        <x:v>325</x:v>
      </x:c>
      <x:c r="B330" s="5" t="str">
        <x:f>IF('均值原始浓度'!B330="","",'均值原始浓度'!B330)</x:f>
      </x:c>
      <x:c r="C330" s="5" t="str">
        <x:f>IF('均值原始浓度'!C330="","",'均值原始浓度'!C330)</x:f>
      </x:c>
      <x:c r="D330" s="5" t="n">
        <x:f>COUNT('均值原始浓度'!E330:DM330)</x:f>
        <x:v>2</x:v>
      </x:c>
      <x:c r="E330" s="6" t="n">
        <x:f>IF('均值原始浓度'!D330&gt;0,'均值原始浓度'!D330,"")</x:f>
        <x:v>15000</x:v>
      </x:c>
      <x:c r="F330" s="6" t="n">
        <x:f>IF(D330=0,"",AVERAGE('均值原始浓度'!E330:DM330))</x:f>
        <x:v>2519</x:v>
      </x:c>
      <x:c r="G330" s="6" t="n">
        <x:f>IF(AND(D330&gt;0,ISNUMBER(E330),E330&gt;0),F330/E330,"")</x:f>
        <x:v>0.16793333333333332</x:v>
      </x:c>
      <x:c r="H330" s="5" t="str">
        <x:f>IF(NOT(ISNUMBER(G330)),"待定",IF(G330&lt;1,"固定基底候选","参与浓度设计"))</x:f>
        <x:v>固定基底候选</x:v>
      </x:c>
      <x:c r="I330" s="5" t="str">
        <x:f>"否"</x:f>
        <x:v>否</x:v>
      </x:c>
    </x:row>
    <x:row r="331">
      <x:c r="A331" s="5" t="n">
        <x:f>'均值原始浓度'!A331</x:f>
        <x:v>326</x:v>
      </x:c>
      <x:c r="B331" s="5" t="str">
        <x:f>IF('均值原始浓度'!B331="","",'均值原始浓度'!B331)</x:f>
      </x:c>
      <x:c r="C331" s="5" t="str">
        <x:f>IF('均值原始浓度'!C331="","",'均值原始浓度'!C331)</x:f>
      </x:c>
      <x:c r="D331" s="5" t="n">
        <x:f>COUNT('均值原始浓度'!E331:DM331)</x:f>
        <x:v>1</x:v>
      </x:c>
      <x:c r="E331" s="6" t="n">
        <x:f>IF('均值原始浓度'!D331&gt;0,'均值原始浓度'!D331,"")</x:f>
        <x:v>44000</x:v>
      </x:c>
      <x:c r="F331" s="6" t="n">
        <x:f>IF(D331=0,"",AVERAGE('均值原始浓度'!E331:DM331))</x:f>
        <x:v>22.64</x:v>
      </x:c>
      <x:c r="G331" s="6" t="n">
        <x:f>IF(AND(D331&gt;0,ISNUMBER(E331),E331&gt;0),F331/E331,"")</x:f>
        <x:v>0.0005145454545454546</x:v>
      </x:c>
      <x:c r="H331" s="5" t="str">
        <x:f>IF(NOT(ISNUMBER(G331)),"待定",IF(G331&lt;1,"固定基底候选","参与浓度设计"))</x:f>
        <x:v>固定基底候选</x:v>
      </x:c>
      <x:c r="I331" s="5" t="str">
        <x:f>"否"</x:f>
        <x:v>否</x:v>
      </x:c>
    </x:row>
    <x:row r="332">
      <x:c r="A332" s="5" t="n">
        <x:f>'均值原始浓度'!A332</x:f>
        <x:v>327</x:v>
      </x:c>
      <x:c r="B332" s="5" t="str">
        <x:f>IF('均值原始浓度'!B332="","",'均值原始浓度'!B332)</x:f>
      </x:c>
      <x:c r="C332" s="5" t="str">
        <x:f>IF('均值原始浓度'!C332="","",'均值原始浓度'!C332)</x:f>
      </x:c>
      <x:c r="D332" s="5" t="n">
        <x:f>COUNT('均值原始浓度'!E332:DM332)</x:f>
        <x:v>2</x:v>
      </x:c>
      <x:c r="E332" s="6" t="n">
        <x:f>IF('均值原始浓度'!D332&gt;0,'均值原始浓度'!D332,"")</x:f>
        <x:v>90.7</x:v>
      </x:c>
      <x:c r="F332" s="6" t="n">
        <x:f>IF(D332=0,"",AVERAGE('均值原始浓度'!E332:DM332))</x:f>
        <x:v>71.5</x:v>
      </x:c>
      <x:c r="G332" s="6" t="n">
        <x:f>IF(AND(D332&gt;0,ISNUMBER(E332),E332&gt;0),F332/E332,"")</x:f>
        <x:v>0.7883131201764058</x:v>
      </x:c>
      <x:c r="H332" s="5" t="str">
        <x:f>IF(NOT(ISNUMBER(G332)),"待定",IF(G332&lt;1,"固定基底候选","参与浓度设计"))</x:f>
        <x:v>固定基底候选</x:v>
      </x:c>
      <x:c r="I332" s="5" t="str">
        <x:f>"否"</x:f>
        <x:v>否</x:v>
      </x:c>
    </x:row>
    <x:row r="333">
      <x:c r="A333" s="5" t="n">
        <x:f>'均值原始浓度'!A333</x:f>
        <x:v>328</x:v>
      </x:c>
      <x:c r="B333" s="5" t="str">
        <x:f>IF('均值原始浓度'!B333="","",'均值原始浓度'!B333)</x:f>
      </x:c>
      <x:c r="C333" s="5" t="str">
        <x:f>IF('均值原始浓度'!C333="","",'均值原始浓度'!C333)</x:f>
      </x:c>
      <x:c r="D333" s="5" t="n">
        <x:f>COUNT('均值原始浓度'!E333:DM333)</x:f>
        <x:v>6</x:v>
      </x:c>
      <x:c r="E333" s="6" t="str">
        <x:f>IF('均值原始浓度'!D333&gt;0,'均值原始浓度'!D333,"")</x:f>
      </x:c>
      <x:c r="F333" s="6" t="n">
        <x:f>IF(D333=0,"",AVERAGE('均值原始浓度'!E333:DM333))</x:f>
        <x:v>7227.833333333333</x:v>
      </x:c>
      <x:c r="G333" s="6" t="str">
        <x:f>IF(AND(D333&gt;0,ISNUMBER(E333),E333&gt;0),F333/E333,"")</x:f>
      </x:c>
      <x:c r="H333" s="5" t="str">
        <x:f>IF(NOT(ISNUMBER(G333)),"待定",IF(G333&lt;1,"固定基底候选","参与浓度设计"))</x:f>
        <x:v>待定</x:v>
      </x:c>
      <x:c r="I333" s="5" t="str">
        <x:f>"否"</x:f>
        <x:v>否</x:v>
      </x:c>
    </x:row>
    <x:row r="334">
      <x:c r="A334" s="5" t="n">
        <x:f>'均值原始浓度'!A334</x:f>
        <x:v>329</x:v>
      </x:c>
      <x:c r="B334" s="5" t="str">
        <x:f>IF('均值原始浓度'!B334="","",'均值原始浓度'!B334)</x:f>
      </x:c>
      <x:c r="C334" s="5" t="str">
        <x:f>IF('均值原始浓度'!C334="","",'均值原始浓度'!C334)</x:f>
      </x:c>
      <x:c r="D334" s="5" t="n">
        <x:f>COUNT('均值原始浓度'!E334:DM334)</x:f>
        <x:v>0</x:v>
      </x:c>
      <x:c r="E334" s="6" t="n">
        <x:f>IF('均值原始浓度'!D334&gt;0,'均值原始浓度'!D334,"")</x:f>
        <x:v>25.5</x:v>
      </x:c>
      <x:c r="F334" s="6" t="str">
        <x:f>IF(D334=0,"",AVERAGE('均值原始浓度'!E334:DM334))</x:f>
      </x:c>
      <x:c r="G334" s="6" t="str">
        <x:f>IF(AND(D334&gt;0,ISNUMBER(E334),E334&gt;0),F334/E334,"")</x:f>
      </x:c>
      <x:c r="H334" s="5" t="str">
        <x:f>IF(NOT(ISNUMBER(G334)),"待定",IF(G334&lt;1,"固定基底候选","参与浓度设计"))</x:f>
        <x:v>待定</x:v>
      </x:c>
      <x:c r="I334" s="5" t="str">
        <x:f>"否"</x:f>
        <x:v>否</x:v>
      </x:c>
    </x:row>
    <x:row r="335">
      <x:c r="A335" s="5" t="n">
        <x:f>'均值原始浓度'!A335</x:f>
        <x:v>330</x:v>
      </x:c>
      <x:c r="B335" s="5" t="str">
        <x:f>IF('均值原始浓度'!B335="","",'均值原始浓度'!B335)</x:f>
      </x:c>
      <x:c r="C335" s="5" t="str">
        <x:f>IF('均值原始浓度'!C335="","",'均值原始浓度'!C335)</x:f>
      </x:c>
      <x:c r="D335" s="5" t="n">
        <x:f>COUNT('均值原始浓度'!E335:DM335)</x:f>
        <x:v>2</x:v>
      </x:c>
      <x:c r="E335" s="6" t="n">
        <x:f>IF('均值原始浓度'!D335&gt;0,'均值原始浓度'!D335,"")</x:f>
        <x:v>2520</x:v>
      </x:c>
      <x:c r="F335" s="6" t="n">
        <x:f>IF(D335=0,"",AVERAGE('均值原始浓度'!E335:DM335))</x:f>
        <x:v>102748.5</x:v>
      </x:c>
      <x:c r="G335" s="6" t="n">
        <x:f>IF(AND(D335&gt;0,ISNUMBER(E335),E335&gt;0),F335/E335,"")</x:f>
        <x:v>40.77321428571429</x:v>
      </x:c>
      <x:c r="H335" s="5" t="str">
        <x:f>IF(NOT(ISNUMBER(G335)),"待定",IF(G335&lt;1,"固定基底候选","参与浓度设计"))</x:f>
        <x:v>参与浓度设计</x:v>
      </x:c>
      <x:c r="I335" s="5" t="str">
        <x:f>"否"</x:f>
        <x:v>否</x:v>
      </x:c>
    </x:row>
    <x:row r="336">
      <x:c r="A336" s="5" t="n">
        <x:f>'均值原始浓度'!A336</x:f>
        <x:v>331</x:v>
      </x:c>
      <x:c r="B336" s="5" t="str">
        <x:f>IF('均值原始浓度'!B336="","",'均值原始浓度'!B336)</x:f>
      </x:c>
      <x:c r="C336" s="5" t="str">
        <x:f>IF('均值原始浓度'!C336="","",'均值原始浓度'!C336)</x:f>
      </x:c>
      <x:c r="D336" s="5" t="n">
        <x:f>COUNT('均值原始浓度'!E336:DM336)</x:f>
        <x:v>0</x:v>
      </x:c>
      <x:c r="E336" s="6" t="n">
        <x:f>IF('均值原始浓度'!D336&gt;0,'均值原始浓度'!D336,"")</x:f>
        <x:v>16.5</x:v>
      </x:c>
      <x:c r="F336" s="6" t="str">
        <x:f>IF(D336=0,"",AVERAGE('均值原始浓度'!E336:DM336))</x:f>
      </x:c>
      <x:c r="G336" s="6" t="str">
        <x:f>IF(AND(D336&gt;0,ISNUMBER(E336),E336&gt;0),F336/E336,"")</x:f>
      </x:c>
      <x:c r="H336" s="5" t="str">
        <x:f>IF(NOT(ISNUMBER(G336)),"待定",IF(G336&lt;1,"固定基底候选","参与浓度设计"))</x:f>
        <x:v>待定</x:v>
      </x:c>
      <x:c r="I336" s="5" t="str">
        <x:f>"否"</x:f>
        <x:v>否</x:v>
      </x:c>
    </x:row>
    <x:row r="337">
      <x:c r="A337" s="5" t="n">
        <x:f>'均值原始浓度'!A337</x:f>
        <x:v>332</x:v>
      </x:c>
      <x:c r="B337" s="5" t="str">
        <x:f>IF('均值原始浓度'!B337="","",'均值原始浓度'!B337)</x:f>
      </x:c>
      <x:c r="C337" s="5" t="str">
        <x:f>IF('均值原始浓度'!C337="","",'均值原始浓度'!C337)</x:f>
      </x:c>
      <x:c r="D337" s="5" t="n">
        <x:f>COUNT('均值原始浓度'!E337:DM337)</x:f>
        <x:v>2</x:v>
      </x:c>
      <x:c r="E337" s="6" t="n">
        <x:f>IF('均值原始浓度'!D337&gt;0,'均值原始浓度'!D337,"")</x:f>
        <x:v>1050</x:v>
      </x:c>
      <x:c r="F337" s="6" t="n">
        <x:f>IF(D337=0,"",AVERAGE('均值原始浓度'!E337:DM337))</x:f>
        <x:v>3815</x:v>
      </x:c>
      <x:c r="G337" s="6" t="n">
        <x:f>IF(AND(D337&gt;0,ISNUMBER(E337),E337&gt;0),F337/E337,"")</x:f>
        <x:v>3.6333333333333333</x:v>
      </x:c>
      <x:c r="H337" s="5" t="str">
        <x:f>IF(NOT(ISNUMBER(G337)),"待定",IF(G337&lt;1,"固定基底候选","参与浓度设计"))</x:f>
        <x:v>参与浓度设计</x:v>
      </x:c>
      <x:c r="I337" s="5" t="str">
        <x:f>"否"</x:f>
        <x:v>否</x:v>
      </x:c>
    </x:row>
    <x:row r="338">
      <x:c r="A338" s="5" t="n">
        <x:f>'均值原始浓度'!A338</x:f>
        <x:v>333</x:v>
      </x:c>
      <x:c r="B338" s="5" t="str">
        <x:f>IF('均值原始浓度'!B338="","",'均值原始浓度'!B338)</x:f>
      </x:c>
      <x:c r="C338" s="5" t="str">
        <x:f>IF('均值原始浓度'!C338="","",'均值原始浓度'!C338)</x:f>
      </x:c>
      <x:c r="D338" s="5" t="n">
        <x:f>COUNT('均值原始浓度'!E338:DM338)</x:f>
        <x:v>6</x:v>
      </x:c>
      <x:c r="E338" s="6" t="str">
        <x:f>IF('均值原始浓度'!D338&gt;0,'均值原始浓度'!D338,"")</x:f>
      </x:c>
      <x:c r="F338" s="6" t="n">
        <x:f>IF(D338=0,"",AVERAGE('均值原始浓度'!E338:DM338))</x:f>
        <x:v>903</x:v>
      </x:c>
      <x:c r="G338" s="6" t="str">
        <x:f>IF(AND(D338&gt;0,ISNUMBER(E338),E338&gt;0),F338/E338,"")</x:f>
      </x:c>
      <x:c r="H338" s="5" t="str">
        <x:f>IF(NOT(ISNUMBER(G338)),"待定",IF(G338&lt;1,"固定基底候选","参与浓度设计"))</x:f>
        <x:v>待定</x:v>
      </x:c>
      <x:c r="I338" s="5" t="str">
        <x:f>"否"</x:f>
        <x:v>否</x:v>
      </x:c>
    </x:row>
    <x:row r="339">
      <x:c r="A339" s="5" t="n">
        <x:f>'均值原始浓度'!A339</x:f>
        <x:v>334</x:v>
      </x:c>
      <x:c r="B339" s="5" t="str">
        <x:f>IF('均值原始浓度'!B339="","",'均值原始浓度'!B339)</x:f>
      </x:c>
      <x:c r="C339" s="5" t="str">
        <x:f>IF('均值原始浓度'!C339="","",'均值原始浓度'!C339)</x:f>
      </x:c>
      <x:c r="D339" s="5" t="n">
        <x:f>COUNT('均值原始浓度'!E339:DM339)</x:f>
        <x:v>0</x:v>
      </x:c>
      <x:c r="E339" s="6" t="n">
        <x:f>IF('均值原始浓度'!D339&gt;0,'均值原始浓度'!D339,"")</x:f>
        <x:v>44000</x:v>
      </x:c>
      <x:c r="F339" s="6" t="str">
        <x:f>IF(D339=0,"",AVERAGE('均值原始浓度'!E339:DM339))</x:f>
      </x:c>
      <x:c r="G339" s="6" t="str">
        <x:f>IF(AND(D339&gt;0,ISNUMBER(E339),E339&gt;0),F339/E339,"")</x:f>
      </x:c>
      <x:c r="H339" s="5" t="str">
        <x:f>IF(NOT(ISNUMBER(G339)),"待定",IF(G339&lt;1,"固定基底候选","参与浓度设计"))</x:f>
        <x:v>待定</x:v>
      </x:c>
      <x:c r="I339" s="5" t="str">
        <x:f>"否"</x:f>
        <x:v>否</x:v>
      </x:c>
    </x:row>
    <x:row r="340">
      <x:c r="A340" s="5" t="n">
        <x:f>'均值原始浓度'!A340</x:f>
        <x:v>335</x:v>
      </x:c>
      <x:c r="B340" s="5" t="str">
        <x:f>IF('均值原始浓度'!B340="","",'均值原始浓度'!B340)</x:f>
      </x:c>
      <x:c r="C340" s="5" t="str">
        <x:f>IF('均值原始浓度'!C340="","",'均值原始浓度'!C340)</x:f>
      </x:c>
      <x:c r="D340" s="5" t="n">
        <x:f>COUNT('均值原始浓度'!E340:DM340)</x:f>
        <x:v>5</x:v>
      </x:c>
      <x:c r="E340" s="6" t="str">
        <x:f>IF('均值原始浓度'!D340&gt;0,'均值原始浓度'!D340,"")</x:f>
      </x:c>
      <x:c r="F340" s="6" t="n">
        <x:f>IF(D340=0,"",AVERAGE('均值原始浓度'!E340:DM340))</x:f>
        <x:v>18.644</x:v>
      </x:c>
      <x:c r="G340" s="6" t="str">
        <x:f>IF(AND(D340&gt;0,ISNUMBER(E340),E340&gt;0),F340/E340,"")</x:f>
      </x:c>
      <x:c r="H340" s="5" t="str">
        <x:f>IF(NOT(ISNUMBER(G340)),"待定",IF(G340&lt;1,"固定基底候选","参与浓度设计"))</x:f>
        <x:v>待定</x:v>
      </x:c>
      <x:c r="I340" s="5" t="str">
        <x:f>"否"</x:f>
        <x:v>否</x:v>
      </x:c>
    </x:row>
    <x:row r="341">
      <x:c r="A341" s="5" t="n">
        <x:f>'均值原始浓度'!A341</x:f>
        <x:v>336</x:v>
      </x:c>
      <x:c r="B341" s="5" t="str">
        <x:f>IF('均值原始浓度'!B341="","",'均值原始浓度'!B341)</x:f>
      </x:c>
      <x:c r="C341" s="5" t="str">
        <x:f>IF('均值原始浓度'!C341="","",'均值原始浓度'!C341)</x:f>
      </x:c>
      <x:c r="D341" s="5" t="n">
        <x:f>COUNT('均值原始浓度'!E341:DM341)</x:f>
        <x:v>5</x:v>
      </x:c>
      <x:c r="E341" s="6" t="str">
        <x:f>IF('均值原始浓度'!D341&gt;0,'均值原始浓度'!D341,"")</x:f>
      </x:c>
      <x:c r="F341" s="6" t="n">
        <x:f>IF(D341=0,"",AVERAGE('均值原始浓度'!E341:DM341))</x:f>
        <x:v>8045.606</x:v>
      </x:c>
      <x:c r="G341" s="6" t="str">
        <x:f>IF(AND(D341&gt;0,ISNUMBER(E341),E341&gt;0),F341/E341,"")</x:f>
      </x:c>
      <x:c r="H341" s="5" t="str">
        <x:f>IF(NOT(ISNUMBER(G341)),"待定",IF(G341&lt;1,"固定基底候选","参与浓度设计"))</x:f>
        <x:v>待定</x:v>
      </x:c>
      <x:c r="I341" s="5" t="str">
        <x:f>"否"</x:f>
        <x:v>否</x:v>
      </x:c>
    </x:row>
    <x:row r="342">
      <x:c r="A342" s="5" t="n">
        <x:f>'均值原始浓度'!A342</x:f>
        <x:v>337</x:v>
      </x:c>
      <x:c r="B342" s="5" t="str">
        <x:f>IF('均值原始浓度'!B342="","",'均值原始浓度'!B342)</x:f>
      </x:c>
      <x:c r="C342" s="5" t="str">
        <x:f>IF('均值原始浓度'!C342="","",'均值原始浓度'!C342)</x:f>
      </x:c>
      <x:c r="D342" s="5" t="n">
        <x:f>COUNT('均值原始浓度'!E342:DM342)</x:f>
        <x:v>0</x:v>
      </x:c>
      <x:c r="E342" s="6" t="n">
        <x:f>IF('均值原始浓度'!D342&gt;0,'均值原始浓度'!D342,"")</x:f>
        <x:v>730</x:v>
      </x:c>
      <x:c r="F342" s="6" t="str">
        <x:f>IF(D342=0,"",AVERAGE('均值原始浓度'!E342:DM342))</x:f>
      </x:c>
      <x:c r="G342" s="6" t="str">
        <x:f>IF(AND(D342&gt;0,ISNUMBER(E342),E342&gt;0),F342/E342,"")</x:f>
      </x:c>
      <x:c r="H342" s="5" t="str">
        <x:f>IF(NOT(ISNUMBER(G342)),"待定",IF(G342&lt;1,"固定基底候选","参与浓度设计"))</x:f>
        <x:v>待定</x:v>
      </x:c>
      <x:c r="I342" s="5" t="str">
        <x:f>"否"</x:f>
        <x:v>否</x:v>
      </x:c>
    </x:row>
    <x:row r="343">
      <x:c r="A343" s="5" t="n">
        <x:f>'均值原始浓度'!A343</x:f>
        <x:v>338</x:v>
      </x:c>
      <x:c r="B343" s="5" t="str">
        <x:f>IF('均值原始浓度'!B343="","",'均值原始浓度'!B343)</x:f>
      </x:c>
      <x:c r="C343" s="5" t="str">
        <x:f>IF('均值原始浓度'!C343="","",'均值原始浓度'!C343)</x:f>
      </x:c>
      <x:c r="D343" s="5" t="n">
        <x:f>COUNT('均值原始浓度'!E343:DM343)</x:f>
        <x:v>1</x:v>
      </x:c>
      <x:c r="E343" s="6" t="str">
        <x:f>IF('均值原始浓度'!D343&gt;0,'均值原始浓度'!D343,"")</x:f>
      </x:c>
      <x:c r="F343" s="6" t="n">
        <x:f>IF(D343=0,"",AVERAGE('均值原始浓度'!E343:DM343))</x:f>
        <x:v>1.5</x:v>
      </x:c>
      <x:c r="G343" s="6" t="str">
        <x:f>IF(AND(D343&gt;0,ISNUMBER(E343),E343&gt;0),F343/E343,"")</x:f>
      </x:c>
      <x:c r="H343" s="5" t="str">
        <x:f>IF(NOT(ISNUMBER(G343)),"待定",IF(G343&lt;1,"固定基底候选","参与浓度设计"))</x:f>
        <x:v>待定</x:v>
      </x:c>
      <x:c r="I343" s="5" t="str">
        <x:f>"否"</x:f>
        <x:v>否</x:v>
      </x:c>
    </x:row>
    <x:row r="344">
      <x:c r="A344" s="5" t="n">
        <x:f>'均值原始浓度'!A344</x:f>
        <x:v>339</x:v>
      </x:c>
      <x:c r="B344" s="5" t="str">
        <x:f>IF('均值原始浓度'!B344="","",'均值原始浓度'!B344)</x:f>
        <x:v>β－苯乙醇</x:v>
      </x:c>
      <x:c r="C344" s="5" t="str">
        <x:f>IF('均值原始浓度'!C344="","",'均值原始浓度'!C344)</x:f>
      </x:c>
      <x:c r="D344" s="5" t="n">
        <x:f>COUNT('均值原始浓度'!E344:DM344)</x:f>
        <x:v>9</x:v>
      </x:c>
      <x:c r="E344" s="6" t="n">
        <x:f>IF('均值原始浓度'!D344&gt;0,'均值原始浓度'!D344,"")</x:f>
        <x:v>28900</x:v>
      </x:c>
      <x:c r="F344" s="6" t="n">
        <x:f>IF(D344=0,"",AVERAGE('均值原始浓度'!E344:DM344))</x:f>
        <x:v>2133.3333333333335</x:v>
      </x:c>
      <x:c r="G344" s="6" t="n">
        <x:f>IF(AND(D344&gt;0,ISNUMBER(E344),E344&gt;0),F344/E344,"")</x:f>
        <x:v>0.07381776239907728</x:v>
      </x:c>
      <x:c r="H344" s="5" t="str">
        <x:f>IF(NOT(ISNUMBER(G344)),"待定",IF(G344&lt;1,"固定基底候选","参与浓度设计"))</x:f>
        <x:v>固定基底候选</x:v>
      </x:c>
      <x:c r="I344" s="5" t="str">
        <x:f>"否"</x:f>
        <x:v>否</x:v>
      </x:c>
    </x:row>
    <x:row r="345">
      <x:c r="A345" s="5" t="n">
        <x:f>'均值原始浓度'!A345</x:f>
        <x:v>340</x:v>
      </x:c>
      <x:c r="B345" s="5" t="str">
        <x:f>IF('均值原始浓度'!B345="","",'均值原始浓度'!B345)</x:f>
        <x:v>丁二酸二乙酯（mg·L-1）</x:v>
      </x:c>
      <x:c r="C345" s="5" t="str">
        <x:f>IF('均值原始浓度'!C345="","",'均值原始浓度'!C345)</x:f>
      </x:c>
      <x:c r="D345" s="5" t="n">
        <x:f>COUNT('均值原始浓度'!E345:DM345)</x:f>
        <x:v>2</x:v>
      </x:c>
      <x:c r="E345" s="6" t="n">
        <x:f>IF('均值原始浓度'!D345&gt;0,'均值原始浓度'!D345,"")</x:f>
        <x:v>353193</x:v>
      </x:c>
      <x:c r="F345" s="6" t="n">
        <x:f>IF(D345=0,"",AVERAGE('均值原始浓度'!E345:DM345))</x:f>
        <x:v>20.105</x:v>
      </x:c>
      <x:c r="G345" s="6" t="n">
        <x:f>IF(AND(D345&gt;0,ISNUMBER(E345),E345&gt;0),F345/E345,"")</x:f>
        <x:v>0.00005692355171251978</x:v>
      </x:c>
      <x:c r="H345" s="5" t="str">
        <x:f>IF(NOT(ISNUMBER(G345)),"待定",IF(G345&lt;1,"固定基底候选","参与浓度设计"))</x:f>
        <x:v>固定基底候选</x:v>
      </x:c>
      <x:c r="I345" s="5" t="str">
        <x:f>"否"</x:f>
        <x:v>否</x:v>
      </x:c>
    </x:row>
    <x:row r="346">
      <x:c r="A346" s="5" t="n">
        <x:f>'均值原始浓度'!A346</x:f>
        <x:v>341</x:v>
      </x:c>
      <x:c r="B346" s="5" t="str">
        <x:f>IF('均值原始浓度'!B346="","",'均值原始浓度'!B346)</x:f>
        <x:v>丁酸-3 甲基丁酯（mg·L-1）</x:v>
      </x:c>
      <x:c r="C346" s="5" t="str">
        <x:f>IF('均值原始浓度'!C346="","",'均值原始浓度'!C346)</x:f>
      </x:c>
      <x:c r="D346" s="5" t="n">
        <x:f>COUNT('均值原始浓度'!E346:DM346)</x:f>
        <x:v>2</x:v>
      </x:c>
      <x:c r="E346" s="6" t="str">
        <x:f>IF('均值原始浓度'!D346&gt;0,'均值原始浓度'!D346,"")</x:f>
      </x:c>
      <x:c r="F346" s="6" t="n">
        <x:f>IF(D346=0,"",AVERAGE('均值原始浓度'!E346:DM346))</x:f>
        <x:v>2.0700000000000003</x:v>
      </x:c>
      <x:c r="G346" s="6" t="str">
        <x:f>IF(AND(D346&gt;0,ISNUMBER(E346),E346&gt;0),F346/E346,"")</x:f>
      </x:c>
      <x:c r="H346" s="5" t="str">
        <x:f>IF(NOT(ISNUMBER(G346)),"待定",IF(G346&lt;1,"固定基底候选","参与浓度设计"))</x:f>
        <x:v>待定</x:v>
      </x:c>
      <x:c r="I346" s="5" t="str">
        <x:f>"否"</x:f>
        <x:v>否</x:v>
      </x:c>
    </x:row>
    <x:row r="347">
      <x:c r="A347" s="5" t="n">
        <x:f>'均值原始浓度'!A347</x:f>
        <x:v>342</x:v>
      </x:c>
      <x:c r="B347" s="5" t="str">
        <x:f>IF('均值原始浓度'!B347="","",'均值原始浓度'!B347)</x:f>
        <x:v>丁酸异丁酯3-</x:v>
      </x:c>
      <x:c r="C347" s="5" t="str">
        <x:f>IF('均值原始浓度'!C347="","",'均值原始浓度'!C347)</x:f>
      </x:c>
      <x:c r="D347" s="5" t="n">
        <x:f>COUNT('均值原始浓度'!E347:DM347)</x:f>
        <x:v>4</x:v>
      </x:c>
      <x:c r="E347" s="6" t="str">
        <x:f>IF('均值原始浓度'!D347&gt;0,'均值原始浓度'!D347,"")</x:f>
      </x:c>
      <x:c r="F347" s="6" t="n">
        <x:f>IF(D347=0,"",AVERAGE('均值原始浓度'!E347:DM347))</x:f>
        <x:v>1436</x:v>
      </x:c>
      <x:c r="G347" s="6" t="str">
        <x:f>IF(AND(D347&gt;0,ISNUMBER(E347),E347&gt;0),F347/E347,"")</x:f>
      </x:c>
      <x:c r="H347" s="5" t="str">
        <x:f>IF(NOT(ISNUMBER(G347)),"待定",IF(G347&lt;1,"固定基底候选","参与浓度设计"))</x:f>
        <x:v>待定</x:v>
      </x:c>
      <x:c r="I347" s="5" t="str">
        <x:f>"否"</x:f>
        <x:v>否</x:v>
      </x:c>
    </x:row>
    <x:row r="348">
      <x:c r="A348" s="5" t="n">
        <x:f>'均值原始浓度'!A348</x:f>
        <x:v>343</x:v>
      </x:c>
      <x:c r="B348" s="5" t="str">
        <x:f>IF('均值原始浓度'!B348="","",'均值原始浓度'!B348)</x:f>
        <x:v>乙烯二乙酯</x:v>
      </x:c>
      <x:c r="C348" s="5" t="str">
        <x:f>IF('均值原始浓度'!C348="","",'均值原始浓度'!C348)</x:f>
      </x:c>
      <x:c r="D348" s="5" t="n">
        <x:f>COUNT('均值原始浓度'!E348:DM348)</x:f>
        <x:v>1</x:v>
      </x:c>
      <x:c r="E348" s="6" t="str">
        <x:f>IF('均值原始浓度'!D348&gt;0,'均值原始浓度'!D348,"")</x:f>
      </x:c>
      <x:c r="F348" s="6" t="n">
        <x:f>IF(D348=0,"",AVERAGE('均值原始浓度'!E348:DM348))</x:f>
        <x:v>56.94</x:v>
      </x:c>
      <x:c r="G348" s="6" t="str">
        <x:f>IF(AND(D348&gt;0,ISNUMBER(E348),E348&gt;0),F348/E348,"")</x:f>
      </x:c>
      <x:c r="H348" s="5" t="str">
        <x:f>IF(NOT(ISNUMBER(G348)),"待定",IF(G348&lt;1,"固定基底候选","参与浓度设计"))</x:f>
        <x:v>待定</x:v>
      </x:c>
      <x:c r="I348" s="5" t="str">
        <x:f>"否"</x:f>
        <x:v>否</x:v>
      </x:c>
    </x:row>
    <x:row r="349">
      <x:c r="A349" s="5" t="n">
        <x:f>'均值原始浓度'!A349</x:f>
        <x:v>344</x:v>
      </x:c>
      <x:c r="B349" s="5" t="str">
        <x:f>IF('均值原始浓度'!B349="","",'均值原始浓度'!B349)</x:f>
        <x:v>乙缩醛（mg·L-1）</x:v>
      </x:c>
      <x:c r="C349" s="5" t="str">
        <x:f>IF('均值原始浓度'!C349="","",'均值原始浓度'!C349)</x:f>
      </x:c>
      <x:c r="D349" s="5" t="n">
        <x:f>COUNT('均值原始浓度'!E349:DM349)</x:f>
        <x:v>2</x:v>
      </x:c>
      <x:c r="E349" s="6" t="n">
        <x:f>IF('均值原始浓度'!D349&gt;0,'均值原始浓度'!D349,"")</x:f>
        <x:v>2090</x:v>
      </x:c>
      <x:c r="F349" s="6" t="n">
        <x:f>IF(D349=0,"",AVERAGE('均值原始浓度'!E349:DM349))</x:f>
        <x:v>38.7</x:v>
      </x:c>
      <x:c r="G349" s="6" t="n">
        <x:f>IF(AND(D349&gt;0,ISNUMBER(E349),E349&gt;0),F349/E349,"")</x:f>
        <x:v>0.018516746411483254</x:v>
      </x:c>
      <x:c r="H349" s="5" t="str">
        <x:f>IF(NOT(ISNUMBER(G349)),"待定",IF(G349&lt;1,"固定基底候选","参与浓度设计"))</x:f>
        <x:v>固定基底候选</x:v>
      </x:c>
      <x:c r="I349" s="5" t="str">
        <x:f>"否"</x:f>
        <x:v>否</x:v>
      </x:c>
    </x:row>
    <x:row r="350">
      <x:c r="A350" s="5" t="n">
        <x:f>'均值原始浓度'!A350</x:f>
        <x:v>345</x:v>
      </x:c>
      <x:c r="B350" s="5" t="str">
        <x:f>IF('均值原始浓度'!B350="","",'均值原始浓度'!B350)</x:f>
        <x:v>乙酸乙酯（g·L-1）</x:v>
      </x:c>
      <x:c r="C350" s="5" t="str">
        <x:f>IF('均值原始浓度'!C350="","",'均值原始浓度'!C350)</x:f>
      </x:c>
      <x:c r="D350" s="5" t="n">
        <x:f>COUNT('均值原始浓度'!E350:DM350)</x:f>
        <x:v>4</x:v>
      </x:c>
      <x:c r="E350" s="6" t="n">
        <x:f>IF('均值原始浓度'!D350&gt;0,'均值原始浓度'!D350,"")</x:f>
        <x:v>32552</x:v>
      </x:c>
      <x:c r="F350" s="6" t="n">
        <x:f>IF(D350=0,"",AVERAGE('均值原始浓度'!E350:DM350))</x:f>
        <x:v>8.3375</x:v>
      </x:c>
      <x:c r="G350" s="6" t="n">
        <x:f>IF(AND(D350&gt;0,ISNUMBER(E350),E350&gt;0),F350/E350,"")</x:f>
        <x:v>0.0002561286556893586</x:v>
      </x:c>
      <x:c r="H350" s="5" t="str">
        <x:f>IF(NOT(ISNUMBER(G350)),"待定",IF(G350&lt;1,"固定基底候选","参与浓度设计"))</x:f>
        <x:v>固定基底候选</x:v>
      </x:c>
      <x:c r="I350" s="5" t="str">
        <x:f>"否"</x:f>
        <x:v>否</x:v>
      </x:c>
    </x:row>
    <x:row r="351">
      <x:c r="A351" s="5" t="n">
        <x:f>'均值原始浓度'!A351</x:f>
        <x:v>346</x:v>
      </x:c>
      <x:c r="B351" s="5" t="str">
        <x:f>IF('均值原始浓度'!B351="","",'均值原始浓度'!B351)</x:f>
        <x:v>乙酸已酯</x:v>
      </x:c>
      <x:c r="C351" s="5" t="str">
        <x:f>IF('均值原始浓度'!C351="","",'均值原始浓度'!C351)</x:f>
      </x:c>
      <x:c r="D351" s="5" t="n">
        <x:f>COUNT('均值原始浓度'!E351:DM351)</x:f>
        <x:v>2</x:v>
      </x:c>
      <x:c r="E351" s="6" t="n">
        <x:f>IF('均值原始浓度'!D351&gt;0,'均值原始浓度'!D351,"")</x:f>
        <x:v>5560</x:v>
      </x:c>
      <x:c r="F351" s="6" t="n">
        <x:f>IF(D351=0,"",AVERAGE('均值原始浓度'!E351:DM351))</x:f>
        <x:v>1082.3899999999999</x:v>
      </x:c>
      <x:c r="G351" s="6" t="n">
        <x:f>IF(AND(D351&gt;0,ISNUMBER(E351),E351&gt;0),F351/E351,"")</x:f>
        <x:v>0.19467446043165465</x:v>
      </x:c>
      <x:c r="H351" s="5" t="str">
        <x:f>IF(NOT(ISNUMBER(G351)),"待定",IF(G351&lt;1,"固定基底候选","参与浓度设计"))</x:f>
        <x:v>固定基底候选</x:v>
      </x:c>
      <x:c r="I351" s="5" t="str">
        <x:f>"否"</x:f>
        <x:v>否</x:v>
      </x:c>
    </x:row>
    <x:row r="352">
      <x:c r="A352" s="5" t="n">
        <x:f>'均值原始浓度'!A352</x:f>
        <x:v>347</x:v>
      </x:c>
      <x:c r="B352" s="5" t="str">
        <x:f>IF('均值原始浓度'!B352="","",'均值原始浓度'!B352)</x:f>
        <x:v>乳酸乙酯（g·L-1）</x:v>
      </x:c>
      <x:c r="C352" s="5" t="str">
        <x:f>IF('均值原始浓度'!C352="","",'均值原始浓度'!C352)</x:f>
      </x:c>
      <x:c r="D352" s="5" t="n">
        <x:f>COUNT('均值原始浓度'!E352:DM352)</x:f>
        <x:v>2</x:v>
      </x:c>
      <x:c r="E352" s="6" t="n">
        <x:f>IF('均值原始浓度'!D352&gt;0,'均值原始浓度'!D352,"")</x:f>
        <x:v>100000</x:v>
      </x:c>
      <x:c r="F352" s="6" t="n">
        <x:f>IF(D352=0,"",AVERAGE('均值原始浓度'!E352:DM352))</x:f>
        <x:v>1.48</x:v>
      </x:c>
      <x:c r="G352" s="6" t="n">
        <x:f>IF(AND(D352&gt;0,ISNUMBER(E352),E352&gt;0),F352/E352,"")</x:f>
        <x:v>0.0000148</x:v>
      </x:c>
      <x:c r="H352" s="5" t="str">
        <x:f>IF(NOT(ISNUMBER(G352)),"待定",IF(G352&lt;1,"固定基底候选","参与浓度设计"))</x:f>
        <x:v>固定基底候选</x:v>
      </x:c>
      <x:c r="I352" s="5" t="str">
        <x:f>"否"</x:f>
        <x:v>否</x:v>
      </x:c>
    </x:row>
    <x:row r="353">
      <x:c r="A353" s="5" t="n">
        <x:f>'均值原始浓度'!A353</x:f>
        <x:v>348</x:v>
      </x:c>
      <x:c r="B353" s="5" t="str">
        <x:f>IF('均值原始浓度'!B353="","",'均值原始浓度'!B353)</x:f>
        <x:v>十五酸乙酯</x:v>
      </x:c>
      <x:c r="C353" s="5" t="str">
        <x:f>IF('均值原始浓度'!C353="","",'均值原始浓度'!C353)</x:f>
      </x:c>
      <x:c r="D353" s="5" t="n">
        <x:f>COUNT('均值原始浓度'!E353:DM353)</x:f>
        <x:v>4</x:v>
      </x:c>
      <x:c r="E353" s="6" t="str">
        <x:f>IF('均值原始浓度'!D353&gt;0,'均值原始浓度'!D353,"")</x:f>
      </x:c>
      <x:c r="F353" s="6" t="n">
        <x:f>IF(D353=0,"",AVERAGE('均值原始浓度'!E353:DM353))</x:f>
        <x:v>48.677499999999995</x:v>
      </x:c>
      <x:c r="G353" s="6" t="str">
        <x:f>IF(AND(D353&gt;0,ISNUMBER(E353),E353&gt;0),F353/E353,"")</x:f>
      </x:c>
      <x:c r="H353" s="5" t="str">
        <x:f>IF(NOT(ISNUMBER(G353)),"待定",IF(G353&lt;1,"固定基底候选","参与浓度设计"))</x:f>
        <x:v>待定</x:v>
      </x:c>
      <x:c r="I353" s="5" t="str">
        <x:f>"否"</x:f>
        <x:v>否</x:v>
      </x:c>
    </x:row>
    <x:row r="354">
      <x:c r="A354" s="5" t="n">
        <x:f>'均值原始浓度'!A354</x:f>
        <x:v>349</x:v>
      </x:c>
      <x:c r="B354" s="5" t="str">
        <x:f>IF('均值原始浓度'!B354="","",'均值原始浓度'!B354)</x:f>
        <x:v>反-2,4-癸二烯醛</x:v>
      </x:c>
      <x:c r="C354" s="5" t="str">
        <x:f>IF('均值原始浓度'!C354="","",'均值原始浓度'!C354)</x:f>
      </x:c>
      <x:c r="D354" s="5" t="n">
        <x:f>COUNT('均值原始浓度'!E354:DM354)</x:f>
        <x:v>2</x:v>
      </x:c>
      <x:c r="E354" s="6" t="str">
        <x:f>IF('均值原始浓度'!D354&gt;0,'均值原始浓度'!D354,"")</x:f>
      </x:c>
      <x:c r="F354" s="6" t="n">
        <x:f>IF(D354=0,"",AVERAGE('均值原始浓度'!E354:DM354))</x:f>
        <x:v>444</x:v>
      </x:c>
      <x:c r="G354" s="6" t="str">
        <x:f>IF(AND(D354&gt;0,ISNUMBER(E354),E354&gt;0),F354/E354,"")</x:f>
      </x:c>
      <x:c r="H354" s="5" t="str">
        <x:f>IF(NOT(ISNUMBER(G354)),"待定",IF(G354&lt;1,"固定基底候选","参与浓度设计"))</x:f>
        <x:v>待定</x:v>
      </x:c>
      <x:c r="I354" s="5" t="str">
        <x:f>"否"</x:f>
        <x:v>否</x:v>
      </x:c>
    </x:row>
    <x:row r="355">
      <x:c r="A355" s="5" t="n">
        <x:f>'均值原始浓度'!A355</x:f>
        <x:v>350</x:v>
      </x:c>
      <x:c r="B355" s="5" t="str">
        <x:f>IF('均值原始浓度'!B355="","",'均值原始浓度'!B355)</x:f>
        <x:v>反油酸乙酯</x:v>
      </x:c>
      <x:c r="C355" s="5" t="str">
        <x:f>IF('均值原始浓度'!C355="","",'均值原始浓度'!C355)</x:f>
      </x:c>
      <x:c r="D355" s="5" t="n">
        <x:f>COUNT('均值原始浓度'!E355:DM355)</x:f>
        <x:v>4</x:v>
      </x:c>
      <x:c r="E355" s="6" t="str">
        <x:f>IF('均值原始浓度'!D355&gt;0,'均值原始浓度'!D355,"")</x:f>
      </x:c>
      <x:c r="F355" s="6" t="n">
        <x:f>IF(D355=0,"",AVERAGE('均值原始浓度'!E355:DM355))</x:f>
        <x:v>276.435</x:v>
      </x:c>
      <x:c r="G355" s="6" t="str">
        <x:f>IF(AND(D355&gt;0,ISNUMBER(E355),E355&gt;0),F355/E355,"")</x:f>
      </x:c>
      <x:c r="H355" s="5" t="str">
        <x:f>IF(NOT(ISNUMBER(G355)),"待定",IF(G355&lt;1,"固定基底候选","参与浓度设计"))</x:f>
        <x:v>待定</x:v>
      </x:c>
      <x:c r="I355" s="5" t="str">
        <x:f>"否"</x:f>
        <x:v>否</x:v>
      </x:c>
    </x:row>
    <x:row r="356">
      <x:c r="A356" s="5" t="n">
        <x:f>'均值原始浓度'!A356</x:f>
        <x:v>351</x:v>
      </x:c>
      <x:c r="B356" s="5" t="str">
        <x:f>IF('均值原始浓度'!B356="","",'均值原始浓度'!B356)</x:f>
        <x:v>己酸-2-甲基丙酯（mg·L-1）</x:v>
      </x:c>
      <x:c r="C356" s="5" t="str">
        <x:f>IF('均值原始浓度'!C356="","",'均值原始浓度'!C356)</x:f>
      </x:c>
      <x:c r="D356" s="5" t="n">
        <x:f>COUNT('均值原始浓度'!E356:DM356)</x:f>
        <x:v>2</x:v>
      </x:c>
      <x:c r="E356" s="6" t="str">
        <x:f>IF('均值原始浓度'!D356&gt;0,'均值原始浓度'!D356,"")</x:f>
      </x:c>
      <x:c r="F356" s="6" t="n">
        <x:f>IF(D356=0,"",AVERAGE('均值原始浓度'!E356:DM356))</x:f>
        <x:v>8.675</x:v>
      </x:c>
      <x:c r="G356" s="6" t="str">
        <x:f>IF(AND(D356&gt;0,ISNUMBER(E356),E356&gt;0),F356/E356,"")</x:f>
      </x:c>
      <x:c r="H356" s="5" t="str">
        <x:f>IF(NOT(ISNUMBER(G356)),"待定",IF(G356&lt;1,"固定基底候选","参与浓度设计"))</x:f>
        <x:v>待定</x:v>
      </x:c>
      <x:c r="I356" s="5" t="str">
        <x:f>"否"</x:f>
        <x:v>否</x:v>
      </x:c>
    </x:row>
    <x:row r="357">
      <x:c r="A357" s="5" t="n">
        <x:f>'均值原始浓度'!A357</x:f>
        <x:v>352</x:v>
      </x:c>
      <x:c r="B357" s="5" t="str">
        <x:f>IF('均值原始浓度'!B357="","",'均值原始浓度'!B357)</x:f>
        <x:v>己酸-2-糠酯</x:v>
      </x:c>
      <x:c r="C357" s="5" t="str">
        <x:f>IF('均值原始浓度'!C357="","",'均值原始浓度'!C357)</x:f>
      </x:c>
      <x:c r="D357" s="5" t="n">
        <x:f>COUNT('均值原始浓度'!E357:DM357)</x:f>
        <x:v>11</x:v>
      </x:c>
      <x:c r="E357" s="6" t="str">
        <x:f>IF('均值原始浓度'!D357&gt;0,'均值原始浓度'!D357,"")</x:f>
      </x:c>
      <x:c r="F357" s="6" t="n">
        <x:f>IF(D357=0,"",AVERAGE('均值原始浓度'!E357:DM357))</x:f>
        <x:v>288.53636363636366</x:v>
      </x:c>
      <x:c r="G357" s="6" t="str">
        <x:f>IF(AND(D357&gt;0,ISNUMBER(E357),E357&gt;0),F357/E357,"")</x:f>
      </x:c>
      <x:c r="H357" s="5" t="str">
        <x:f>IF(NOT(ISNUMBER(G357)),"待定",IF(G357&lt;1,"固定基底候选","参与浓度设计"))</x:f>
        <x:v>待定</x:v>
      </x:c>
      <x:c r="I357" s="5" t="str">
        <x:f>"否"</x:f>
        <x:v>否</x:v>
      </x:c>
    </x:row>
    <x:row r="358">
      <x:c r="A358" s="5" t="n">
        <x:f>'均值原始浓度'!A358</x:f>
        <x:v>353</x:v>
      </x:c>
      <x:c r="B358" s="5" t="str">
        <x:f>IF('均值原始浓度'!B358="","",'均值原始浓度'!B358)</x:f>
        <x:v>己酸丁酯（mg·L-1）</x:v>
      </x:c>
      <x:c r="C358" s="5" t="str">
        <x:f>IF('均值原始浓度'!C358="","",'均值原始浓度'!C358)</x:f>
      </x:c>
      <x:c r="D358" s="5" t="n">
        <x:f>COUNT('均值原始浓度'!E358:DM358)</x:f>
        <x:v>2</x:v>
      </x:c>
      <x:c r="E358" s="6" t="n">
        <x:f>IF('均值原始浓度'!D358&gt;0,'均值原始浓度'!D358,"")</x:f>
        <x:v>677.84</x:v>
      </x:c>
      <x:c r="F358" s="6" t="n">
        <x:f>IF(D358=0,"",AVERAGE('均值原始浓度'!E358:DM358))</x:f>
        <x:v>78.64</x:v>
      </x:c>
      <x:c r="G358" s="6" t="n">
        <x:f>IF(AND(D358&gt;0,ISNUMBER(E358),E358&gt;0),F358/E358,"")</x:f>
        <x:v>0.11601557889767496</x:v>
      </x:c>
      <x:c r="H358" s="5" t="str">
        <x:f>IF(NOT(ISNUMBER(G358)),"待定",IF(G358&lt;1,"固定基底候选","参与浓度设计"))</x:f>
        <x:v>固定基底候选</x:v>
      </x:c>
      <x:c r="I358" s="5" t="str">
        <x:f>"否"</x:f>
        <x:v>否</x:v>
      </x:c>
    </x:row>
    <x:row r="359">
      <x:c r="A359" s="5" t="n">
        <x:f>'均值原始浓度'!A359</x:f>
        <x:v>354</x:v>
      </x:c>
      <x:c r="B359" s="5" t="str">
        <x:f>IF('均值原始浓度'!B359="","",'均值原始浓度'!B359)</x:f>
        <x:v>己酸（mg·L-1）</x:v>
      </x:c>
      <x:c r="C359" s="5" t="str">
        <x:f>IF('均值原始浓度'!C359="","",'均值原始浓度'!C359)</x:f>
      </x:c>
      <x:c r="D359" s="5" t="n">
        <x:f>COUNT('均值原始浓度'!E359:DM359)</x:f>
        <x:v>4</x:v>
      </x:c>
      <x:c r="E359" s="6" t="n">
        <x:f>IF('均值原始浓度'!D359&gt;0,'均值原始浓度'!D359,"")</x:f>
        <x:v>2520</x:v>
      </x:c>
      <x:c r="F359" s="6" t="n">
        <x:f>IF(D359=0,"",AVERAGE('均值原始浓度'!E359:DM359))</x:f>
        <x:v>342.2125</x:v>
      </x:c>
      <x:c r="G359" s="6" t="n">
        <x:f>IF(AND(D359&gt;0,ISNUMBER(E359),E359&gt;0),F359/E359,"")</x:f>
        <x:v>0.1357986111111111</x:v>
      </x:c>
      <x:c r="H359" s="5" t="str">
        <x:f>IF(NOT(ISNUMBER(G359)),"待定",IF(G359&lt;1,"固定基底候选","参与浓度设计"))</x:f>
        <x:v>固定基底候选</x:v>
      </x:c>
      <x:c r="I359" s="5" t="str">
        <x:f>"否"</x:f>
        <x:v>否</x:v>
      </x:c>
    </x:row>
    <x:row r="360">
      <x:c r="A360" s="5" t="n">
        <x:f>'均值原始浓度'!A360</x:f>
        <x:v>355</x:v>
      </x:c>
      <x:c r="B360" s="5" t="str">
        <x:f>IF('均值原始浓度'!B360="","",'均值原始浓度'!B360)</x:f>
        <x:v>庚酸（mg·L-1）</x:v>
      </x:c>
      <x:c r="C360" s="5" t="str">
        <x:f>IF('均值原始浓度'!C360="","",'均值原始浓度'!C360)</x:f>
      </x:c>
      <x:c r="D360" s="5" t="n">
        <x:f>COUNT('均值原始浓度'!E360:DM360)</x:f>
        <x:v>2</x:v>
      </x:c>
      <x:c r="E360" s="6" t="str">
        <x:f>IF('均值原始浓度'!D360&gt;0,'均值原始浓度'!D360,"")</x:f>
      </x:c>
      <x:c r="F360" s="6" t="n">
        <x:f>IF(D360=0,"",AVERAGE('均值原始浓度'!E360:DM360))</x:f>
        <x:v>8.025</x:v>
      </x:c>
      <x:c r="G360" s="6" t="str">
        <x:f>IF(AND(D360&gt;0,ISNUMBER(E360),E360&gt;0),F360/E360,"")</x:f>
      </x:c>
      <x:c r="H360" s="5" t="str">
        <x:f>IF(NOT(ISNUMBER(G360)),"待定",IF(G360&lt;1,"固定基底候选","参与浓度设计"))</x:f>
        <x:v>待定</x:v>
      </x:c>
      <x:c r="I360" s="5" t="str">
        <x:f>"否"</x:f>
        <x:v>否</x:v>
      </x:c>
    </x:row>
    <x:row r="361">
      <x:c r="A361" s="5" t="n">
        <x:f>'均值原始浓度'!A361</x:f>
        <x:v>356</x:v>
      </x:c>
      <x:c r="B361" s="5" t="str">
        <x:f>IF('均值原始浓度'!B361="","",'均值原始浓度'!B361)</x:f>
        <x:v>异丁醇2-methyl-1-propanol</x:v>
      </x:c>
      <x:c r="C361" s="5" t="str">
        <x:f>IF('均值原始浓度'!C361="","",'均值原始浓度'!C361)</x:f>
      </x:c>
      <x:c r="D361" s="5" t="n">
        <x:f>COUNT('均值原始浓度'!E361:DM361)</x:f>
        <x:v>0</x:v>
      </x:c>
      <x:c r="E361" s="6" t="n">
        <x:f>IF('均值原始浓度'!D361&gt;0,'均值原始浓度'!D361,"")</x:f>
        <x:v>28300</x:v>
      </x:c>
      <x:c r="F361" s="6" t="str">
        <x:f>IF(D361=0,"",AVERAGE('均值原始浓度'!E361:DM361))</x:f>
      </x:c>
      <x:c r="G361" s="6" t="str">
        <x:f>IF(AND(D361&gt;0,ISNUMBER(E361),E361&gt;0),F361/E361,"")</x:f>
      </x:c>
      <x:c r="H361" s="5" t="str">
        <x:f>IF(NOT(ISNUMBER(G361)),"待定",IF(G361&lt;1,"固定基底候选","参与浓度设计"))</x:f>
        <x:v>待定</x:v>
      </x:c>
      <x:c r="I361" s="5" t="str">
        <x:f>"否"</x:f>
        <x:v>否</x:v>
      </x:c>
    </x:row>
    <x:row r="362">
      <x:c r="A362" s="5" t="n">
        <x:f>'均值原始浓度'!A362</x:f>
        <x:v>357</x:v>
      </x:c>
      <x:c r="B362" s="5" t="str">
        <x:f>IF('均值原始浓度'!B362="","",'均值原始浓度'!B362)</x:f>
        <x:v>异戊醇3-methyl-1-butanol</x:v>
      </x:c>
      <x:c r="C362" s="5" t="str">
        <x:f>IF('均值原始浓度'!C362="","",'均值原始浓度'!C362)</x:f>
      </x:c>
      <x:c r="D362" s="5" t="n">
        <x:f>COUNT('均值原始浓度'!E362:DM362)</x:f>
        <x:v>0</x:v>
      </x:c>
      <x:c r="E362" s="6" t="n">
        <x:f>IF('均值原始浓度'!D362&gt;0,'均值原始浓度'!D362,"")</x:f>
        <x:v>179191</x:v>
      </x:c>
      <x:c r="F362" s="6" t="str">
        <x:f>IF(D362=0,"",AVERAGE('均值原始浓度'!E362:DM362))</x:f>
      </x:c>
      <x:c r="G362" s="6" t="str">
        <x:f>IF(AND(D362&gt;0,ISNUMBER(E362),E362&gt;0),F362/E362,"")</x:f>
      </x:c>
      <x:c r="H362" s="5" t="str">
        <x:f>IF(NOT(ISNUMBER(G362)),"待定",IF(G362&lt;1,"固定基底候选","参与浓度设计"))</x:f>
        <x:v>待定</x:v>
      </x:c>
      <x:c r="I362" s="5" t="str">
        <x:f>"否"</x:f>
        <x:v>否</x:v>
      </x:c>
    </x:row>
    <x:row r="363">
      <x:c r="A363" s="5" t="n">
        <x:f>'均值原始浓度'!A363</x:f>
        <x:v>358</x:v>
      </x:c>
      <x:c r="B363" s="5" t="str">
        <x:f>IF('均值原始浓度'!B363="","",'均值原始浓度'!B363)</x:f>
        <x:v>异戊醛3-methylbutanal</x:v>
      </x:c>
      <x:c r="C363" s="5" t="str">
        <x:f>IF('均值原始浓度'!C363="","",'均值原始浓度'!C363)</x:f>
      </x:c>
      <x:c r="D363" s="5" t="n">
        <x:f>COUNT('均值原始浓度'!E363:DM363)</x:f>
        <x:v>0</x:v>
      </x:c>
      <x:c r="E363" s="6" t="n">
        <x:f>IF('均值原始浓度'!D363&gt;0,'均值原始浓度'!D363,"")</x:f>
        <x:v>16.5</x:v>
      </x:c>
      <x:c r="F363" s="6" t="str">
        <x:f>IF(D363=0,"",AVERAGE('均值原始浓度'!E363:DM363))</x:f>
      </x:c>
      <x:c r="G363" s="6" t="str">
        <x:f>IF(AND(D363&gt;0,ISNUMBER(E363),E363&gt;0),F363/E363,"")</x:f>
      </x:c>
      <x:c r="H363" s="5" t="str">
        <x:f>IF(NOT(ISNUMBER(G363)),"待定",IF(G363&lt;1,"固定基底候选","参与浓度设计"))</x:f>
        <x:v>待定</x:v>
      </x:c>
      <x:c r="I363" s="5" t="str">
        <x:f>"否"</x:f>
        <x:v>否</x:v>
      </x:c>
    </x:row>
    <x:row r="364">
      <x:c r="A364" s="5" t="n">
        <x:f>'均值原始浓度'!A364</x:f>
        <x:v>359</x:v>
      </x:c>
      <x:c r="B364" s="5" t="str">
        <x:f>IF('均值原始浓度'!B364="","",'均值原始浓度'!B364)</x:f>
        <x:v>异戊醛二乙缩醛</x:v>
      </x:c>
      <x:c r="C364" s="5" t="str">
        <x:f>IF('均值原始浓度'!C364="","",'均值原始浓度'!C364)</x:f>
      </x:c>
      <x:c r="D364" s="5" t="n">
        <x:f>COUNT('均值原始浓度'!E364:DM364)</x:f>
        <x:v>4</x:v>
      </x:c>
      <x:c r="E364" s="6" t="str">
        <x:f>IF('均值原始浓度'!D364&gt;0,'均值原始浓度'!D364,"")</x:f>
      </x:c>
      <x:c r="F364" s="6" t="n">
        <x:f>IF(D364=0,"",AVERAGE('均值原始浓度'!E364:DM364))</x:f>
        <x:v>1542.12</x:v>
      </x:c>
      <x:c r="G364" s="6" t="str">
        <x:f>IF(AND(D364&gt;0,ISNUMBER(E364),E364&gt;0),F364/E364,"")</x:f>
      </x:c>
      <x:c r="H364" s="5" t="str">
        <x:f>IF(NOT(ISNUMBER(G364)),"待定",IF(G364&lt;1,"固定基底候选","参与浓度设计"))</x:f>
        <x:v>待定</x:v>
      </x:c>
      <x:c r="I364" s="5" t="str">
        <x:f>"否"</x:f>
        <x:v>否</x:v>
      </x:c>
    </x:row>
    <x:row r="365">
      <x:c r="A365" s="5" t="n">
        <x:f>'均值原始浓度'!A365</x:f>
        <x:v>360</x:v>
      </x:c>
      <x:c r="B365" s="5" t="str">
        <x:f>IF('均值原始浓度'!B365="","",'均值原始浓度'!B365)</x:f>
        <x:v>戊酮-2</x:v>
      </x:c>
      <x:c r="C365" s="5" t="str">
        <x:f>IF('均值原始浓度'!C365="","",'均值原始浓度'!C365)</x:f>
      </x:c>
      <x:c r="D365" s="5" t="n">
        <x:f>COUNT('均值原始浓度'!E365:DM365)</x:f>
        <x:v>3</x:v>
      </x:c>
      <x:c r="E365" s="6" t="str">
        <x:f>IF('均值原始浓度'!D365&gt;0,'均值原始浓度'!D365,"")</x:f>
      </x:c>
      <x:c r="F365" s="6" t="n">
        <x:f>IF(D365=0,"",AVERAGE('均值原始浓度'!E365:DM365))</x:f>
        <x:v>41133.333333333336</x:v>
      </x:c>
      <x:c r="G365" s="6" t="str">
        <x:f>IF(AND(D365&gt;0,ISNUMBER(E365),E365&gt;0),F365/E365,"")</x:f>
      </x:c>
      <x:c r="H365" s="5" t="str">
        <x:f>IF(NOT(ISNUMBER(G365)),"待定",IF(G365&lt;1,"固定基底候选","参与浓度设计"))</x:f>
        <x:v>待定</x:v>
      </x:c>
      <x:c r="I365" s="5" t="str">
        <x:f>"否"</x:f>
        <x:v>否</x:v>
      </x:c>
    </x:row>
    <x:row r="366">
      <x:c r="A366" s="5" t="n">
        <x:f>'均值原始浓度'!A366</x:f>
        <x:v>361</x:v>
      </x:c>
      <x:c r="B366" s="5" t="str">
        <x:f>IF('均值原始浓度'!B366="","",'均值原始浓度'!B366)</x:f>
        <x:v>戊酸乙酯（mg·L-1）</x:v>
      </x:c>
      <x:c r="C366" s="5" t="str">
        <x:f>IF('均值原始浓度'!C366="","",'均值原始浓度'!C366)</x:f>
      </x:c>
      <x:c r="D366" s="5" t="n">
        <x:f>COUNT('均值原始浓度'!E366:DM366)</x:f>
        <x:v>2</x:v>
      </x:c>
      <x:c r="E366" s="6" t="n">
        <x:f>IF('均值原始浓度'!D366&gt;0,'均值原始浓度'!D366,"")</x:f>
        <x:v>26.8</x:v>
      </x:c>
      <x:c r="F366" s="6" t="n">
        <x:f>IF(D366=0,"",AVERAGE('均值原始浓度'!E366:DM366))</x:f>
        <x:v>137.10500000000002</x:v>
      </x:c>
      <x:c r="G366" s="6" t="n">
        <x:f>IF(AND(D366&gt;0,ISNUMBER(E366),E366&gt;0),F366/E366,"")</x:f>
        <x:v>5.115858208955224</x:v>
      </x:c>
      <x:c r="H366" s="5" t="str">
        <x:f>IF(NOT(ISNUMBER(G366)),"待定",IF(G366&lt;1,"固定基底候选","参与浓度设计"))</x:f>
        <x:v>参与浓度设计</x:v>
      </x:c>
      <x:c r="I366" s="5" t="str">
        <x:f>"否"</x:f>
        <x:v>否</x:v>
      </x:c>
    </x:row>
    <x:row r="367">
      <x:c r="A367" s="5" t="n">
        <x:f>'均值原始浓度'!A367</x:f>
        <x:v>362</x:v>
      </x:c>
      <x:c r="B367" s="5" t="str">
        <x:f>IF('均值原始浓度'!B367="","",'均值原始浓度'!B367)</x:f>
        <x:v>正丁醇1-butanol</x:v>
      </x:c>
      <x:c r="C367" s="5" t="str">
        <x:f>IF('均值原始浓度'!C367="","",'均值原始浓度'!C367)</x:f>
      </x:c>
      <x:c r="D367" s="5" t="n">
        <x:f>COUNT('均值原始浓度'!E367:DM367)</x:f>
        <x:v>0</x:v>
      </x:c>
      <x:c r="E367" s="6" t="n">
        <x:f>IF('均值原始浓度'!D367&gt;0,'均值原始浓度'!D367,"")</x:f>
        <x:v>2733</x:v>
      </x:c>
      <x:c r="F367" s="6" t="str">
        <x:f>IF(D367=0,"",AVERAGE('均值原始浓度'!E367:DM367))</x:f>
      </x:c>
      <x:c r="G367" s="6" t="str">
        <x:f>IF(AND(D367&gt;0,ISNUMBER(E367),E367&gt;0),F367/E367,"")</x:f>
      </x:c>
      <x:c r="H367" s="5" t="str">
        <x:f>IF(NOT(ISNUMBER(G367)),"待定",IF(G367&lt;1,"固定基底候选","参与浓度设计"))</x:f>
        <x:v>待定</x:v>
      </x:c>
      <x:c r="I367" s="5" t="str">
        <x:f>"否"</x:f>
        <x:v>否</x:v>
      </x:c>
    </x:row>
    <x:row r="368">
      <x:c r="A368" s="5" t="n">
        <x:f>'均值原始浓度'!A368</x:f>
        <x:v>363</x:v>
      </x:c>
      <x:c r="B368" s="5" t="str">
        <x:f>IF('均值原始浓度'!B368="","",'均值原始浓度'!B368)</x:f>
        <x:v>正丙醇1-propanol</x:v>
      </x:c>
      <x:c r="C368" s="5" t="str">
        <x:f>IF('均值原始浓度'!C368="","",'均值原始浓度'!C368)</x:f>
      </x:c>
      <x:c r="D368" s="5" t="n">
        <x:f>COUNT('均值原始浓度'!E368:DM368)</x:f>
        <x:v>0</x:v>
      </x:c>
      <x:c r="E368" s="6" t="n">
        <x:f>IF('均值原始浓度'!D368&gt;0,'均值原始浓度'!D368,"")</x:f>
        <x:v>109000</x:v>
      </x:c>
      <x:c r="F368" s="6" t="str">
        <x:f>IF(D368=0,"",AVERAGE('均值原始浓度'!E368:DM368))</x:f>
      </x:c>
      <x:c r="G368" s="6" t="str">
        <x:f>IF(AND(D368&gt;0,ISNUMBER(E368),E368&gt;0),F368/E368,"")</x:f>
      </x:c>
      <x:c r="H368" s="5" t="str">
        <x:f>IF(NOT(ISNUMBER(G368)),"待定",IF(G368&lt;1,"固定基底候选","参与浓度设计"))</x:f>
        <x:v>待定</x:v>
      </x:c>
      <x:c r="I368" s="5" t="str">
        <x:f>"否"</x:f>
        <x:v>否</x:v>
      </x:c>
    </x:row>
    <x:row r="369">
      <x:c r="A369" s="5" t="n">
        <x:f>'均值原始浓度'!A369</x:f>
        <x:v>364</x:v>
      </x:c>
      <x:c r="B369" s="5" t="str">
        <x:f>IF('均值原始浓度'!B369="","",'均值原始浓度'!B369)</x:f>
        <x:v>正己醇1-hexanol</x:v>
      </x:c>
      <x:c r="C369" s="5" t="str">
        <x:f>IF('均值原始浓度'!C369="","",'均值原始浓度'!C369)</x:f>
      </x:c>
      <x:c r="D369" s="5" t="n">
        <x:f>COUNT('均值原始浓度'!E369:DM369)</x:f>
        <x:v>0</x:v>
      </x:c>
      <x:c r="E369" s="6" t="n">
        <x:f>IF('均值原始浓度'!D369&gt;0,'均值原始浓度'!D369,"")</x:f>
        <x:v>5370</x:v>
      </x:c>
      <x:c r="F369" s="6" t="str">
        <x:f>IF(D369=0,"",AVERAGE('均值原始浓度'!E369:DM369))</x:f>
      </x:c>
      <x:c r="G369" s="6" t="str">
        <x:f>IF(AND(D369&gt;0,ISNUMBER(E369),E369&gt;0),F369/E369,"")</x:f>
      </x:c>
      <x:c r="H369" s="5" t="str">
        <x:f>IF(NOT(ISNUMBER(G369)),"待定",IF(G369&lt;1,"固定基底候选","参与浓度设计"))</x:f>
        <x:v>待定</x:v>
      </x:c>
      <x:c r="I369" s="5" t="str">
        <x:f>"否"</x:f>
        <x:v>否</x:v>
      </x:c>
    </x:row>
    <x:row r="370">
      <x:c r="A370" s="5" t="n">
        <x:f>'均值原始浓度'!A370</x:f>
        <x:v>365</x:v>
      </x:c>
      <x:c r="B370" s="5" t="str">
        <x:f>IF('均值原始浓度'!B370="","",'均值原始浓度'!B370)</x:f>
        <x:v>正辛醇1-octanol</x:v>
      </x:c>
      <x:c r="C370" s="5" t="str">
        <x:f>IF('均值原始浓度'!C370="","",'均值原始浓度'!C370)</x:f>
      </x:c>
      <x:c r="D370" s="5" t="n">
        <x:f>COUNT('均值原始浓度'!E370:DM370)</x:f>
        <x:v>0</x:v>
      </x:c>
      <x:c r="E370" s="6" t="str">
        <x:f>IF('均值原始浓度'!D370&gt;0,'均值原始浓度'!D370,"")</x:f>
      </x:c>
      <x:c r="F370" s="6" t="str">
        <x:f>IF(D370=0,"",AVERAGE('均值原始浓度'!E370:DM370))</x:f>
      </x:c>
      <x:c r="G370" s="6" t="str">
        <x:f>IF(AND(D370&gt;0,ISNUMBER(E370),E370&gt;0),F370/E370,"")</x:f>
      </x:c>
      <x:c r="H370" s="5" t="str">
        <x:f>IF(NOT(ISNUMBER(G370)),"待定",IF(G370&lt;1,"固定基底候选","参与浓度设计"))</x:f>
        <x:v>待定</x:v>
      </x:c>
      <x:c r="I370" s="5" t="str">
        <x:f>"否"</x:f>
        <x:v>否</x:v>
      </x:c>
    </x:row>
    <x:row r="371">
      <x:c r="A371" s="5" t="n">
        <x:f>'均值原始浓度'!A371</x:f>
        <x:v>366</x:v>
      </x:c>
      <x:c r="B371" s="5" t="str">
        <x:f>IF('均值原始浓度'!B371="","",'均值原始浓度'!B371)</x:f>
        <x:v>甲醚</x:v>
      </x:c>
      <x:c r="C371" s="5" t="str">
        <x:f>IF('均值原始浓度'!C371="","",'均值原始浓度'!C371)</x:f>
      </x:c>
      <x:c r="D371" s="5" t="n">
        <x:f>COUNT('均值原始浓度'!E371:DM371)</x:f>
        <x:v>4</x:v>
      </x:c>
      <x:c r="E371" s="6" t="str">
        <x:f>IF('均值原始浓度'!D371&gt;0,'均值原始浓度'!D371,"")</x:f>
      </x:c>
      <x:c r="F371" s="6" t="n">
        <x:f>IF(D371=0,"",AVERAGE('均值原始浓度'!E371:DM371))</x:f>
        <x:v>1376.915</x:v>
      </x:c>
      <x:c r="G371" s="6" t="str">
        <x:f>IF(AND(D371&gt;0,ISNUMBER(E371),E371&gt;0),F371/E371,"")</x:f>
      </x:c>
      <x:c r="H371" s="5" t="str">
        <x:f>IF(NOT(ISNUMBER(G371)),"待定",IF(G371&lt;1,"固定基底候选","参与浓度设计"))</x:f>
        <x:v>待定</x:v>
      </x:c>
      <x:c r="I371" s="5" t="str">
        <x:f>"否"</x:f>
        <x:v>否</x:v>
      </x:c>
    </x:row>
    <x:row r="372">
      <x:c r="A372" s="5" t="n">
        <x:f>'均值原始浓度'!A372</x:f>
        <x:v>367</x:v>
      </x:c>
      <x:c r="B372" s="5" t="str">
        <x:f>IF('均值原始浓度'!B372="","",'均值原始浓度'!B372)</x:f>
        <x:v>苯乙烯</x:v>
      </x:c>
      <x:c r="C372" s="5" t="str">
        <x:f>IF('均值原始浓度'!C372="","",'均值原始浓度'!C372)</x:f>
      </x:c>
      <x:c r="D372" s="5" t="n">
        <x:f>COUNT('均值原始浓度'!E372:DM372)</x:f>
        <x:v>1</x:v>
      </x:c>
      <x:c r="E372" s="6" t="str">
        <x:f>IF('均值原始浓度'!D372&gt;0,'均值原始浓度'!D372,"")</x:f>
      </x:c>
      <x:c r="F372" s="6" t="n">
        <x:f>IF(D372=0,"",AVERAGE('均值原始浓度'!E372:DM372))</x:f>
        <x:v>26.77</x:v>
      </x:c>
      <x:c r="G372" s="6" t="str">
        <x:f>IF(AND(D372&gt;0,ISNUMBER(E372),E372&gt;0),F372/E372,"")</x:f>
      </x:c>
      <x:c r="H372" s="5" t="str">
        <x:f>IF(NOT(ISNUMBER(G372)),"待定",IF(G372&lt;1,"固定基底候选","参与浓度设计"))</x:f>
        <x:v>待定</x:v>
      </x:c>
      <x:c r="I372" s="5" t="str">
        <x:f>"否"</x:f>
        <x:v>否</x:v>
      </x:c>
    </x:row>
    <x:row r="373">
      <x:c r="A373" s="5" t="n">
        <x:f>'均值原始浓度'!A373</x:f>
        <x:v>368</x:v>
      </x:c>
      <x:c r="B373" s="5" t="str">
        <x:f>IF('均值原始浓度'!B373="","",'均值原始浓度'!B373)</x:f>
        <x:v>苯乙醛二乙缩醛</x:v>
      </x:c>
      <x:c r="C373" s="5" t="str">
        <x:f>IF('均值原始浓度'!C373="","",'均值原始浓度'!C373)</x:f>
      </x:c>
      <x:c r="D373" s="5" t="n">
        <x:f>COUNT('均值原始浓度'!E373:DM373)</x:f>
        <x:v>4</x:v>
      </x:c>
      <x:c r="E373" s="6" t="str">
        <x:f>IF('均值原始浓度'!D373&gt;0,'均值原始浓度'!D373,"")</x:f>
      </x:c>
      <x:c r="F373" s="6" t="n">
        <x:f>IF(D373=0,"",AVERAGE('均值原始浓度'!E373:DM373))</x:f>
        <x:v>153.57750000000001</x:v>
      </x:c>
      <x:c r="G373" s="6" t="str">
        <x:f>IF(AND(D373&gt;0,ISNUMBER(E373),E373&gt;0),F373/E373,"")</x:f>
      </x:c>
      <x:c r="H373" s="5" t="str">
        <x:f>IF(NOT(ISNUMBER(G373)),"待定",IF(G373&lt;1,"固定基底候选","参与浓度设计"))</x:f>
        <x:v>待定</x:v>
      </x:c>
      <x:c r="I373" s="5" t="str">
        <x:f>"否"</x:f>
        <x:v>否</x:v>
      </x:c>
    </x:row>
    <x:row r="374">
      <x:c r="A374" s="5" t="n">
        <x:f>'均值原始浓度'!A374</x:f>
        <x:v>369</x:v>
      </x:c>
      <x:c r="B374" s="5" t="str">
        <x:f>IF('均值原始浓度'!B374="","",'均值原始浓度'!B374)</x:f>
        <x:v>辛酸-3-甲基丁</x:v>
      </x:c>
      <x:c r="C374" s="5" t="str">
        <x:f>IF('均值原始浓度'!C374="","",'均值原始浓度'!C374)</x:f>
      </x:c>
      <x:c r="D374" s="5" t="n">
        <x:f>COUNT('均值原始浓度'!E374:DM374)</x:f>
        <x:v>2</x:v>
      </x:c>
      <x:c r="E374" s="6" t="str">
        <x:f>IF('均值原始浓度'!D374&gt;0,'均值原始浓度'!D374,"")</x:f>
      </x:c>
      <x:c r="F374" s="6" t="n">
        <x:f>IF(D374=0,"",AVERAGE('均值原始浓度'!E374:DM374))</x:f>
        <x:v>802.085</x:v>
      </x:c>
      <x:c r="G374" s="6" t="str">
        <x:f>IF(AND(D374&gt;0,ISNUMBER(E374),E374&gt;0),F374/E374,"")</x:f>
      </x:c>
      <x:c r="H374" s="5" t="str">
        <x:f>IF(NOT(ISNUMBER(G374)),"待定",IF(G374&lt;1,"固定基底候选","参与浓度设计"))</x:f>
        <x:v>待定</x:v>
      </x:c>
      <x:c r="I374" s="5" t="str">
        <x:f>"否"</x:f>
        <x:v>否</x:v>
      </x:c>
    </x:row>
    <x:row r="375">
      <x:c r="A375" s="5" t="n">
        <x:f>'均值原始浓度'!A375</x:f>
        <x:v>370</x:v>
      </x:c>
      <x:c r="B375" s="5" t="str">
        <x:f>IF('均值原始浓度'!B375="","",'均值原始浓度'!B375)</x:f>
        <x:v>辛酸-3-甲基丁酯（μg·L-1）</x:v>
      </x:c>
      <x:c r="C375" s="5" t="str">
        <x:f>IF('均值原始浓度'!C375="","",'均值原始浓度'!C375)</x:f>
      </x:c>
      <x:c r="D375" s="5" t="n">
        <x:f>COUNT('均值原始浓度'!E375:DM375)</x:f>
        <x:v>2</x:v>
      </x:c>
      <x:c r="E375" s="6" t="str">
        <x:f>IF('均值原始浓度'!D375&gt;0,'均值原始浓度'!D375,"")</x:f>
      </x:c>
      <x:c r="F375" s="6" t="n">
        <x:f>IF(D375=0,"",AVERAGE('均值原始浓度'!E375:DM375))</x:f>
        <x:v>384.065</x:v>
      </x:c>
      <x:c r="G375" s="6" t="str">
        <x:f>IF(AND(D375&gt;0,ISNUMBER(E375),E375&gt;0),F375/E375,"")</x:f>
      </x:c>
      <x:c r="H375" s="5" t="str">
        <x:f>IF(NOT(ISNUMBER(G375)),"待定",IF(G375&lt;1,"固定基底候选","参与浓度设计"))</x:f>
        <x:v>待定</x:v>
      </x:c>
      <x:c r="I375" s="5" t="str">
        <x:f>"否"</x:f>
        <x:v>否</x:v>
      </x:c>
    </x:row>
    <x:row r="376">
      <x:c r="A376" s="5" t="n">
        <x:f>'均值原始浓度'!A376</x:f>
        <x:v>371</x:v>
      </x:c>
      <x:c r="B376" s="5" t="str">
        <x:f>IF('均值原始浓度'!B376="","",'均值原始浓度'!B376)</x:f>
        <x:v>辛酸乙酯（mg·L-1）</x:v>
      </x:c>
      <x:c r="C376" s="5" t="str">
        <x:f>IF('均值原始浓度'!C376="","",'均值原始浓度'!C376)</x:f>
      </x:c>
      <x:c r="D376" s="5" t="n">
        <x:f>COUNT('均值原始浓度'!E376:DM376)</x:f>
        <x:v>2</x:v>
      </x:c>
      <x:c r="E376" s="6" t="n">
        <x:f>IF('均值原始浓度'!D376&gt;0,'均值原始浓度'!D376,"")</x:f>
        <x:v>12.9</x:v>
      </x:c>
      <x:c r="F376" s="6" t="n">
        <x:f>IF(D376=0,"",AVERAGE('均值原始浓度'!E376:DM376))</x:f>
        <x:v>162.51</x:v>
      </x:c>
      <x:c r="G376" s="6" t="n">
        <x:f>IF(AND(D376&gt;0,ISNUMBER(E376),E376&gt;0),F376/E376,"")</x:f>
        <x:v>12.597674418604651</x:v>
      </x:c>
      <x:c r="H376" s="5" t="str">
        <x:f>IF(NOT(ISNUMBER(G376)),"待定",IF(G376&lt;1,"固定基底候选","参与浓度设计"))</x:f>
        <x:v>参与浓度设计</x:v>
      </x:c>
      <x:c r="I376" s="5" t="str">
        <x:f>"否"</x:f>
        <x:v>否</x:v>
      </x:c>
    </x:row>
    <x:row r="377">
      <x:c r="A377" s="5" t="n">
        <x:f>'均值原始浓度'!A377</x:f>
        <x:v>372</x:v>
      </x:c>
      <x:c r="B377" s="5" t="str">
        <x:f>IF('均值原始浓度'!B377="","",'均值原始浓度'!B377)</x:f>
        <x:v>辛酸（mg·L-1）</x:v>
      </x:c>
      <x:c r="C377" s="5" t="str">
        <x:f>IF('均值原始浓度'!C377="","",'均值原始浓度'!C377)</x:f>
      </x:c>
      <x:c r="D377" s="5" t="n">
        <x:f>COUNT('均值原始浓度'!E377:DM377)</x:f>
        <x:v>2</x:v>
      </x:c>
      <x:c r="E377" s="6" t="n">
        <x:f>IF('均值原始浓度'!D377&gt;0,'均值原始浓度'!D377,"")</x:f>
        <x:v>2700</x:v>
      </x:c>
      <x:c r="F377" s="6" t="n">
        <x:f>IF(D377=0,"",AVERAGE('均值原始浓度'!E377:DM377))</x:f>
        <x:v>27.14</x:v>
      </x:c>
      <x:c r="G377" s="6" t="n">
        <x:f>IF(AND(D377&gt;0,ISNUMBER(E377),E377&gt;0),F377/E377,"")</x:f>
        <x:v>0.010051851851851852</x:v>
      </x:c>
      <x:c r="H377" s="5" t="str">
        <x:f>IF(NOT(ISNUMBER(G377)),"待定",IF(G377&lt;1,"固定基底候选","参与浓度设计"))</x:f>
        <x:v>固定基底候选</x:v>
      </x:c>
      <x:c r="I377" s="5" t="str">
        <x:f>"否"</x:f>
        <x:v>否</x:v>
      </x:c>
    </x:row>
    <x:row r="378">
      <x:c r="A378" s="5" t="n">
        <x:f>'均值原始浓度'!A378</x:f>
        <x:v>373</x:v>
      </x:c>
      <x:c r="B378" s="5" t="str">
        <x:f>IF('均值原始浓度'!B378="","",'均值原始浓度'!B378)</x:f>
        <x:v>（2，2-二乙氧基乙基）-苯</x:v>
      </x:c>
      <x:c r="C378" s="5" t="str">
        <x:f>IF('均值原始浓度'!C378="","",'均值原始浓度'!C378)</x:f>
      </x:c>
      <x:c r="D378" s="5" t="n">
        <x:f>COUNT('均值原始浓度'!E378:DM378)</x:f>
        <x:v>4</x:v>
      </x:c>
      <x:c r="E378" s="6" t="n">
        <x:f>IF('均值原始浓度'!D378&gt;0,'均值原始浓度'!D378,"")</x:f>
        <x:v>2706.87</x:v>
      </x:c>
      <x:c r="F378" s="6" t="n">
        <x:f>IF(D378=0,"",AVERAGE('均值原始浓度'!E378:DM378))</x:f>
        <x:v>3.4325</x:v>
      </x:c>
      <x:c r="G378" s="6" t="n">
        <x:f>IF(AND(D378&gt;0,ISNUMBER(E378),E378&gt;0),F378/E378,"")</x:f>
        <x:v>0.0012680697632320725</x:v>
      </x:c>
      <x:c r="H378" s="5" t="str">
        <x:f>IF(NOT(ISNUMBER(G378)),"待定",IF(G378&lt;1,"固定基底候选","参与浓度设计"))</x:f>
        <x:v>固定基底候选</x:v>
      </x:c>
      <x:c r="I378" s="5" t="str">
        <x:f>"否"</x:f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617809a9f63844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"/>
      <x:c r="B1" s="5"/>
      <x:c r="C1" s="5"/>
      <x:c r="D1" s="5"/>
      <x:c r="E1" s="5"/>
      <x:c r="F1" s="5"/>
    </x:row>
    <x:row r="2">
      <x:c r="A2" s="5" t="str">
        <x:v>所有350个嗅闻样品固定加入以下两种物质（按平均浓度暂定）</x:v>
      </x:c>
      <x:c r="B2" s="5"/>
      <x:c r="C2" s="5"/>
      <x:c r="D2" s="5"/>
      <x:c r="E2" s="5"/>
      <x:c r="F2" s="5"/>
    </x:row>
    <x:row r="3">
      <x:c r="A3" s="5"/>
      <x:c r="B3" s="5"/>
      <x:c r="C3" s="5"/>
      <x:c r="D3" s="5"/>
      <x:c r="E3" s="5"/>
      <x:c r="F3" s="5"/>
    </x:row>
    <x:row r="4">
      <x:c r="A4" s="5" t="str">
        <x:v>每瓶最终体积mL</x:v>
      </x:c>
      <x:c r="B4" s="18" t="n">
        <x:v>20</x:v>
      </x:c>
      <x:c r="C4" s="5"/>
      <x:c r="D4" s="5"/>
      <x:c r="E4" s="5"/>
      <x:c r="F4" s="5"/>
    </x:row>
    <x:row r="5">
      <x:c r="A5" s="5"/>
      <x:c r="B5" s="5"/>
      <x:c r="C5" s="5"/>
      <x:c r="D5" s="5"/>
      <x:c r="E5" s="5"/>
      <x:c r="F5" s="5"/>
    </x:row>
    <x:row r="6" ht="38" customHeight="1">
      <x:c r="A6" s="17" t="str">
        <x:v>Order ID</x:v>
      </x:c>
      <x:c r="B6" s="17" t="str">
        <x:v>化合物</x:v>
      </x:c>
      <x:c r="C6" s="17" t="str">
        <x:v>固定浓度μg/L</x:v>
      </x:c>
      <x:c r="D6" s="17" t="str">
        <x:v>平均OAV</x:v>
      </x:c>
      <x:c r="E6" s="17" t="str">
        <x:v>每瓶纯组分质量μg</x:v>
      </x:c>
      <x:c r="F6" s="17" t="str">
        <x:v>350瓶合计质量mg</x:v>
      </x:c>
    </x:row>
    <x:row r="7">
      <x:c r="A7" s="5" t="n">
        <x:f>'平均值OAV_全库'!A15</x:f>
        <x:v>10</x:v>
      </x:c>
      <x:c r="B7" s="5" t="str">
        <x:f>'平均值OAV_全库'!B15</x:f>
        <x:v>1-丙醇</x:v>
      </x:c>
      <x:c r="C7" s="6" t="n">
        <x:f>'平均值OAV_全库'!F15</x:f>
        <x:v>92796.92267241378</x:v>
      </x:c>
      <x:c r="D7" s="6" t="n">
        <x:f>'平均值OAV_全库'!G15</x:f>
        <x:v>0.8513479144258146</x:v>
      </x:c>
      <x:c r="E7" s="6" t="n">
        <x:f>C7*$B$4/1000</x:f>
        <x:v>1855.9384534482756</x:v>
      </x:c>
      <x:c r="F7" s="6" t="n">
        <x:f>E7*350/1000</x:f>
        <x:v>649.5784587068964</x:v>
      </x:c>
    </x:row>
    <x:row r="8">
      <x:c r="A8" s="5" t="n">
        <x:f>'平均值OAV_全库'!A115</x:f>
        <x:v>110</x:v>
      </x:c>
      <x:c r="B8" s="5" t="str">
        <x:f>'平均值OAV_全库'!B115</x:f>
        <x:v>3-甲基-1-丁醇（异戊醇）</x:v>
      </x:c>
      <x:c r="C8" s="6" t="n">
        <x:f>'平均值OAV_全库'!F115</x:f>
        <x:v>104175.5097553192</x:v>
      </x:c>
      <x:c r="D8" s="6" t="n">
        <x:f>'平均值OAV_全库'!G115</x:f>
        <x:v>0.5813657480304212</x:v>
      </x:c>
      <x:c r="E8" s="6" t="n">
        <x:f>C8*$B$4/1000</x:f>
        <x:v>2083.510195106384</x:v>
      </x:c>
      <x:c r="F8" s="6" t="n">
        <x:f>E8*350/1000</x:f>
        <x:v>729.2285682872345</x:v>
      </x:c>
    </x:row>
    <x:row r="9">
      <x:c r="A9" s="5"/>
      <x:c r="B9" s="5"/>
      <x:c r="C9" s="5"/>
      <x:c r="D9" s="5"/>
      <x:c r="E9" s="5"/>
      <x:c r="F9" s="5"/>
    </x:row>
    <x:row r="10" ht="42" customHeight="1">
      <x:c r="A10" s="5" t="str">
        <x:v>基底范围</x:v>
      </x:c>
      <x:c r="B10" s="12" t="str">
        <x:v>当前41种中的两种；全库另外60行未加入。</x:v>
      </x:c>
      <x:c r="C10" s="5"/>
      <x:c r="D10" s="5"/>
      <x:c r="E10" s="5"/>
      <x:c r="F10" s="5"/>
    </x:row>
    <x:row r="11" ht="42" customHeight="1">
      <x:c r="A11" s="5" t="str">
        <x:v>最终乙醇度</x:v>
      </x:c>
      <x:c r="B11" s="12" t="str">
        <x:v>沿用目标53%（v/v），母液与补液需共同核算；此表不是移液体积单。</x:v>
      </x:c>
      <x:c r="C11" s="5"/>
      <x:c r="D11" s="5"/>
      <x:c r="E11" s="5"/>
      <x:c r="F11" s="5"/>
    </x:row>
    <x:row r="12" ht="42" customHeight="1">
      <x:c r="A12" s="5" t="str">
        <x:v>对照</x:v>
      </x:c>
      <x:c r="B12" s="12" t="str">
        <x:v>4个原空白已改为基底对照，也加入这两种物质。</x:v>
      </x:c>
      <x:c r="C12" s="5"/>
      <x:c r="D12" s="5"/>
      <x:c r="E12" s="5"/>
      <x:c r="F12" s="5"/>
    </x:row>
    <x:row r="13" ht="42" customHeight="1">
      <x:c r="A13" s="5" t="str">
        <x:v>最终成分数</x:v>
      </x:c>
      <x:c r="B13" s="12" t="str">
        <x:v>普通样品=4种可变物质+2种固定基底=6种；基底对照=2种。</x:v>
      </x:c>
      <x:c r="C13" s="5"/>
      <x:c r="D13" s="5"/>
      <x:c r="E13" s="5"/>
      <x:c r="F13" s="5"/>
    </x:row>
    <x:row r="14" ht="42" customHeight="1">
      <x:c r="A14" s="5" t="str">
        <x:v>质量含义</x:v>
      </x:c>
      <x:c r="B14" s="12" t="str">
        <x:v>所列质量为纯化合物需求量，未含纯度修正、损耗和额外预试。</x:v>
      </x:c>
      <x:c r="C14" s="5"/>
      <x:c r="D14" s="5"/>
      <x:c r="E14" s="5"/>
      <x:c r="F14" s="5"/>
    </x:row>
    <x:row r="15" ht="42" customHeight="1">
      <x:c r="A15" s="5" t="str">
        <x:v>解释</x:v>
      </x:c>
      <x:c r="B15" s="12" t="str">
        <x:v>平均OAV&lt;1是用户设计规则，不代表物质在混合物中一定没有感官作用。</x:v>
      </x:c>
      <x:c r="C15" s="5"/>
      <x:c r="D15" s="5"/>
      <x:c r="E15" s="5"/>
      <x:c r="F15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22" hidden="0" customWidth="1"/>
    <x:col min="111" max="111" width="22" hidden="0" customWidth="1"/>
    <x:col min="112" max="112" width="22" hidden="0" customWidth="1"/>
    <x:col min="113" max="113" width="22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</x:cols>
  <x:sheetData>
    <x:row r="2">
      <x:c r="A2" t="str">
        <x:v>来源：all-data浓香型数据库.xlsx/all data；阈值沿用周表；113个浓度列，空白不计入均值，真实零计入；不按文献加权，不合并同CAS多行。</x:v>
      </x:c>
    </x:row>
    <x:row r="5" ht="40" customHeight="1">
      <x:c r="A5" s="17" t="str">
        <x:v>Order ID</x:v>
      </x:c>
      <x:c r="B5" s="17" t="str">
        <x:v>中文名称</x:v>
      </x:c>
      <x:c r="C5" s="17" t="str">
        <x:v>CAS</x:v>
      </x:c>
      <x:c r="D5" s="17" t="str">
        <x:v>周表阈值(μg/L)</x:v>
      </x:c>
      <x:c r="E5" s="17" t="str">
        <x:v>1  GJ-1573 (μg/L)</x:v>
      </x:c>
      <x:c r="F5" s="17" t="str">
        <x:v>1  LZ-2016 base SAB (μg/L)</x:v>
      </x:c>
      <x:c r="G5" s="17" t="str">
        <x:v>2  Y1 (μg/L)</x:v>
      </x:c>
      <x:c r="H5" s="17" t="str">
        <x:v>2  Y3 (μg/L)</x:v>
      </x:c>
      <x:c r="I5" s="17" t="str">
        <x:v>2  Y5 (μg/L)</x:v>
      </x:c>
      <x:c r="J5" s="17" t="str">
        <x:v>2  Y8 (μg/L)</x:v>
      </x:c>
      <x:c r="K5" s="17" t="str">
        <x:v>2  Y11 (μg/L)</x:v>
      </x:c>
      <x:c r="L5" s="17" t="str">
        <x:v>3  LZLJ-M7 (μg/L)</x:v>
      </x:c>
      <x:c r="M5" s="17" t="str">
        <x:v>3  LZLJ-T7 (μg/L)</x:v>
      </x:c>
      <x:c r="N5" s="17" t="str">
        <x:v>5  Blank (μg/L)</x:v>
      </x:c>
      <x:c r="O5" s="17" t="str">
        <x:v>5  F1 (μg/L)</x:v>
      </x:c>
      <x:c r="P5" s="17" t="str">
        <x:v>5  F3 (μg/L)</x:v>
      </x:c>
      <x:c r="Q5" s="17" t="str">
        <x:v>5  S1 (μg/L)</x:v>
      </x:c>
      <x:c r="R5" s="17" t="str">
        <x:v>5  S2 (F3) (μg/L)</x:v>
      </x:c>
      <x:c r="S5" s="17" t="str">
        <x:v>5  S3 (μg/L)</x:v>
      </x:c>
      <x:c r="T5" s="17" t="str">
        <x:v>7  GJG (μg/L)</x:v>
      </x:c>
      <x:c r="U5" s="17" t="str">
        <x:v>7  LZ (μg/L)</x:v>
      </x:c>
      <x:c r="V5" s="17" t="str">
        <x:v>8  H (μg/L)</x:v>
      </x:c>
      <x:c r="W5" s="17" t="str">
        <x:v>9  1 (μg/L)</x:v>
      </x:c>
      <x:c r="X5" s="17" t="str">
        <x:v>9  2 (μg/L)</x:v>
      </x:c>
      <x:c r="Y5" s="17" t="str">
        <x:v>9  3 (μg/L)</x:v>
      </x:c>
      <x:c r="Z5" s="17" t="str">
        <x:v>9  4 (μg/L)</x:v>
      </x:c>
      <x:c r="AA5" s="17" t="str">
        <x:v>9  5 (μg/L)</x:v>
      </x:c>
      <x:c r="AB5" s="17" t="str">
        <x:v>9  6 (μg/L)</x:v>
      </x:c>
      <x:c r="AC5" s="17" t="str">
        <x:v>9  7 (μg/L)</x:v>
      </x:c>
      <x:c r="AD5" s="17" t="str">
        <x:v>9  8 (μg/L)</x:v>
      </x:c>
      <x:c r="AE5" s="17" t="str">
        <x:v>10  A (μg/L)</x:v>
      </x:c>
      <x:c r="AF5" s="17" t="str">
        <x:v>10  B (μg/L)</x:v>
      </x:c>
      <x:c r="AG5" s="17" t="str">
        <x:v>10  c (μg/L)</x:v>
      </x:c>
      <x:c r="AH5" s="17" t="str">
        <x:v>11  CJ (μg/L)</x:v>
      </x:c>
      <x:c r="AI5" s="17" t="str">
        <x:v>11  DJ (μg/L)</x:v>
      </x:c>
      <x:c r="AJ5" s="17" t="str">
        <x:v>11  LJ (μg/L)</x:v>
      </x:c>
      <x:c r="AK5" s="17" t="str">
        <x:v>12  B (μg/L)</x:v>
      </x:c>
      <x:c r="AL5" s="17" t="str">
        <x:v>12  C (μg/L)</x:v>
      </x:c>
      <x:c r="AM5" s="17" t="str">
        <x:v>14  洋河大曲 (μg/L)</x:v>
      </x:c>
      <x:c r="AN5" s="17" t="str">
        <x:v>14  牛栏山 (μg/L)</x:v>
      </x:c>
      <x:c r="AO5" s="17" t="str">
        <x:v>14  红星二锅头 (μg/L)</x:v>
      </x:c>
      <x:c r="AP5" s="17" t="str">
        <x:v>14  银装青酒 (μg/L)</x:v>
      </x:c>
      <x:c r="AQ5" s="17" t="str">
        <x:v>15  X1 (μg/L)</x:v>
      </x:c>
      <x:c r="AR5" s="17" t="str">
        <x:v>15  X3 (μg/L)</x:v>
      </x:c>
      <x:c r="AS5" s="17" t="str">
        <x:v>15  X5 (μg/L)</x:v>
      </x:c>
      <x:c r="AT5" s="17" t="str">
        <x:v>15  X8 (μg/L)</x:v>
      </x:c>
      <x:c r="AU5" s="17" t="str">
        <x:v>16  LZ/ (μg/L)</x:v>
      </x:c>
      <x:c r="AV5" s="17" t="str">
        <x:v>18  JS (μg/L)</x:v>
      </x:c>
      <x:c r="AW5" s="17" t="str">
        <x:v>18  SC1 (μg/L)</x:v>
      </x:c>
      <x:c r="AX5" s="17" t="str">
        <x:v>18  SC2 (μg/L)</x:v>
      </x:c>
      <x:c r="AY5" s="17" t="str">
        <x:v>18  SC3 (μg/L)</x:v>
      </x:c>
      <x:c r="AZ5" s="17" t="str">
        <x:v>19  3 年陈 (μg/L)</x:v>
      </x:c>
      <x:c r="BA5" s="17" t="str">
        <x:v>19  5 年陈 (μg/L)</x:v>
      </x:c>
      <x:c r="BB5" s="17" t="str">
        <x:v>20  GJG (μg/L)</x:v>
      </x:c>
      <x:c r="BC5" s="17" t="str">
        <x:v>20  GRD-1 (μg/L)</x:v>
      </x:c>
      <x:c r="BD5" s="17" t="str">
        <x:v>20  GRD-2 (μg/L)</x:v>
      </x:c>
      <x:c r="BE5" s="17" t="str">
        <x:v>20  GRD-JC (μg/L)</x:v>
      </x:c>
      <x:c r="BF5" s="17" t="str">
        <x:v>20  GRD-PD (μg/L)</x:v>
      </x:c>
      <x:c r="BG5" s="17" t="str">
        <x:v>20  JPLG (μg/L)</x:v>
      </x:c>
      <x:c r="BH5" s="17" t="str">
        <x:v>20  JSY (μg/L)</x:v>
      </x:c>
      <x:c r="BI5" s="17" t="str">
        <x:v>20  LGTQ (μg/L)</x:v>
      </x:c>
      <x:c r="BJ5" s="17" t="str">
        <x:v>20  LZLJ (μg/L)</x:v>
      </x:c>
      <x:c r="BK5" s="17" t="str">
        <x:v>20  TJ-1S (μg/L)</x:v>
      </x:c>
      <x:c r="BL5" s="17" t="str">
        <x:v>20  TJ-2S (μg/L)</x:v>
      </x:c>
      <x:c r="BM5" s="17" t="str">
        <x:v>20  TJ-4S (μg/L)</x:v>
      </x:c>
      <x:c r="BN5" s="17" t="str">
        <x:v>20  TT-2S (μg/L)</x:v>
      </x:c>
      <x:c r="BO5" s="17" t="str">
        <x:v>20  TT-4S (μg/L)</x:v>
      </x:c>
      <x:c r="BP5" s="17" t="str">
        <x:v>20  WLY (μg/L)</x:v>
      </x:c>
      <x:c r="BQ5" s="17" t="str">
        <x:v>22  NX2 (μg/L)</x:v>
      </x:c>
      <x:c r="BR5" s="17" t="str">
        <x:v>22  NX3 (μg/L)</x:v>
      </x:c>
      <x:c r="BS5" s="17" t="str">
        <x:v>22  NX4 (μg/L)</x:v>
      </x:c>
      <x:c r="BT5" s="17" t="str">
        <x:v>22  NX5 (μg/L)</x:v>
      </x:c>
      <x:c r="BU5" s="17" t="str">
        <x:v>22  NX6 (μg/L)</x:v>
      </x:c>
      <x:c r="BV5" s="17" t="str">
        <x:v>22  NX7 (μg/L)</x:v>
      </x:c>
      <x:c r="BW5" s="17" t="str">
        <x:v>22  NX8 (μg/L)</x:v>
      </x:c>
      <x:c r="BX5" s="17" t="str">
        <x:v>22  NX9 (μg/L)</x:v>
      </x:c>
      <x:c r="BY5" s="17" t="str">
        <x:v>22  NX10 (μg/L)</x:v>
      </x:c>
      <x:c r="BZ5" s="17" t="str">
        <x:v>23  n-c-1 (μg/L)</x:v>
      </x:c>
      <x:c r="CA5" s="17" t="str">
        <x:v>23  n-c-2 (μg/L)</x:v>
      </x:c>
      <x:c r="CB5" s="17" t="str">
        <x:v>23  n-d-1994 (μg/L)</x:v>
      </x:c>
      <x:c r="CC5" s="17" t="str">
        <x:v>23  n-d-1997 (μg/L)</x:v>
      </x:c>
      <x:c r="CD5" s="17" t="str">
        <x:v>23  n-d-2000 (μg/L)</x:v>
      </x:c>
      <x:c r="CE5" s="17" t="str">
        <x:v>23  n-d-2007 (μg/L)</x:v>
      </x:c>
      <x:c r="CF5" s="17" t="str">
        <x:v>23  n-d-2011 (μg/L)</x:v>
      </x:c>
      <x:c r="CG5" s="17" t="str">
        <x:v>23  n-g-1 (μg/L)</x:v>
      </x:c>
      <x:c r="CH5" s="17" t="str">
        <x:v>23  n-g-2 (μg/L)</x:v>
      </x:c>
      <x:c r="CI5" s="17" t="str">
        <x:v>23  n-s-2004 (μg/L)</x:v>
      </x:c>
      <x:c r="CJ5" s="17" t="str">
        <x:v>23  n-s-2009 (μg/L)</x:v>
      </x:c>
      <x:c r="CK5" s="17" t="str">
        <x:v>23  n-s-2010 (μg/L)</x:v>
      </x:c>
      <x:c r="CL5" s="17" t="str">
        <x:v>23  n-s-2012 (μg/L)</x:v>
      </x:c>
      <x:c r="CM5" s="17" t="str">
        <x:v>23  浓香型酒 (μg/L)</x:v>
      </x:c>
      <x:c r="CN5" s="17" t="str">
        <x:v>24  41% TZL (μg/L)</x:v>
      </x:c>
      <x:c r="CO5" s="17" t="str">
        <x:v>24  42.6% MZL (μg/L)</x:v>
      </x:c>
      <x:c r="CP5" s="17" t="str">
        <x:v>24  46% TZL (μg/L)</x:v>
      </x:c>
      <x:c r="CQ5" s="17" t="str">
        <x:v>24  52% TZL (μg/L)</x:v>
      </x:c>
      <x:c r="CR5" s="17" t="str">
        <x:v>25  天之蓝-1 (μg/L)</x:v>
      </x:c>
      <x:c r="CS5" s="17" t="str">
        <x:v>25  天之蓝-2 (μg/L)</x:v>
      </x:c>
      <x:c r="CT5" s="17" t="str">
        <x:v>26  微涩组 (μg/L)</x:v>
      </x:c>
      <x:c r="CU5" s="17" t="str">
        <x:v>26  涩味组 (μg/L)</x:v>
      </x:c>
      <x:c r="CV5" s="17" t="str">
        <x:v>26  苦味组 (μg/L)</x:v>
      </x:c>
      <x:c r="CW5" s="17" t="str">
        <x:v>26  较涩组 (μg/L)</x:v>
      </x:c>
      <x:c r="CX5" s="17" t="str">
        <x:v>27  A-G1-L (μg/L)</x:v>
      </x:c>
      <x:c r="CY5" s="17" t="str">
        <x:v>27  A-GJG-H (μg/L)</x:v>
      </x:c>
      <x:c r="CZ5" s="17" t="str">
        <x:v>27  G-J1-H (μg/L)</x:v>
      </x:c>
      <x:c r="DA5" s="17" t="str">
        <x:v>27  G-J1-L (μg/L)</x:v>
      </x:c>
      <x:c r="DB5" s="17" t="str">
        <x:v>27  J-Y1-H (μg/L)</x:v>
      </x:c>
      <x:c r="DC5" s="17" t="str">
        <x:v>27  J-Y1-L (μg/L)</x:v>
      </x:c>
      <x:c r="DD5" s="17" t="str">
        <x:v>27  S-L1-H (μg/L)</x:v>
      </x:c>
      <x:c r="DE5" s="17" t="str">
        <x:v>27  S-L1-L (μg/L)</x:v>
      </x:c>
      <x:c r="DF5" s="17" t="str">
        <x:v>27  S-Y2-H (μg/L)</x:v>
      </x:c>
      <x:c r="DG5" s="17" t="str">
        <x:v>27  S-Y2-L (μg/L)</x:v>
      </x:c>
      <x:c r="DH5" s="17" t="str">
        <x:v>27  S-Y3-H (μg/L)</x:v>
      </x:c>
      <x:c r="DI5" s="17" t="str">
        <x:v>27  S-Y3-L (μg/L)</x:v>
      </x:c>
      <x:c r="DJ5" s="17" t="str">
        <x:v>27  S-Y4-H (μg/L)</x:v>
      </x:c>
      <x:c r="DK5" s="17" t="str">
        <x:v>27  S-Y4-L (μg/L)</x:v>
      </x:c>
      <x:c r="DL5" s="17" t="str">
        <x:v>27  S-Y5-H (μg/L)</x:v>
      </x:c>
      <x:c r="DM5" s="17" t="str">
        <x:v>27  S-Y5-L (μg/L)</x:v>
      </x:c>
    </x:row>
    <x:row r="6">
      <x:c r="A6" s="5" t="n">
        <x:v>1</x:v>
      </x:c>
      <x:c r="B6" s="5" t="str">
        <x:v>乳酸a</x:v>
      </x:c>
      <x:c r="C6" s="5" t="str">
        <x:v>50-21-5</x:v>
      </x:c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 t="n">
        <x:v>1066.93</x:v>
      </x:c>
      <x:c r="BC6" s="5"/>
      <x:c r="BD6" s="5" t="n">
        <x:v>555.62</x:v>
      </x:c>
      <x:c r="BE6" s="5" t="n">
        <x:v>1013</x:v>
      </x:c>
      <x:c r="BF6" s="5" t="n">
        <x:v>721.31</x:v>
      </x:c>
      <x:c r="BG6" s="5" t="n">
        <x:v>617.32</x:v>
      </x:c>
      <x:c r="BH6" s="5" t="n">
        <x:v>1186</x:v>
      </x:c>
      <x:c r="BI6" s="5" t="n">
        <x:v>665.3</x:v>
      </x:c>
      <x:c r="BJ6" s="5" t="n">
        <x:v>691.94</x:v>
      </x:c>
      <x:c r="BK6" s="5" t="n">
        <x:v>544.31</x:v>
      </x:c>
      <x:c r="BL6" s="5" t="n">
        <x:v>297.49</x:v>
      </x:c>
      <x:c r="BM6" s="5" t="n">
        <x:v>337.52</x:v>
      </x:c>
      <x:c r="BN6" s="5" t="n">
        <x:v>180.22</x:v>
      </x:c>
      <x:c r="BO6" s="5" t="n">
        <x:v>248.23</x:v>
      </x:c>
      <x:c r="BP6" s="5" t="n">
        <x:v>936.92</x:v>
      </x:c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  <x:c r="CX6" s="5"/>
      <x:c r="CY6" s="5"/>
      <x:c r="CZ6" s="5"/>
      <x:c r="DA6" s="5"/>
      <x:c r="DB6" s="5"/>
      <x:c r="DC6" s="5"/>
      <x:c r="DD6" s="5"/>
      <x:c r="DE6" s="5"/>
      <x:c r="DF6" s="5"/>
      <x:c r="DG6" s="5"/>
      <x:c r="DH6" s="5"/>
      <x:c r="DI6" s="5"/>
      <x:c r="DJ6" s="5"/>
      <x:c r="DK6" s="5"/>
      <x:c r="DL6" s="5"/>
      <x:c r="DM6" s="5"/>
    </x:row>
    <x:row r="7">
      <x:c r="A7" s="5" t="n">
        <x:v>2</x:v>
      </x:c>
      <x:c r="B7" s="5" t="str">
        <x:v>丙二醇</x:v>
      </x:c>
      <x:c r="C7" s="5" t="str">
        <x:v>57-55-6</x:v>
      </x:c>
      <x:c r="D7" s="5"/>
      <x:c r="E7" s="5"/>
      <x:c r="F7" s="5"/>
      <x:c r="G7" s="5" t="n">
        <x:v>6.06</x:v>
      </x:c>
      <x:c r="H7" s="5" t="n">
        <x:v>2.96</x:v>
      </x:c>
      <x:c r="I7" s="5"/>
      <x:c r="J7" s="5" t="n">
        <x:v>0.63</x:v>
      </x:c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 t="n">
        <x:v>25330</x:v>
      </x:c>
      <x:c r="AH7" s="5"/>
      <x:c r="AI7" s="5"/>
      <x:c r="AJ7" s="5"/>
      <x:c r="AK7" s="5"/>
      <x:c r="AL7" s="5"/>
      <x:c r="AM7" s="5"/>
      <x:c r="AN7" s="5"/>
      <x:c r="AO7" s="5"/>
      <x:c r="AP7" s="5"/>
      <x:c r="AQ7" s="5" t="n">
        <x:v>2.8</x:v>
      </x:c>
      <x:c r="AR7" s="5" t="n">
        <x:v>3.93</x:v>
      </x:c>
      <x:c r="AS7" s="5" t="n">
        <x:v>6.28</x:v>
      </x:c>
      <x:c r="AT7" s="5" t="n">
        <x:v>6.67</x:v>
      </x:c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  <x:c r="CX7" s="5"/>
      <x:c r="CY7" s="5"/>
      <x:c r="CZ7" s="5"/>
      <x:c r="DA7" s="5"/>
      <x:c r="DB7" s="5"/>
      <x:c r="DC7" s="5"/>
      <x:c r="DD7" s="5"/>
      <x:c r="DE7" s="5"/>
      <x:c r="DF7" s="5"/>
      <x:c r="DG7" s="5"/>
      <x:c r="DH7" s="5"/>
      <x:c r="DI7" s="5"/>
      <x:c r="DJ7" s="5"/>
      <x:c r="DK7" s="5"/>
      <x:c r="DL7" s="5"/>
      <x:c r="DM7" s="5"/>
    </x:row>
    <x:row r="8">
      <x:c r="A8" s="5" t="n">
        <x:v>3</x:v>
      </x:c>
      <x:c r="B8" s="5" t="str">
        <x:v>2-苯乙醇</x:v>
      </x:c>
      <x:c r="C8" s="5" t="str">
        <x:v>60-12-8</x:v>
      </x:c>
      <x:c r="D8" s="5" t="n">
        <x:v>28900</x:v>
      </x:c>
      <x:c r="E8" s="5" t="n">
        <x:v>1342</x:v>
      </x:c>
      <x:c r="F8" s="5" t="n">
        <x:v>1808</x:v>
      </x:c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 t="n">
        <x:v>1.9375</x:v>
      </x:c>
      <x:c r="W8" s="5" t="n">
        <x:v>6490</x:v>
      </x:c>
      <x:c r="X8" s="5" t="n">
        <x:v>2910</x:v>
      </x:c>
      <x:c r="Y8" s="5" t="n">
        <x:v>5460</x:v>
      </x:c>
      <x:c r="Z8" s="5" t="n">
        <x:v>7430</x:v>
      </x:c>
      <x:c r="AA8" s="5" t="n">
        <x:v>11200</x:v>
      </x:c>
      <x:c r="AB8" s="5" t="n">
        <x:v>18000</x:v>
      </x:c>
      <x:c r="AC8" s="5" t="n">
        <x:v>21600</x:v>
      </x:c>
      <x:c r="AD8" s="5" t="n">
        <x:v>29500</x:v>
      </x:c>
      <x:c r="AE8" s="5" t="n">
        <x:v>1440</x:v>
      </x:c>
      <x:c r="AF8" s="5" t="n">
        <x:v>3380</x:v>
      </x:c>
      <x:c r="AG8" s="5" t="n">
        <x:v>1560</x:v>
      </x:c>
      <x:c r="AH8" s="5" t="n">
        <x:v>10</x:v>
      </x:c>
      <x:c r="AI8" s="5" t="n">
        <x:v>1.2</x:v>
      </x:c>
      <x:c r="AJ8" s="5" t="n">
        <x:v>52.5</x:v>
      </x:c>
      <x:c r="AK8" s="5" t="n">
        <x:v>2200</x:v>
      </x:c>
      <x:c r="AL8" s="5" t="n">
        <x:v>3370</x:v>
      </x:c>
      <x:c r="AM8" s="5"/>
      <x:c r="AN8" s="5"/>
      <x:c r="AO8" s="5"/>
      <x:c r="AP8" s="5"/>
      <x:c r="AQ8" s="5" t="n">
        <x:v>0.77</x:v>
      </x:c>
      <x:c r="AR8" s="5" t="n">
        <x:v>2.49</x:v>
      </x:c>
      <x:c r="AS8" s="5" t="n">
        <x:v>6.26</x:v>
      </x:c>
      <x:c r="AT8" s="5" t="n">
        <x:v>5.25</x:v>
      </x:c>
      <x:c r="AU8" s="5"/>
      <x:c r="AV8" s="5"/>
      <x:c r="AW8" s="5"/>
      <x:c r="AX8" s="5"/>
      <x:c r="AY8" s="5"/>
      <x:c r="AZ8" s="5" t="n">
        <x:v>141</x:v>
      </x:c>
      <x:c r="BA8" s="5" t="n">
        <x:v>371</x:v>
      </x:c>
      <x:c r="BB8" s="5"/>
      <x:c r="BC8" s="5"/>
      <x:c r="BD8" s="5" t="n">
        <x:v>8.14</x:v>
      </x:c>
      <x:c r="BE8" s="5" t="n">
        <x:v>15.23</x:v>
      </x:c>
      <x:c r="BF8" s="5" t="n">
        <x:v>17.71</x:v>
      </x:c>
      <x:c r="BG8" s="5" t="n">
        <x:v>6.04</x:v>
      </x:c>
      <x:c r="BH8" s="5"/>
      <x:c r="BI8" s="5" t="n">
        <x:v>6.33</x:v>
      </x:c>
      <x:c r="BJ8" s="5"/>
      <x:c r="BK8" s="5" t="n">
        <x:v>30.2</x:v>
      </x:c>
      <x:c r="BL8" s="5" t="n">
        <x:v>25.51</x:v>
      </x:c>
      <x:c r="BM8" s="5" t="n">
        <x:v>30.83</x:v>
      </x:c>
      <x:c r="BN8" s="5" t="n">
        <x:v>19.43</x:v>
      </x:c>
      <x:c r="BO8" s="5" t="n">
        <x:v>28.79</x:v>
      </x:c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 t="n">
        <x:v>87.635</x:v>
      </x:c>
      <x:c r="CA8" s="5" t="n">
        <x:v>57.23</x:v>
      </x:c>
      <x:c r="CB8" s="5" t="n">
        <x:v>623.42</x:v>
      </x:c>
      <x:c r="CC8" s="5" t="n">
        <x:v>342.33</x:v>
      </x:c>
      <x:c r="CD8" s="5" t="n">
        <x:v>780.41</x:v>
      </x:c>
      <x:c r="CE8" s="5" t="n">
        <x:v>510.3</x:v>
      </x:c>
      <x:c r="CF8" s="5" t="n">
        <x:v>214.65</x:v>
      </x:c>
      <x:c r="CG8" s="5" t="n">
        <x:v>274.58</x:v>
      </x:c>
      <x:c r="CH8" s="5" t="n">
        <x:v>255.49</x:v>
      </x:c>
      <x:c r="CI8" s="5" t="n">
        <x:v>419.58</x:v>
      </x:c>
      <x:c r="CJ8" s="5" t="n">
        <x:v>477.43</x:v>
      </x:c>
      <x:c r="CK8" s="5" t="n">
        <x:v>416.47</x:v>
      </x:c>
      <x:c r="CL8" s="5" t="n">
        <x:v>255.57</x:v>
      </x:c>
      <x:c r="CM8" s="5" t="n">
        <x:v>365.87</x:v>
      </x:c>
      <x:c r="CN8" s="5"/>
      <x:c r="CO8" s="5"/>
      <x:c r="CP8" s="5"/>
      <x:c r="CQ8" s="5"/>
      <x:c r="CR8" s="5" t="n">
        <x:v>555.66</x:v>
      </x:c>
      <x:c r="CS8" s="5" t="n">
        <x:v>664.39</x:v>
      </x:c>
      <x:c r="CT8" s="5" t="n">
        <x:v>117.37</x:v>
      </x:c>
      <x:c r="CU8" s="5" t="n">
        <x:v>245.53</x:v>
      </x:c>
      <x:c r="CV8" s="5" t="n">
        <x:v>133.65</x:v>
      </x:c>
      <x:c r="CW8" s="5" t="n">
        <x:v>139.24</x:v>
      </x:c>
      <x:c r="CX8" s="5" t="n">
        <x:v>129.73</x:v>
      </x:c>
      <x:c r="CY8" s="5" t="n">
        <x:v>1488.28</x:v>
      </x:c>
      <x:c r="CZ8" s="5" t="n">
        <x:v>1401.07</x:v>
      </x:c>
      <x:c r="DA8" s="5"/>
      <x:c r="DB8" s="5" t="n">
        <x:v>878.77</x:v>
      </x:c>
      <x:c r="DC8" s="5"/>
      <x:c r="DD8" s="5" t="n">
        <x:v>1791.18</x:v>
      </x:c>
      <x:c r="DE8" s="5" t="n">
        <x:v>233.42</x:v>
      </x:c>
      <x:c r="DF8" s="5" t="n">
        <x:v>318.57</x:v>
      </x:c>
      <x:c r="DG8" s="5" t="n">
        <x:v>212.28</x:v>
      </x:c>
      <x:c r="DH8" s="5" t="n">
        <x:v>582.37</x:v>
      </x:c>
      <x:c r="DI8" s="5" t="n">
        <x:v>28.11</x:v>
      </x:c>
      <x:c r="DJ8" s="5" t="n">
        <x:v>294.84</x:v>
      </x:c>
      <x:c r="DK8" s="5" t="n">
        <x:v>108.78</x:v>
      </x:c>
      <x:c r="DL8" s="5" t="n">
        <x:v>1013</x:v>
      </x:c>
      <x:c r="DM8" s="5" t="n">
        <x:v>90.54</x:v>
      </x:c>
    </x:row>
    <x:row r="9">
      <x:c r="A9" s="5" t="n">
        <x:v>4</x:v>
      </x:c>
      <x:c r="B9" s="5"/>
      <x:c r="C9" s="5" t="str">
        <x:v>64-18-6</x:v>
      </x:c>
      <x:c r="D9" s="5"/>
      <x:c r="E9" s="5"/>
      <x:c r="F9" s="5"/>
      <x:c r="G9" s="5" t="n">
        <x:v>59.4</x:v>
      </x:c>
      <x:c r="H9" s="5" t="n">
        <x:v>48.64</x:v>
      </x:c>
      <x:c r="I9" s="5"/>
      <x:c r="J9" s="5" t="n">
        <x:v>428.09</x:v>
      </x:c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  <x:c r="CX9" s="5"/>
      <x:c r="CY9" s="5"/>
      <x:c r="CZ9" s="5"/>
      <x:c r="DA9" s="5"/>
      <x:c r="DB9" s="5"/>
      <x:c r="DC9" s="5"/>
      <x:c r="DD9" s="5"/>
      <x:c r="DE9" s="5"/>
      <x:c r="DF9" s="5"/>
      <x:c r="DG9" s="5"/>
      <x:c r="DH9" s="5"/>
      <x:c r="DI9" s="5"/>
      <x:c r="DJ9" s="5"/>
      <x:c r="DK9" s="5"/>
      <x:c r="DL9" s="5"/>
      <x:c r="DM9" s="5"/>
    </x:row>
    <x:row r="10">
      <x:c r="A10" s="5" t="n">
        <x:v>5</x:v>
      </x:c>
      <x:c r="B10" s="5" t="str">
        <x:v>乙酸</x:v>
      </x:c>
      <x:c r="C10" s="5" t="str">
        <x:v>64-19-7</x:v>
      </x:c>
      <x:c r="D10" s="5" t="n">
        <x:v>160000</x:v>
      </x:c>
      <x:c r="E10" s="5" t="n">
        <x:v>342535</x:v>
      </x:c>
      <x:c r="F10" s="5" t="n">
        <x:v>732061</x:v>
      </x:c>
      <x:c r="G10" s="5" t="n">
        <x:v>9.16</x:v>
      </x:c>
      <x:c r="H10" s="5" t="n">
        <x:v>5.3</x:v>
      </x:c>
      <x:c r="I10" s="5" t="n">
        <x:v>15</x:v>
      </x:c>
      <x:c r="J10" s="5" t="n">
        <x:v>9.66</x:v>
      </x:c>
      <x:c r="K10" s="5" t="n">
        <x:v>3.11</x:v>
      </x:c>
      <x:c r="L10" s="5"/>
      <x:c r="M10" s="5"/>
      <x:c r="N10" s="5" t="n">
        <x:v>1933</x:v>
      </x:c>
      <x:c r="O10" s="5" t="n">
        <x:v>3158</x:v>
      </x:c>
      <x:c r="P10" s="5" t="n">
        <x:v>3980</x:v>
      </x:c>
      <x:c r="Q10" s="5" t="n">
        <x:v>2783</x:v>
      </x:c>
      <x:c r="R10" s="5" t="n">
        <x:v>3118</x:v>
      </x:c>
      <x:c r="S10" s="5" t="n">
        <x:v>2759</x:v>
      </x:c>
      <x:c r="T10" s="5" t="n">
        <x:v>3</x:v>
      </x:c>
      <x:c r="U10" s="5" t="n">
        <x:v>3</x:v>
      </x:c>
      <x:c r="V10" s="5"/>
      <x:c r="W10" s="5" t="n">
        <x:v>17200</x:v>
      </x:c>
      <x:c r="X10" s="5" t="n">
        <x:v>7910</x:v>
      </x:c>
      <x:c r="Y10" s="5" t="n">
        <x:v>11200</x:v>
      </x:c>
      <x:c r="Z10" s="5" t="n">
        <x:v>5670</x:v>
      </x:c>
      <x:c r="AA10" s="5" t="n">
        <x:v>12200</x:v>
      </x:c>
      <x:c r="AB10" s="5" t="n">
        <x:v>5550</x:v>
      </x:c>
      <x:c r="AC10" s="5" t="n">
        <x:v>10900</x:v>
      </x:c>
      <x:c r="AD10" s="5" t="n">
        <x:v>1030</x:v>
      </x:c>
      <x:c r="AE10" s="5" t="n">
        <x:v>121650</x:v>
      </x:c>
      <x:c r="AF10" s="5" t="n">
        <x:v>133470</x:v>
      </x:c>
      <x:c r="AG10" s="5" t="n">
        <x:v>183145</x:v>
      </x:c>
      <x:c r="AH10" s="5" t="n">
        <x:v>49180</x:v>
      </x:c>
      <x:c r="AI10" s="5" t="n">
        <x:v>25340</x:v>
      </x:c>
      <x:c r="AJ10" s="5" t="n">
        <x:v>42350</x:v>
      </x:c>
      <x:c r="AK10" s="5" t="n">
        <x:v>1800500</x:v>
      </x:c>
      <x:c r="AL10" s="5" t="n">
        <x:v>1043220</x:v>
      </x:c>
      <x:c r="AM10" s="5"/>
      <x:c r="AN10" s="5"/>
      <x:c r="AO10" s="5"/>
      <x:c r="AP10" s="5"/>
      <x:c r="AQ10" s="5" t="n">
        <x:v>464.76</x:v>
      </x:c>
      <x:c r="AR10" s="5" t="n">
        <x:v>336.33</x:v>
      </x:c>
      <x:c r="AS10" s="5" t="n">
        <x:v>449.18</x:v>
      </x:c>
      <x:c r="AT10" s="5" t="n">
        <x:v>472.89</x:v>
      </x:c>
      <x:c r="AU10" s="5" t="n">
        <x:v>1.14</x:v>
      </x:c>
      <x:c r="AV10" s="5" t="n">
        <x:v>301402</x:v>
      </x:c>
      <x:c r="AW10" s="5" t="n">
        <x:v>2</x:v>
      </x:c>
      <x:c r="AX10" s="5" t="n">
        <x:v>265651.5</x:v>
      </x:c>
      <x:c r="AY10" s="5" t="n">
        <x:v>331000</x:v>
      </x:c>
      <x:c r="AZ10" s="5"/>
      <x:c r="BA10" s="5"/>
      <x:c r="BB10" s="5" t="n">
        <x:v>666.52</x:v>
      </x:c>
      <x:c r="BC10" s="5"/>
      <x:c r="BD10" s="5" t="n">
        <x:v>685.45</x:v>
      </x:c>
      <x:c r="BE10" s="5" t="n">
        <x:v>936.42</x:v>
      </x:c>
      <x:c r="BF10" s="5" t="n">
        <x:v>869.21</x:v>
      </x:c>
      <x:c r="BG10" s="5" t="n">
        <x:v>844.82</x:v>
      </x:c>
      <x:c r="BH10" s="5" t="n">
        <x:v>486.89</x:v>
      </x:c>
      <x:c r="BI10" s="5" t="n">
        <x:v>879.21</x:v>
      </x:c>
      <x:c r="BJ10" s="5" t="n">
        <x:v>888.62</x:v>
      </x:c>
      <x:c r="BK10" s="5" t="n">
        <x:v>1020.94</x:v>
      </x:c>
      <x:c r="BL10" s="5" t="n">
        <x:v>1188.15</x:v>
      </x:c>
      <x:c r="BM10" s="5" t="n">
        <x:v>1031</x:v>
      </x:c>
      <x:c r="BN10" s="5" t="n">
        <x:v>886.91</x:v>
      </x:c>
      <x:c r="BO10" s="5" t="n">
        <x:v>1066.12</x:v>
      </x:c>
      <x:c r="BP10" s="5" t="n">
        <x:v>370.91</x:v>
      </x:c>
      <x:c r="BQ10" s="5" t="n">
        <x:v>776100</x:v>
      </x:c>
      <x:c r="BR10" s="5" t="n">
        <x:v>775800</x:v>
      </x:c>
      <x:c r="BS10" s="5" t="n">
        <x:v>452600</x:v>
      </x:c>
      <x:c r="BT10" s="5" t="n">
        <x:v>616100</x:v>
      </x:c>
      <x:c r="BU10" s="5" t="n">
        <x:v>874500</x:v>
      </x:c>
      <x:c r="BV10" s="5" t="n">
        <x:v>301100</x:v>
      </x:c>
      <x:c r="BW10" s="5" t="n">
        <x:v>371900</x:v>
      </x:c>
      <x:c r="BX10" s="5" t="n">
        <x:v>795300</x:v>
      </x:c>
      <x:c r="BY10" s="5" t="n">
        <x:v>371900</x:v>
      </x:c>
      <x:c r="BZ10" s="5" t="n">
        <x:v>74.875</x:v>
      </x:c>
      <x:c r="CA10" s="5" t="n">
        <x:v>88.72</x:v>
      </x:c>
      <x:c r="CB10" s="5" t="n">
        <x:v>321.92</x:v>
      </x:c>
      <x:c r="CC10" s="5" t="n">
        <x:v>616.34</x:v>
      </x:c>
      <x:c r="CD10" s="5" t="n">
        <x:v>498.85</x:v>
      </x:c>
      <x:c r="CE10" s="5" t="n">
        <x:v>648.34</x:v>
      </x:c>
      <x:c r="CF10" s="5" t="n">
        <x:v>198.14</x:v>
      </x:c>
      <x:c r="CG10" s="5" t="n">
        <x:v>152.84</x:v>
      </x:c>
      <x:c r="CH10" s="5" t="n">
        <x:v>164.64</x:v>
      </x:c>
      <x:c r="CI10" s="5" t="n">
        <x:v>431.9</x:v>
      </x:c>
      <x:c r="CJ10" s="5" t="n">
        <x:v>432.38</x:v>
      </x:c>
      <x:c r="CK10" s="5" t="n">
        <x:v>286.23</x:v>
      </x:c>
      <x:c r="CL10" s="5" t="n">
        <x:v>518.74</x:v>
      </x:c>
      <x:c r="CM10" s="5" t="n">
        <x:v>338.49</x:v>
      </x:c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  <x:c r="CX10" s="5" t="n">
        <x:v>312512.48</x:v>
      </x:c>
      <x:c r="CY10" s="5" t="n">
        <x:v>1357405.5</x:v>
      </x:c>
      <x:c r="CZ10" s="5" t="n">
        <x:v>1447391.25</x:v>
      </x:c>
      <x:c r="DA10" s="5" t="n">
        <x:v>290313.62</x:v>
      </x:c>
      <x:c r="DB10" s="5" t="n">
        <x:v>701347.95</x:v>
      </x:c>
      <x:c r="DC10" s="5" t="n">
        <x:v>293844.46</x:v>
      </x:c>
      <x:c r="DD10" s="5" t="n">
        <x:v>1368236.97</x:v>
      </x:c>
      <x:c r="DE10" s="5" t="n">
        <x:v>299435.78</x:v>
      </x:c>
      <x:c r="DF10" s="5" t="n">
        <x:v>302788.42</x:v>
      </x:c>
      <x:c r="DG10" s="5" t="n">
        <x:v>278156.86</x:v>
      </x:c>
      <x:c r="DH10" s="5" t="n">
        <x:v>411817.02</x:v>
      </x:c>
      <x:c r="DI10" s="5" t="n">
        <x:v>264721.43</x:v>
      </x:c>
      <x:c r="DJ10" s="5" t="n">
        <x:v>457468.53</x:v>
      </x:c>
      <x:c r="DK10" s="5" t="n">
        <x:v>270408.03</x:v>
      </x:c>
      <x:c r="DL10" s="5" t="n">
        <x:v>1364925.31</x:v>
      </x:c>
      <x:c r="DM10" s="5" t="n">
        <x:v>143377.31</x:v>
      </x:c>
    </x:row>
    <x:row r="11">
      <x:c r="A11" s="5" t="n">
        <x:v>6</x:v>
      </x:c>
      <x:c r="B11" s="5"/>
      <x:c r="C11" s="5" t="str">
        <x:v>66-13-6</x:v>
      </x:c>
      <x:c r="D11" s="5"/>
      <x:c r="E11" s="5"/>
      <x:c r="F11" s="5"/>
      <x:c r="G11" s="5"/>
      <x:c r="H11" s="5" t="n">
        <x:v>141.28</x:v>
      </x:c>
      <x:c r="I11" s="5" t="n">
        <x:v>1.89</x:v>
      </x:c>
      <x:c r="J11" s="5" t="n">
        <x:v>4.1</x:v>
      </x:c>
      <x:c r="K11" s="5" t="n">
        <x:v>1.46</x:v>
      </x:c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  <x:c r="BJ11" s="5"/>
      <x:c r="BK11" s="5"/>
      <x:c r="BL11" s="5"/>
      <x:c r="BM11" s="5"/>
      <x:c r="BN11" s="5"/>
      <x:c r="BO11" s="5"/>
      <x:c r="BP11" s="5"/>
      <x:c r="BQ11" s="5"/>
      <x:c r="BR11" s="5"/>
      <x:c r="BS11" s="5"/>
      <x:c r="BT11" s="5"/>
      <x:c r="BU11" s="5"/>
      <x:c r="BV11" s="5"/>
      <x:c r="BW11" s="5"/>
      <x:c r="BX11" s="5"/>
      <x:c r="BY11" s="5"/>
      <x:c r="BZ11" s="5"/>
      <x:c r="CA11" s="5"/>
      <x:c r="CB11" s="5"/>
      <x:c r="CC11" s="5"/>
      <x:c r="CD11" s="5"/>
      <x:c r="CE11" s="5"/>
      <x:c r="CF11" s="5"/>
      <x:c r="CG11" s="5"/>
      <x:c r="CH11" s="5"/>
      <x:c r="CI11" s="5"/>
      <x:c r="CJ11" s="5"/>
      <x:c r="CK11" s="5"/>
      <x:c r="CL11" s="5"/>
      <x:c r="CM11" s="5"/>
      <x:c r="CN11" s="5"/>
      <x:c r="CO11" s="5"/>
      <x:c r="CP11" s="5"/>
      <x:c r="CQ11" s="5"/>
      <x:c r="CR11" s="5"/>
      <x:c r="CS11" s="5"/>
      <x:c r="CT11" s="5"/>
      <x:c r="CU11" s="5"/>
      <x:c r="CV11" s="5"/>
      <x:c r="CW11" s="5"/>
      <x:c r="CX11" s="5"/>
      <x:c r="CY11" s="5"/>
      <x:c r="CZ11" s="5"/>
      <x:c r="DA11" s="5"/>
      <x:c r="DB11" s="5"/>
      <x:c r="DC11" s="5"/>
      <x:c r="DD11" s="5"/>
      <x:c r="DE11" s="5"/>
      <x:c r="DF11" s="5"/>
      <x:c r="DG11" s="5"/>
      <x:c r="DH11" s="5"/>
      <x:c r="DI11" s="5"/>
      <x:c r="DJ11" s="5"/>
      <x:c r="DK11" s="5"/>
      <x:c r="DL11" s="5"/>
      <x:c r="DM11" s="5"/>
    </x:row>
    <x:row r="12">
      <x:c r="A12" s="5" t="n">
        <x:v>7</x:v>
      </x:c>
      <x:c r="B12" s="5" t="str">
        <x:v>己醛</x:v>
      </x:c>
      <x:c r="C12" s="5" t="str">
        <x:v>66-25-1</x:v>
      </x:c>
      <x:c r="D12" s="5" t="n">
        <x:v>25.5</x:v>
      </x:c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 t="n">
        <x:v>213.1333</x:v>
      </x:c>
      <x:c r="CA12" s="5" t="n">
        <x:v>303.64</x:v>
      </x:c>
      <x:c r="CB12" s="5" t="n">
        <x:v>2323.28</x:v>
      </x:c>
      <x:c r="CC12" s="5" t="n">
        <x:v>553.57</x:v>
      </x:c>
      <x:c r="CD12" s="5" t="n">
        <x:v>2091.54</x:v>
      </x:c>
      <x:c r="CE12" s="5" t="n">
        <x:v>722.58</x:v>
      </x:c>
      <x:c r="CF12" s="5" t="n">
        <x:v>722.99</x:v>
      </x:c>
      <x:c r="CG12" s="5" t="n">
        <x:v>1024.86</x:v>
      </x:c>
      <x:c r="CH12" s="5" t="n">
        <x:v>695.78</x:v>
      </x:c>
      <x:c r="CI12" s="5" t="n">
        <x:v>983.86</x:v>
      </x:c>
      <x:c r="CJ12" s="5" t="n">
        <x:v>1136.03</x:v>
      </x:c>
      <x:c r="CK12" s="5" t="n">
        <x:v>1498.12</x:v>
      </x:c>
      <x:c r="CL12" s="5" t="n">
        <x:v>1030.51</x:v>
      </x:c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  <x:c r="CX12" s="5" t="n">
        <x:v>257.15</x:v>
      </x:c>
      <x:c r="CY12" s="5" t="n">
        <x:v>788.69</x:v>
      </x:c>
      <x:c r="CZ12" s="5" t="n">
        <x:v>696.4</x:v>
      </x:c>
      <x:c r="DA12" s="5" t="n">
        <x:v>257.52</x:v>
      </x:c>
      <x:c r="DB12" s="5" t="n">
        <x:v>1352.61</x:v>
      </x:c>
      <x:c r="DC12" s="5" t="n">
        <x:v>173</x:v>
      </x:c>
      <x:c r="DD12" s="5" t="n">
        <x:v>806.29</x:v>
      </x:c>
      <x:c r="DE12" s="5" t="n">
        <x:v>184.61</x:v>
      </x:c>
      <x:c r="DF12" s="5" t="n">
        <x:v>1048.28</x:v>
      </x:c>
      <x:c r="DG12" s="5" t="n">
        <x:v>564.13</x:v>
      </x:c>
      <x:c r="DH12" s="5" t="n">
        <x:v>1361</x:v>
      </x:c>
      <x:c r="DI12" s="5" t="n">
        <x:v>453.91</x:v>
      </x:c>
      <x:c r="DJ12" s="5" t="n">
        <x:v>1386.26</x:v>
      </x:c>
      <x:c r="DK12" s="5" t="n">
        <x:v>417.42</x:v>
      </x:c>
      <x:c r="DL12" s="5" t="n">
        <x:v>3075.94</x:v>
      </x:c>
      <x:c r="DM12" s="5" t="n">
        <x:v>828.91</x:v>
      </x:c>
    </x:row>
    <x:row r="13">
      <x:c r="A13" s="5" t="n">
        <x:v>8</x:v>
      </x:c>
      <x:c r="B13" s="5" t="str">
        <x:v>甲醇</x:v>
      </x:c>
      <x:c r="C13" s="5" t="str">
        <x:v>67-56-1</x:v>
      </x:c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 t="n">
        <x:v>3900</x:v>
      </x:c>
      <x:c r="AI13" s="5" t="n">
        <x:v>10540</x:v>
      </x:c>
      <x:c r="AJ13" s="5" t="n">
        <x:v>15450</x:v>
      </x:c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 t="n">
        <x:v>50900</x:v>
      </x:c>
      <x:c r="AW13" s="5"/>
      <x:c r="AX13" s="5" t="n">
        <x:v>91400</x:v>
      </x:c>
      <x:c r="AY13" s="5" t="n">
        <x:v>67000</x:v>
      </x:c>
      <x:c r="AZ13" s="5"/>
      <x:c r="BA13" s="5"/>
      <x:c r="BB13" s="5"/>
      <x:c r="BC13" s="5"/>
      <x:c r="BD13" s="5"/>
      <x:c r="BE13" s="5"/>
      <x:c r="BF13" s="5"/>
      <x:c r="BG13" s="5"/>
      <x:c r="BH13" s="5"/>
      <x:c r="BI13" s="5"/>
      <x:c r="BJ13" s="5"/>
      <x:c r="BK13" s="5"/>
      <x:c r="BL13" s="5"/>
      <x:c r="BM13" s="5"/>
      <x:c r="BN13" s="5"/>
      <x:c r="BO13" s="5"/>
      <x:c r="BP13" s="5"/>
      <x:c r="BQ13" s="5" t="n">
        <x:v>106900</x:v>
      </x:c>
      <x:c r="BR13" s="5" t="n">
        <x:v>350900</x:v>
      </x:c>
      <x:c r="BS13" s="5" t="n">
        <x:v>310800</x:v>
      </x:c>
      <x:c r="BT13" s="5" t="n">
        <x:v>295600</x:v>
      </x:c>
      <x:c r="BU13" s="5" t="n">
        <x:v>222600</x:v>
      </x:c>
      <x:c r="BV13" s="5" t="n">
        <x:v>82700</x:v>
      </x:c>
      <x:c r="BW13" s="5" t="n">
        <x:v>83700</x:v>
      </x:c>
      <x:c r="BX13" s="5" t="n">
        <x:v>119100</x:v>
      </x:c>
      <x:c r="BY13" s="5" t="n">
        <x:v>81100</x:v>
      </x:c>
      <x:c r="BZ13" s="5"/>
      <x:c r="CA13" s="5"/>
      <x:c r="CB13" s="5"/>
      <x:c r="CC13" s="5"/>
      <x:c r="CD13" s="5"/>
      <x:c r="CE13" s="5"/>
      <x:c r="CF13" s="5"/>
      <x:c r="CG13" s="5"/>
      <x:c r="CH13" s="5"/>
      <x:c r="CI13" s="5"/>
      <x:c r="CJ13" s="5"/>
      <x:c r="CK13" s="5"/>
      <x:c r="CL13" s="5"/>
      <x:c r="CM13" s="5"/>
      <x:c r="CN13" s="5"/>
      <x:c r="CO13" s="5"/>
      <x:c r="CP13" s="5"/>
      <x:c r="CQ13" s="5"/>
      <x:c r="CR13" s="5"/>
      <x:c r="CS13" s="5"/>
      <x:c r="CT13" s="5"/>
      <x:c r="CU13" s="5"/>
      <x:c r="CV13" s="5"/>
      <x:c r="CW13" s="5"/>
      <x:c r="CX13" s="5"/>
      <x:c r="CY13" s="5"/>
      <x:c r="CZ13" s="5"/>
      <x:c r="DA13" s="5"/>
      <x:c r="DB13" s="5"/>
      <x:c r="DC13" s="5"/>
      <x:c r="DD13" s="5"/>
      <x:c r="DE13" s="5"/>
      <x:c r="DF13" s="5"/>
      <x:c r="DG13" s="5"/>
      <x:c r="DH13" s="5"/>
      <x:c r="DI13" s="5"/>
      <x:c r="DJ13" s="5"/>
      <x:c r="DK13" s="5"/>
      <x:c r="DL13" s="5"/>
      <x:c r="DM13" s="5"/>
    </x:row>
    <x:row r="14">
      <x:c r="A14" s="5" t="n">
        <x:v>9</x:v>
      </x:c>
      <x:c r="B14" s="5" t="str">
        <x:v>丙酮</x:v>
      </x:c>
      <x:c r="C14" s="5" t="str">
        <x:v>67-64-1</x:v>
      </x:c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 t="n">
        <x:v>1680</x:v>
      </x:c>
      <x:c r="AI14" s="5" t="n">
        <x:v>760</x:v>
      </x:c>
      <x:c r="AJ14" s="5" t="n">
        <x:v>700</x:v>
      </x:c>
      <x:c r="AK14" s="5"/>
      <x:c r="AL14" s="5"/>
      <x:c r="AM14" s="5"/>
      <x:c r="AN14" s="5"/>
      <x:c r="AO14" s="5"/>
      <x:c r="AP14" s="5"/>
      <x:c r="AQ14" s="5" t="n">
        <x:v>10.19</x:v>
      </x:c>
      <x:c r="AR14" s="5" t="n">
        <x:v>11.78</x:v>
      </x:c>
      <x:c r="AS14" s="5" t="n">
        <x:v>18.63</x:v>
      </x:c>
      <x:c r="AT14" s="5" t="n">
        <x:v>26.72</x:v>
      </x:c>
      <x:c r="AU14" s="5"/>
      <x:c r="AV14" s="5" t="n">
        <x:v>12200</x:v>
      </x:c>
      <x:c r="AW14" s="5"/>
      <x:c r="AX14" s="5" t="n">
        <x:v>83600</x:v>
      </x:c>
      <x:c r="AY14" s="5" t="n">
        <x:v>0</x:v>
      </x:c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</x:row>
    <x:row r="15">
      <x:c r="A15" s="5" t="n">
        <x:v>10</x:v>
      </x:c>
      <x:c r="B15" s="5" t="str">
        <x:v>1-丙醇</x:v>
      </x:c>
      <x:c r="C15" s="5" t="str">
        <x:v>71-23-8</x:v>
      </x:c>
      <x:c r="D15" s="5" t="n">
        <x:v>109000</x:v>
      </x:c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 t="n">
        <x:v>4</x:v>
      </x:c>
      <x:c r="U15" s="5" t="n">
        <x:v>1</x:v>
      </x:c>
      <x:c r="V15" s="5"/>
      <x:c r="W15" s="5"/>
      <x:c r="X15" s="5"/>
      <x:c r="Y15" s="5"/>
      <x:c r="Z15" s="5"/>
      <x:c r="AA15" s="5"/>
      <x:c r="AB15" s="5"/>
      <x:c r="AC15" s="5"/>
      <x:c r="AD15" s="5"/>
      <x:c r="AE15" s="5" t="n">
        <x:v>463670</x:v>
      </x:c>
      <x:c r="AF15" s="5" t="n">
        <x:v>243960</x:v>
      </x:c>
      <x:c r="AG15" s="5" t="n">
        <x:v>139490</x:v>
      </x:c>
      <x:c r="AH15" s="5" t="n">
        <x:v>8080</x:v>
      </x:c>
      <x:c r="AI15" s="5" t="n">
        <x:v>22720</x:v>
      </x:c>
      <x:c r="AJ15" s="5" t="n">
        <x:v>14050</x:v>
      </x:c>
      <x:c r="AK15" s="5" t="n">
        <x:v>253230</x:v>
      </x:c>
      <x:c r="AL15" s="5" t="n">
        <x:v>174320</x:v>
      </x:c>
      <x:c r="AM15" s="5"/>
      <x:c r="AN15" s="5"/>
      <x:c r="AO15" s="5"/>
      <x:c r="AP15" s="5"/>
      <x:c r="AQ15" s="5" t="n">
        <x:v>238.96</x:v>
      </x:c>
      <x:c r="AR15" s="5" t="n">
        <x:v>140.05</x:v>
      </x:c>
      <x:c r="AS15" s="5" t="n">
        <x:v>148.1</x:v>
      </x:c>
      <x:c r="AT15" s="5" t="n">
        <x:v>100.63</x:v>
      </x:c>
      <x:c r="AU15" s="5" t="n">
        <x:v>29.58</x:v>
      </x:c>
      <x:c r="AV15" s="5" t="n">
        <x:v>235054.5</x:v>
      </x:c>
      <x:c r="AW15" s="5" t="n">
        <x:v>7</x:v>
      </x:c>
      <x:c r="AX15" s="5" t="n">
        <x:v>217454</x:v>
      </x:c>
      <x:c r="AY15" s="5" t="n">
        <x:v>90400</x:v>
      </x:c>
      <x:c r="AZ15" s="5"/>
      <x:c r="BA15" s="5"/>
      <x:c r="BB15" s="5" t="n">
        <x:v>52.72</x:v>
      </x:c>
      <x:c r="BC15" s="5"/>
      <x:c r="BD15" s="5" t="n">
        <x:v>125.91</x:v>
      </x:c>
      <x:c r="BE15" s="5" t="n">
        <x:v>97.31</x:v>
      </x:c>
      <x:c r="BF15" s="5" t="n">
        <x:v>150.64</x:v>
      </x:c>
      <x:c r="BG15" s="5" t="n">
        <x:v>111.52</x:v>
      </x:c>
      <x:c r="BH15" s="5" t="n">
        <x:v>83.18</x:v>
      </x:c>
      <x:c r="BI15" s="5" t="n">
        <x:v>113.21</x:v>
      </x:c>
      <x:c r="BJ15" s="5" t="n">
        <x:v>34.04</x:v>
      </x:c>
      <x:c r="BK15" s="5" t="n">
        <x:v>146.21</x:v>
      </x:c>
      <x:c r="BL15" s="5" t="n">
        <x:v>177.61</x:v>
      </x:c>
      <x:c r="BM15" s="5" t="n">
        <x:v>192.82</x:v>
      </x:c>
      <x:c r="BN15" s="5" t="n">
        <x:v>126</x:v>
      </x:c>
      <x:c r="BO15" s="5" t="n">
        <x:v>178.42</x:v>
      </x:c>
      <x:c r="BP15" s="5" t="n">
        <x:v>149.22</x:v>
      </x:c>
      <x:c r="BQ15" s="5" t="n">
        <x:v>428900</x:v>
      </x:c>
      <x:c r="BR15" s="5" t="n">
        <x:v>290700</x:v>
      </x:c>
      <x:c r="BS15" s="5" t="n">
        <x:v>428200</x:v>
      </x:c>
      <x:c r="BT15" s="5" t="n">
        <x:v>471100</x:v>
      </x:c>
      <x:c r="BU15" s="5" t="n">
        <x:v>410200</x:v>
      </x:c>
      <x:c r="BV15" s="5" t="n">
        <x:v>206300</x:v>
      </x:c>
      <x:c r="BW15" s="5" t="n">
        <x:v>159700</x:v>
      </x:c>
      <x:c r="BX15" s="5" t="n">
        <x:v>222200</x:v>
      </x:c>
      <x:c r="BY15" s="5" t="n">
        <x:v>154400</x:v>
      </x:c>
      <x:c r="BZ15" s="5" t="n">
        <x:v>20.42</x:v>
      </x:c>
      <x:c r="CA15" s="5" t="n">
        <x:v>16.655</x:v>
      </x:c>
      <x:c r="CB15" s="5" t="n">
        <x:v>67.02</x:v>
      </x:c>
      <x:c r="CC15" s="5" t="n">
        <x:v>24.3</x:v>
      </x:c>
      <x:c r="CD15" s="5" t="n">
        <x:v>87.23</x:v>
      </x:c>
      <x:c r="CE15" s="5" t="n">
        <x:v>77.05</x:v>
      </x:c>
      <x:c r="CF15" s="5" t="n">
        <x:v>31.73</x:v>
      </x:c>
      <x:c r="CG15" s="5" t="n">
        <x:v>268.45</x:v>
      </x:c>
      <x:c r="CH15" s="5" t="n">
        <x:v>276.39</x:v>
      </x:c>
      <x:c r="CI15" s="5" t="n">
        <x:v>72.77</x:v>
      </x:c>
      <x:c r="CJ15" s="5" t="n">
        <x:v>102.2</x:v>
      </x:c>
      <x:c r="CK15" s="5" t="n">
        <x:v>40.58</x:v>
      </x:c>
      <x:c r="CL15" s="5" t="n">
        <x:v>42.68</x:v>
      </x:c>
      <x:c r="CM15" s="5" t="n">
        <x:v>46.41</x:v>
      </x:c>
      <x:c r="CN15" s="5"/>
      <x:c r="CO15" s="5"/>
      <x:c r="CP15" s="5"/>
      <x:c r="CQ15" s="5"/>
      <x:c r="CR15" s="5" t="n">
        <x:v>347476</x:v>
      </x:c>
      <x:c r="CS15" s="5" t="n">
        <x:v>397035</x:v>
      </x:c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</x:row>
    <x:row r="16">
      <x:c r="A16" s="5" t="n">
        <x:v>11</x:v>
      </x:c>
      <x:c r="B16" s="5" t="str">
        <x:v>1-丁醇</x:v>
      </x:c>
      <x:c r="C16" s="5" t="str">
        <x:v>71-36-3</x:v>
      </x:c>
      <x:c r="D16" s="5" t="n">
        <x:v>2733</x:v>
      </x:c>
      <x:c r="E16" s="5" t="n">
        <x:v>41802</x:v>
      </x:c>
      <x:c r="F16" s="5" t="n">
        <x:v>147160</x:v>
      </x:c>
      <x:c r="G16" s="5" t="n">
        <x:v>245.12</x:v>
      </x:c>
      <x:c r="H16" s="5" t="n">
        <x:v>48.88</x:v>
      </x:c>
      <x:c r="I16" s="5" t="n">
        <x:v>34.69</x:v>
      </x:c>
      <x:c r="J16" s="5" t="n">
        <x:v>256.5</x:v>
      </x:c>
      <x:c r="K16" s="5" t="n">
        <x:v>16.97</x:v>
      </x:c>
      <x:c r="L16" s="5" t="n">
        <x:v>54922</x:v>
      </x:c>
      <x:c r="M16" s="5" t="n">
        <x:v>67567</x:v>
      </x:c>
      <x:c r="N16" s="5"/>
      <x:c r="O16" s="5"/>
      <x:c r="P16" s="5"/>
      <x:c r="Q16" s="5"/>
      <x:c r="R16" s="5"/>
      <x:c r="S16" s="5"/>
      <x:c r="T16" s="5"/>
      <x:c r="U16" s="5"/>
      <x:c r="V16" s="5"/>
      <x:c r="W16" s="5" t="n">
        <x:v>511000</x:v>
      </x:c>
      <x:c r="X16" s="5" t="n">
        <x:v>335000</x:v>
      </x:c>
      <x:c r="Y16" s="5" t="n">
        <x:v>299000</x:v>
      </x:c>
      <x:c r="Z16" s="5" t="n">
        <x:v>309000</x:v>
      </x:c>
      <x:c r="AA16" s="5" t="n">
        <x:v>270000</x:v>
      </x:c>
      <x:c r="AB16" s="5" t="n">
        <x:v>267000</x:v>
      </x:c>
      <x:c r="AC16" s="5" t="n">
        <x:v>175000</x:v>
      </x:c>
      <x:c r="AD16" s="5" t="n">
        <x:v>124000</x:v>
      </x:c>
      <x:c r="AE16" s="5" t="n">
        <x:v>329180</x:v>
      </x:c>
      <x:c r="AF16" s="5" t="n">
        <x:v>167030</x:v>
      </x:c>
      <x:c r="AG16" s="5" t="n">
        <x:v>162135</x:v>
      </x:c>
      <x:c r="AH16" s="5" t="n">
        <x:v>3750</x:v>
      </x:c>
      <x:c r="AI16" s="5" t="n">
        <x:v>3860</x:v>
      </x:c>
      <x:c r="AJ16" s="5" t="n">
        <x:v>9100</x:v>
      </x:c>
      <x:c r="AK16" s="5" t="n">
        <x:v>229660</x:v>
      </x:c>
      <x:c r="AL16" s="5" t="n">
        <x:v>110950</x:v>
      </x:c>
      <x:c r="AM16" s="5"/>
      <x:c r="AN16" s="5"/>
      <x:c r="AO16" s="5"/>
      <x:c r="AP16" s="5"/>
      <x:c r="AQ16" s="5" t="n">
        <x:v>278.54</x:v>
      </x:c>
      <x:c r="AR16" s="5" t="n">
        <x:v>180.45</x:v>
      </x:c>
      <x:c r="AS16" s="5" t="n">
        <x:v>197.1</x:v>
      </x:c>
      <x:c r="AT16" s="5" t="n">
        <x:v>156.24</x:v>
      </x:c>
      <x:c r="AU16" s="5"/>
      <x:c r="AV16" s="5" t="n">
        <x:v>26159.5</x:v>
      </x:c>
      <x:c r="AW16" s="5" t="n">
        <x:v>112</x:v>
      </x:c>
      <x:c r="AX16" s="5" t="n">
        <x:v>32712</x:v>
      </x:c>
      <x:c r="AY16" s="5" t="n">
        <x:v>74400</x:v>
      </x:c>
      <x:c r="AZ16" s="5"/>
      <x:c r="BA16" s="5"/>
      <x:c r="BB16" s="5" t="n">
        <x:v>37.44</x:v>
      </x:c>
      <x:c r="BC16" s="5"/>
      <x:c r="BD16" s="5" t="n">
        <x:v>180.72</x:v>
      </x:c>
      <x:c r="BE16" s="5" t="n">
        <x:v>156.21</x:v>
      </x:c>
      <x:c r="BF16" s="5" t="n">
        <x:v>176.53</x:v>
      </x:c>
      <x:c r="BG16" s="5" t="n">
        <x:v>168.51</x:v>
      </x:c>
      <x:c r="BH16" s="5" t="n">
        <x:v>145.82</x:v>
      </x:c>
      <x:c r="BI16" s="5" t="n">
        <x:v>162.11</x:v>
      </x:c>
      <x:c r="BJ16" s="5" t="n">
        <x:v>24.34</x:v>
      </x:c>
      <x:c r="BK16" s="5" t="n">
        <x:v>333.32</x:v>
      </x:c>
      <x:c r="BL16" s="5" t="n">
        <x:v>665.81</x:v>
      </x:c>
      <x:c r="BM16" s="5" t="n">
        <x:v>749.29</x:v>
      </x:c>
      <x:c r="BN16" s="5" t="n">
        <x:v>380.72</x:v>
      </x:c>
      <x:c r="BO16" s="5" t="n">
        <x:v>730.82</x:v>
      </x:c>
      <x:c r="BP16" s="5" t="n">
        <x:v>161</x:v>
      </x:c>
      <x:c r="BQ16" s="5" t="n">
        <x:v>346400</x:v>
      </x:c>
      <x:c r="BR16" s="5" t="n">
        <x:v>567300</x:v>
      </x:c>
      <x:c r="BS16" s="5" t="n">
        <x:v>1038900</x:v>
      </x:c>
      <x:c r="BT16" s="5" t="n">
        <x:v>700400</x:v>
      </x:c>
      <x:c r="BU16" s="5" t="n">
        <x:v>800200</x:v>
      </x:c>
      <x:c r="BV16" s="5" t="n">
        <x:v>107000</x:v>
      </x:c>
      <x:c r="BW16" s="5" t="n">
        <x:v>130400</x:v>
      </x:c>
      <x:c r="BX16" s="5" t="n">
        <x:v>147500</x:v>
      </x:c>
      <x:c r="BY16" s="5" t="n">
        <x:v>126200</x:v>
      </x:c>
      <x:c r="BZ16" s="5" t="n">
        <x:v>96.2567</x:v>
      </x:c>
      <x:c r="CA16" s="5" t="n">
        <x:v>51.7167</x:v>
      </x:c>
      <x:c r="CB16" s="5" t="n">
        <x:v>216.38</x:v>
      </x:c>
      <x:c r="CC16" s="5" t="n">
        <x:v>214.7</x:v>
      </x:c>
      <x:c r="CD16" s="5" t="n">
        <x:v>425.28</x:v>
      </x:c>
      <x:c r="CE16" s="5" t="n">
        <x:v>166.16</x:v>
      </x:c>
      <x:c r="CF16" s="5" t="n">
        <x:v>113.77</x:v>
      </x:c>
      <x:c r="CG16" s="5" t="n">
        <x:v>56.67</x:v>
      </x:c>
      <x:c r="CH16" s="5" t="n">
        <x:v>69.61</x:v>
      </x:c>
      <x:c r="CI16" s="5" t="n">
        <x:v>151</x:v>
      </x:c>
      <x:c r="CJ16" s="5" t="n">
        <x:v>197.37</x:v>
      </x:c>
      <x:c r="CK16" s="5" t="n">
        <x:v>137.7</x:v>
      </x:c>
      <x:c r="CL16" s="5" t="n">
        <x:v>111.31</x:v>
      </x:c>
      <x:c r="CM16" s="5" t="n">
        <x:v>148.23</x:v>
      </x:c>
      <x:c r="CN16" s="5"/>
      <x:c r="CO16" s="5"/>
      <x:c r="CP16" s="5"/>
      <x:c r="CQ16" s="5"/>
      <x:c r="CR16" s="5" t="n">
        <x:v>34206.7</x:v>
      </x:c>
      <x:c r="CS16" s="5" t="n">
        <x:v>36155.36</x:v>
      </x:c>
      <x:c r="CT16" s="5" t="n">
        <x:v>1741.95</x:v>
      </x:c>
      <x:c r="CU16" s="5" t="n">
        <x:v>862.71</x:v>
      </x:c>
      <x:c r="CV16" s="5" t="n">
        <x:v>1296.5</x:v>
      </x:c>
      <x:c r="CW16" s="5" t="n">
        <x:v>1334.86</x:v>
      </x:c>
      <x:c r="CX16" s="5" t="n">
        <x:v>13522</x:v>
      </x:c>
      <x:c r="CY16" s="5" t="n">
        <x:v>137605.88</x:v>
      </x:c>
      <x:c r="CZ16" s="5" t="n">
        <x:v>96156.23</x:v>
      </x:c>
      <x:c r="DA16" s="5" t="n">
        <x:v>12945.05</x:v>
      </x:c>
      <x:c r="DB16" s="5" t="n">
        <x:v>78475.19</x:v>
      </x:c>
      <x:c r="DC16" s="5" t="n">
        <x:v>10062.54</x:v>
      </x:c>
      <x:c r="DD16" s="5" t="n">
        <x:v>110395.79</x:v>
      </x:c>
      <x:c r="DE16" s="5" t="n">
        <x:v>45719.26</x:v>
      </x:c>
      <x:c r="DF16" s="5" t="n">
        <x:v>60836.9</x:v>
      </x:c>
      <x:c r="DG16" s="5" t="n">
        <x:v>21487.43</x:v>
      </x:c>
      <x:c r="DH16" s="5" t="n">
        <x:v>140599.35</x:v>
      </x:c>
      <x:c r="DI16" s="5" t="n">
        <x:v>31386.58</x:v>
      </x:c>
      <x:c r="DJ16" s="5" t="n">
        <x:v>146807.16</x:v>
      </x:c>
      <x:c r="DK16" s="5" t="n">
        <x:v>11886.35</x:v>
      </x:c>
      <x:c r="DL16" s="5" t="n">
        <x:v>174637.2</x:v>
      </x:c>
      <x:c r="DM16" s="5" t="n">
        <x:v>29727.68</x:v>
      </x:c>
    </x:row>
    <x:row r="17">
      <x:c r="A17" s="5" t="n">
        <x:v>12</x:v>
      </x:c>
      <x:c r="B17" s="5" t="str">
        <x:v>正戊醇</x:v>
      </x:c>
      <x:c r="C17" s="5" t="str">
        <x:v>71-41-0</x:v>
      </x:c>
      <x:c r="D17" s="5" t="n">
        <x:v>37400</x:v>
      </x:c>
      <x:c r="E17" s="5"/>
      <x:c r="F17" s="5"/>
      <x:c r="G17" s="5" t="n">
        <x:v>260.98</x:v>
      </x:c>
      <x:c r="H17" s="5" t="n">
        <x:v>60.74</x:v>
      </x:c>
      <x:c r="I17" s="5" t="n">
        <x:v>57.23</x:v>
      </x:c>
      <x:c r="J17" s="5" t="n">
        <x:v>496.64</x:v>
      </x:c>
      <x:c r="K17" s="5" t="n">
        <x:v>1.67</x:v>
      </x:c>
      <x:c r="L17" s="5"/>
      <x:c r="M17" s="5"/>
      <x:c r="N17" s="5"/>
      <x:c r="O17" s="5"/>
      <x:c r="P17" s="5"/>
      <x:c r="Q17" s="5"/>
      <x:c r="R17" s="5"/>
      <x:c r="S17" s="5"/>
      <x:c r="T17" s="5" t="n">
        <x:v>0</x:v>
      </x:c>
      <x:c r="U17" s="5" t="n">
        <x:v>0</x:v>
      </x:c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 t="n">
        <x:v>22165</x:v>
      </x:c>
      <x:c r="AH17" s="5" t="n">
        <x:v>200</x:v>
      </x:c>
      <x:c r="AI17" s="5" t="n">
        <x:v>210</x:v>
      </x:c>
      <x:c r="AJ17" s="5" t="n">
        <x:v>600</x:v>
      </x:c>
      <x:c r="AK17" s="5" t="n">
        <x:v>19220</x:v>
      </x:c>
      <x:c r="AL17" s="5" t="n">
        <x:v>29950</x:v>
      </x:c>
      <x:c r="AM17" s="5"/>
      <x:c r="AN17" s="5"/>
      <x:c r="AO17" s="5"/>
      <x:c r="AP17" s="5"/>
      <x:c r="AQ17" s="5" t="n">
        <x:v>33.52</x:v>
      </x:c>
      <x:c r="AR17" s="5" t="n">
        <x:v>29.37</x:v>
      </x:c>
      <x:c r="AS17" s="5" t="n">
        <x:v>30.64</x:v>
      </x:c>
      <x:c r="AT17" s="5" t="n">
        <x:v>32.95</x:v>
      </x:c>
      <x:c r="AU17" s="5" t="n">
        <x:v>1.43</x:v>
      </x:c>
      <x:c r="AV17" s="5" t="n">
        <x:v>4200</x:v>
      </x:c>
      <x:c r="AW17" s="5"/>
      <x:c r="AX17" s="5" t="n">
        <x:v>4100</x:v>
      </x:c>
      <x:c r="AY17" s="5" t="n">
        <x:v>0</x:v>
      </x:c>
      <x:c r="AZ17" s="5"/>
      <x:c r="BA17" s="5"/>
      <x:c r="BB17" s="5"/>
      <x:c r="BC17" s="5"/>
      <x:c r="BD17" s="5" t="n">
        <x:v>6798.9</x:v>
      </x:c>
      <x:c r="BE17" s="5" t="n">
        <x:v>241.52</x:v>
      </x:c>
      <x:c r="BF17" s="5" t="n">
        <x:v>3497.13</x:v>
      </x:c>
      <x:c r="BG17" s="5" t="n">
        <x:v>6394.13</x:v>
      </x:c>
      <x:c r="BH17" s="5" t="n">
        <x:v>7275.27</x:v>
      </x:c>
      <x:c r="BI17" s="5" t="n">
        <x:v>6628.31</x:v>
      </x:c>
      <x:c r="BJ17" s="5" t="n">
        <x:v>3560.01</x:v>
      </x:c>
      <x:c r="BK17" s="5" t="n">
        <x:v>31.4</x:v>
      </x:c>
      <x:c r="BL17" s="5" t="n">
        <x:v>328.19</x:v>
      </x:c>
      <x:c r="BM17" s="5"/>
      <x:c r="BN17" s="5" t="n">
        <x:v>5452.91</x:v>
      </x:c>
      <x:c r="BO17" s="5" t="n">
        <x:v>5607.11</x:v>
      </x:c>
      <x:c r="BP17" s="5" t="n">
        <x:v>5396.99</x:v>
      </x:c>
      <x:c r="BQ17" s="5" t="n">
        <x:v>6200</x:v>
      </x:c>
      <x:c r="BR17" s="5" t="n">
        <x:v>18400</x:v>
      </x:c>
      <x:c r="BS17" s="5" t="n">
        <x:v>29900</x:v>
      </x:c>
      <x:c r="BT17" s="5" t="n">
        <x:v>37600</x:v>
      </x:c>
      <x:c r="BU17" s="5" t="n">
        <x:v>31900</x:v>
      </x:c>
      <x:c r="BV17" s="5" t="n">
        <x:v>3800</x:v>
      </x:c>
      <x:c r="BW17" s="5" t="n">
        <x:v>8900</x:v>
      </x:c>
      <x:c r="BX17" s="5" t="n">
        <x:v>12100</x:v>
      </x:c>
      <x:c r="BY17" s="5" t="n">
        <x:v>9400</x:v>
      </x:c>
      <x:c r="BZ17" s="5" t="n">
        <x:v>3.39</x:v>
      </x:c>
      <x:c r="CA17" s="5" t="n">
        <x:v>3.37</x:v>
      </x:c>
      <x:c r="CB17" s="5" t="n">
        <x:v>13.3</x:v>
      </x:c>
      <x:c r="CC17" s="5" t="n">
        <x:v>19.31</x:v>
      </x:c>
      <x:c r="CD17" s="5" t="n">
        <x:v>7.6</x:v>
      </x:c>
      <x:c r="CE17" s="5" t="n">
        <x:v>15.33</x:v>
      </x:c>
      <x:c r="CF17" s="5" t="n">
        <x:v>13.11</x:v>
      </x:c>
      <x:c r="CG17" s="5" t="n">
        <x:v>8.22</x:v>
      </x:c>
      <x:c r="CH17" s="5" t="n">
        <x:v>8.76</x:v>
      </x:c>
      <x:c r="CI17" s="5" t="n">
        <x:v>8.3</x:v>
      </x:c>
      <x:c r="CJ17" s="5" t="n">
        <x:v>7.76</x:v>
      </x:c>
      <x:c r="CK17" s="5" t="n">
        <x:v>13.38</x:v>
      </x:c>
      <x:c r="CL17" s="5" t="n">
        <x:v>7.71</x:v>
      </x:c>
      <x:c r="CM17" s="5" t="n">
        <x:v>8.48</x:v>
      </x:c>
      <x:c r="CN17" s="5"/>
      <x:c r="CO17" s="5"/>
      <x:c r="CP17" s="5"/>
      <x:c r="CQ17" s="5"/>
      <x:c r="CR17" s="5"/>
      <x:c r="CS17" s="5"/>
      <x:c r="CT17" s="5" t="n">
        <x:v>224.92</x:v>
      </x:c>
      <x:c r="CU17" s="5" t="n">
        <x:v>156.77</x:v>
      </x:c>
      <x:c r="CV17" s="5" t="n">
        <x:v>228.09</x:v>
      </x:c>
      <x:c r="CW17" s="5" t="n">
        <x:v>287.29</x:v>
      </x:c>
      <x:c r="CX17" s="5"/>
      <x:c r="CY17" s="5"/>
      <x:c r="CZ17" s="5"/>
      <x:c r="DA17" s="5"/>
      <x:c r="DB17" s="5"/>
      <x:c r="DC17" s="5"/>
      <x:c r="DD17" s="5"/>
      <x:c r="DE17" s="5"/>
      <x:c r="DF17" s="5"/>
      <x:c r="DG17" s="5"/>
      <x:c r="DH17" s="5"/>
      <x:c r="DI17" s="5"/>
      <x:c r="DJ17" s="5"/>
      <x:c r="DK17" s="5"/>
      <x:c r="DL17" s="5"/>
      <x:c r="DM17" s="5"/>
    </x:row>
    <x:row r="18">
      <x:c r="A18" s="5" t="n">
        <x:v>13</x:v>
      </x:c>
      <x:c r="B18" s="5" t="str">
        <x:v>甲基硫醇</x:v>
      </x:c>
      <x:c r="C18" s="5" t="str">
        <x:v>74-93-1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 t="n">
        <x:v>4</x:v>
      </x:c>
      <x:c r="BA18" s="5" t="n">
        <x:v>3</x:v>
      </x:c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</x:row>
    <x:row r="19">
      <x:c r="A19" s="5" t="n">
        <x:v>14</x:v>
      </x:c>
      <x:c r="B19" s="5" t="str">
        <x:v>乙醛</x:v>
      </x:c>
      <x:c r="C19" s="5" t="str">
        <x:v>75-07-0</x:v>
      </x:c>
      <x:c r="D19" s="5" t="n">
        <x:v>14393.85</x:v>
      </x:c>
      <x:c r="E19" s="5"/>
      <x:c r="F19" s="5"/>
      <x:c r="G19" s="5" t="n">
        <x:v>1.65</x:v>
      </x:c>
      <x:c r="H19" s="5" t="n">
        <x:v>1.8</x:v>
      </x:c>
      <x:c r="I19" s="5"/>
      <x:c r="J19" s="5" t="n">
        <x:v>15.31</x:v>
      </x:c>
      <x:c r="K19" s="5"/>
      <x:c r="L19" s="5"/>
      <x:c r="M19" s="5"/>
      <x:c r="N19" s="5" t="n">
        <x:v>327</x:v>
      </x:c>
      <x:c r="O19" s="5" t="n">
        <x:v>469</x:v>
      </x:c>
      <x:c r="P19" s="5" t="n">
        <x:v>675</x:v>
      </x:c>
      <x:c r="Q19" s="5" t="n">
        <x:v>477</x:v>
      </x:c>
      <x:c r="R19" s="5" t="n">
        <x:v>600</x:v>
      </x:c>
      <x:c r="S19" s="5" t="n">
        <x:v>714</x:v>
      </x:c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 t="n">
        <x:v>33680</x:v>
      </x:c>
      <x:c r="AI19" s="5" t="n">
        <x:v>39640</x:v>
      </x:c>
      <x:c r="AJ19" s="5" t="n">
        <x:v>30150</x:v>
      </x:c>
      <x:c r="AK19" s="5"/>
      <x:c r="AL19" s="5"/>
      <x:c r="AM19" s="5"/>
      <x:c r="AN19" s="5"/>
      <x:c r="AO19" s="5"/>
      <x:c r="AP19" s="5"/>
      <x:c r="AQ19" s="5" t="n">
        <x:v>12.54</x:v>
      </x:c>
      <x:c r="AR19" s="5" t="n">
        <x:v>11.61</x:v>
      </x:c>
      <x:c r="AS19" s="5" t="n">
        <x:v>40.82</x:v>
      </x:c>
      <x:c r="AT19" s="5" t="n">
        <x:v>38.25</x:v>
      </x:c>
      <x:c r="AU19" s="5" t="n">
        <x:v>362.06</x:v>
      </x:c>
      <x:c r="AV19" s="5" t="n">
        <x:v>208700</x:v>
      </x:c>
      <x:c r="AW19" s="5"/>
      <x:c r="AX19" s="5" t="n">
        <x:v>311600</x:v>
      </x:c>
      <x:c r="AY19" s="5" t="n">
        <x:v>173200</x:v>
      </x:c>
      <x:c r="AZ19" s="5" t="n">
        <x:v>74</x:v>
      </x:c>
      <x:c r="BA19" s="5" t="n">
        <x:v>179</x:v>
      </x:c>
      <x:c r="BB19" s="5"/>
      <x:c r="BC19" s="5"/>
      <x:c r="BD19" s="5"/>
      <x:c r="BE19" s="5"/>
      <x:c r="BF19" s="5"/>
      <x:c r="BG19" s="5"/>
      <x:c r="BH19" s="5"/>
      <x:c r="BI19" s="5"/>
      <x:c r="BJ19" s="5"/>
      <x:c r="BK19" s="5"/>
      <x:c r="BL19" s="5"/>
      <x:c r="BM19" s="5"/>
      <x:c r="BN19" s="5"/>
      <x:c r="BO19" s="5"/>
      <x:c r="BP19" s="5"/>
      <x:c r="BQ19" s="5" t="n">
        <x:v>661100</x:v>
      </x:c>
      <x:c r="BR19" s="5" t="n">
        <x:v>395900</x:v>
      </x:c>
      <x:c r="BS19" s="5" t="n">
        <x:v>72100</x:v>
      </x:c>
      <x:c r="BT19" s="5" t="n">
        <x:v>103000</x:v>
      </x:c>
      <x:c r="BU19" s="5" t="n">
        <x:v>84500</x:v>
      </x:c>
      <x:c r="BV19" s="5" t="n">
        <x:v>134200</x:v>
      </x:c>
      <x:c r="BW19" s="5" t="n">
        <x:v>113100</x:v>
      </x:c>
      <x:c r="BX19" s="5" t="n">
        <x:v>179000</x:v>
      </x:c>
      <x:c r="BY19" s="5" t="n">
        <x:v>111400</x:v>
      </x:c>
      <x:c r="BZ19" s="5" t="n">
        <x:v>301.79</x:v>
      </x:c>
      <x:c r="CA19" s="5" t="n">
        <x:v>225.1633</x:v>
      </x:c>
      <x:c r="CB19" s="5" t="n">
        <x:v>184.24</x:v>
      </x:c>
      <x:c r="CC19" s="5" t="n">
        <x:v>243.58</x:v>
      </x:c>
      <x:c r="CD19" s="5" t="n">
        <x:v>228.67</x:v>
      </x:c>
      <x:c r="CE19" s="5" t="n">
        <x:v>184.58</x:v>
      </x:c>
      <x:c r="CF19" s="5" t="n">
        <x:v>282.72</x:v>
      </x:c>
      <x:c r="CG19" s="5" t="n">
        <x:v>377.92</x:v>
      </x:c>
      <x:c r="CH19" s="5" t="n">
        <x:v>210.96</x:v>
      </x:c>
      <x:c r="CI19" s="5" t="n">
        <x:v>302.56</x:v>
      </x:c>
      <x:c r="CJ19" s="5" t="n">
        <x:v>352.8</x:v>
      </x:c>
      <x:c r="CK19" s="5" t="n">
        <x:v>230.43</x:v>
      </x:c>
      <x:c r="CL19" s="5" t="n">
        <x:v>268</x:v>
      </x:c>
      <x:c r="CM19" s="5" t="n">
        <x:v>224.57</x:v>
      </x:c>
      <x:c r="CN19" s="5"/>
      <x:c r="CO19" s="5"/>
      <x:c r="CP19" s="5"/>
      <x:c r="CQ19" s="5"/>
      <x:c r="CR19" s="5"/>
      <x:c r="CS19" s="5"/>
      <x:c r="CT19" s="5"/>
      <x:c r="CU19" s="5"/>
      <x:c r="CV19" s="5"/>
      <x:c r="CW19" s="5"/>
      <x:c r="CX19" s="5"/>
      <x:c r="CY19" s="5"/>
      <x:c r="CZ19" s="5"/>
      <x:c r="DA19" s="5"/>
      <x:c r="DB19" s="5"/>
      <x:c r="DC19" s="5"/>
      <x:c r="DD19" s="5"/>
      <x:c r="DE19" s="5"/>
      <x:c r="DF19" s="5"/>
      <x:c r="DG19" s="5"/>
      <x:c r="DH19" s="5"/>
      <x:c r="DI19" s="5"/>
      <x:c r="DJ19" s="5"/>
      <x:c r="DK19" s="5"/>
      <x:c r="DL19" s="5"/>
      <x:c r="DM19" s="5"/>
    </x:row>
    <x:row r="20">
      <x:c r="A20" s="5" t="n">
        <x:v>15</x:v>
      </x:c>
      <x:c r="B20" s="5"/>
      <x:c r="C20" s="5" t="str">
        <x:v>77-53-2</x:v>
      </x:c>
      <x:c r="D20" s="5"/>
      <x:c r="E20" s="5"/>
      <x:c r="F20" s="5"/>
      <x:c r="G20" s="5" t="n">
        <x:v>2.45</x:v>
      </x:c>
      <x:c r="H20" s="5" t="n">
        <x:v>0.47</x:v>
      </x:c>
      <x:c r="I20" s="5"/>
      <x:c r="J20" s="5"/>
      <x:c r="K20" s="5" t="n">
        <x:v>0.26</x:v>
      </x:c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  <x:c r="BA20" s="5"/>
      <x:c r="BB20" s="5"/>
      <x:c r="BC20" s="5"/>
      <x:c r="BD20" s="5"/>
      <x:c r="BE20" s="5"/>
      <x:c r="BF20" s="5"/>
      <x:c r="BG20" s="5"/>
      <x:c r="BH20" s="5"/>
      <x:c r="BI20" s="5"/>
      <x:c r="BJ20" s="5"/>
      <x:c r="BK20" s="5"/>
      <x:c r="BL20" s="5"/>
      <x:c r="BM20" s="5"/>
      <x:c r="BN20" s="5"/>
      <x:c r="BO20" s="5"/>
      <x:c r="BP20" s="5"/>
      <x:c r="BQ20" s="5"/>
      <x:c r="BR20" s="5"/>
      <x:c r="BS20" s="5"/>
      <x:c r="BT20" s="5"/>
      <x:c r="BU20" s="5"/>
      <x:c r="BV20" s="5"/>
      <x:c r="BW20" s="5"/>
      <x:c r="BX20" s="5"/>
      <x:c r="BY20" s="5"/>
      <x:c r="BZ20" s="5"/>
      <x:c r="CA20" s="5"/>
      <x:c r="CB20" s="5"/>
      <x:c r="CC20" s="5"/>
      <x:c r="CD20" s="5"/>
      <x:c r="CE20" s="5"/>
      <x:c r="CF20" s="5"/>
      <x:c r="CG20" s="5"/>
      <x:c r="CH20" s="5"/>
      <x:c r="CI20" s="5"/>
      <x:c r="CJ20" s="5"/>
      <x:c r="CK20" s="5"/>
      <x:c r="CL20" s="5"/>
      <x:c r="CM20" s="5"/>
      <x:c r="CN20" s="5"/>
      <x:c r="CO20" s="5"/>
      <x:c r="CP20" s="5"/>
      <x:c r="CQ20" s="5"/>
      <x:c r="CR20" s="5"/>
      <x:c r="CS20" s="5"/>
      <x:c r="CT20" s="5"/>
      <x:c r="CU20" s="5"/>
      <x:c r="CV20" s="5"/>
      <x:c r="CW20" s="5"/>
      <x:c r="CX20" s="5"/>
      <x:c r="CY20" s="5"/>
      <x:c r="CZ20" s="5"/>
      <x:c r="DA20" s="5"/>
      <x:c r="DB20" s="5"/>
      <x:c r="DC20" s="5"/>
      <x:c r="DD20" s="5"/>
      <x:c r="DE20" s="5"/>
      <x:c r="DF20" s="5"/>
      <x:c r="DG20" s="5"/>
      <x:c r="DH20" s="5"/>
      <x:c r="DI20" s="5"/>
      <x:c r="DJ20" s="5"/>
      <x:c r="DK20" s="5"/>
      <x:c r="DL20" s="5"/>
      <x:c r="DM20" s="5"/>
    </x:row>
    <x:row r="21">
      <x:c r="A21" s="5" t="n">
        <x:v>16</x:v>
      </x:c>
      <x:c r="B21" s="5"/>
      <x:c r="C21" s="5" t="str">
        <x:v>78-70-6</x:v>
      </x:c>
      <x:c r="D21" s="5"/>
      <x:c r="E21" s="5"/>
      <x:c r="F21" s="5"/>
      <x:c r="G21" s="5"/>
      <x:c r="H21" s="5"/>
      <x:c r="I21" s="5"/>
      <x:c r="J21" s="5"/>
      <x:c r="K21" s="5" t="n">
        <x:v>0.61</x:v>
      </x:c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</x:row>
    <x:row r="22">
      <x:c r="A22" s="5" t="n">
        <x:v>17</x:v>
      </x:c>
      <x:c r="B22" s="5" t="str">
        <x:v>异丁醇</x:v>
      </x:c>
      <x:c r="C22" s="5" t="str">
        <x:v>78-83-1</x:v>
      </x:c>
      <x:c r="D22" s="5" t="n">
        <x:v>28300</x:v>
      </x:c>
      <x:c r="E22" s="5"/>
      <x:c r="F22" s="5"/>
      <x:c r="G22" s="5" t="n">
        <x:v>27.66</x:v>
      </x:c>
      <x:c r="H22" s="5" t="n">
        <x:v>11.36</x:v>
      </x:c>
      <x:c r="I22" s="5" t="n">
        <x:v>11.55</x:v>
      </x:c>
      <x:c r="J22" s="5" t="n">
        <x:v>121.33</x:v>
      </x:c>
      <x:c r="K22" s="5" t="n">
        <x:v>8.45</x:v>
      </x:c>
      <x:c r="L22" s="5"/>
      <x:c r="M22" s="5"/>
      <x:c r="N22" s="5"/>
      <x:c r="O22" s="5"/>
      <x:c r="P22" s="5"/>
      <x:c r="Q22" s="5"/>
      <x:c r="R22" s="5"/>
      <x:c r="S22" s="5"/>
      <x:c r="T22" s="5" t="n">
        <x:v>1</x:v>
      </x:c>
      <x:c r="U22" s="5" t="n">
        <x:v>0</x:v>
      </x:c>
      <x:c r="V22" s="5"/>
      <x:c r="W22" s="5" t="n">
        <x:v>136000</x:v>
      </x:c>
      <x:c r="X22" s="5" t="n">
        <x:v>42600</x:v>
      </x:c>
      <x:c r="Y22" s="5" t="n">
        <x:v>29800</x:v>
      </x:c>
      <x:c r="Z22" s="5" t="n">
        <x:v>25200</x:v>
      </x:c>
      <x:c r="AA22" s="5" t="n">
        <x:v>20800</x:v>
      </x:c>
      <x:c r="AB22" s="5" t="n">
        <x:v>17300</x:v>
      </x:c>
      <x:c r="AC22" s="5" t="n">
        <x:v>10400</x:v>
      </x:c>
      <x:c r="AD22" s="5" t="n">
        <x:v>7140</x:v>
      </x:c>
      <x:c r="AE22" s="5" t="n">
        <x:v>270140</x:v>
      </x:c>
      <x:c r="AF22" s="5" t="n">
        <x:v>279260</x:v>
      </x:c>
      <x:c r="AG22" s="5" t="n">
        <x:v>86310</x:v>
      </x:c>
      <x:c r="AH22" s="5" t="n">
        <x:v>4100</x:v>
      </x:c>
      <x:c r="AI22" s="5" t="n">
        <x:v>17080</x:v>
      </x:c>
      <x:c r="AJ22" s="5" t="n">
        <x:v>7450</x:v>
      </x:c>
      <x:c r="AK22" s="5" t="n">
        <x:v>3650</x:v>
      </x:c>
      <x:c r="AL22" s="5" t="n">
        <x:v>4460</x:v>
      </x:c>
      <x:c r="AM22" s="5"/>
      <x:c r="AN22" s="5"/>
      <x:c r="AO22" s="5"/>
      <x:c r="AP22" s="5"/>
      <x:c r="AQ22" s="5" t="n">
        <x:v>42.72</x:v>
      </x:c>
      <x:c r="AR22" s="5" t="n">
        <x:v>15.22</x:v>
      </x:c>
      <x:c r="AS22" s="5" t="n">
        <x:v>18.45</x:v>
      </x:c>
      <x:c r="AT22" s="5" t="n">
        <x:v>12.29</x:v>
      </x:c>
      <x:c r="AU22" s="5" t="n">
        <x:v>3.87</x:v>
      </x:c>
      <x:c r="AV22" s="5" t="n">
        <x:v>27301</x:v>
      </x:c>
      <x:c r="AW22" s="5" t="n">
        <x:v>2</x:v>
      </x:c>
      <x:c r="AX22" s="5" t="n">
        <x:v>41401.5</x:v>
      </x:c>
      <x:c r="AY22" s="5" t="n">
        <x:v>53800</x:v>
      </x:c>
      <x:c r="AZ22" s="5"/>
      <x:c r="BA22" s="5"/>
      <x:c r="BB22" s="5" t="n">
        <x:v>82.23</x:v>
      </x:c>
      <x:c r="BC22" s="5"/>
      <x:c r="BD22" s="5" t="n">
        <x:v>91.41</x:v>
      </x:c>
      <x:c r="BE22" s="5" t="n">
        <x:v>87.2</x:v>
      </x:c>
      <x:c r="BF22" s="5" t="n">
        <x:v>84.52</x:v>
      </x:c>
      <x:c r="BG22" s="5" t="n">
        <x:v>75.62</x:v>
      </x:c>
      <x:c r="BH22" s="5" t="n">
        <x:v>78.14</x:v>
      </x:c>
      <x:c r="BI22" s="5" t="n">
        <x:v>73.7</x:v>
      </x:c>
      <x:c r="BJ22" s="5" t="n">
        <x:v>23.72</x:v>
      </x:c>
      <x:c r="BK22" s="5" t="n">
        <x:v>238.42</x:v>
      </x:c>
      <x:c r="BL22" s="5" t="n">
        <x:v>168.82</x:v>
      </x:c>
      <x:c r="BM22" s="5" t="n">
        <x:v>183.1</x:v>
      </x:c>
      <x:c r="BN22" s="5" t="n">
        <x:v>174.41</x:v>
      </x:c>
      <x:c r="BO22" s="5" t="n">
        <x:v>186.81</x:v>
      </x:c>
      <x:c r="BP22" s="5" t="n">
        <x:v>162.82</x:v>
      </x:c>
      <x:c r="BQ22" s="5" t="n">
        <x:v>228500</x:v>
      </x:c>
      <x:c r="BR22" s="5" t="n">
        <x:v>106000</x:v>
      </x:c>
      <x:c r="BS22" s="5" t="n">
        <x:v>106800</x:v>
      </x:c>
      <x:c r="BT22" s="5" t="n">
        <x:v>120500</x:v>
      </x:c>
      <x:c r="BU22" s="5" t="n">
        <x:v>70900</x:v>
      </x:c>
      <x:c r="BV22" s="5" t="n">
        <x:v>109700</x:v>
      </x:c>
      <x:c r="BW22" s="5" t="n">
        <x:v>43600</x:v>
      </x:c>
      <x:c r="BX22" s="5" t="n">
        <x:v>50400</x:v>
      </x:c>
      <x:c r="BY22" s="5" t="n">
        <x:v>42100</x:v>
      </x:c>
      <x:c r="BZ22" s="5" t="n">
        <x:v>57.385</x:v>
      </x:c>
      <x:c r="CA22" s="5" t="n">
        <x:v>53.425</x:v>
      </x:c>
      <x:c r="CB22" s="5" t="n">
        <x:v>88.95</x:v>
      </x:c>
      <x:c r="CC22" s="5" t="n">
        <x:v>70.7</x:v>
      </x:c>
      <x:c r="CD22" s="5" t="n">
        <x:v>121.4</x:v>
      </x:c>
      <x:c r="CE22" s="5" t="n">
        <x:v>112.28</x:v>
      </x:c>
      <x:c r="CF22" s="5" t="n">
        <x:v>117.04</x:v>
      </x:c>
      <x:c r="CG22" s="5" t="n">
        <x:v>41.61</x:v>
      </x:c>
      <x:c r="CH22" s="5" t="n">
        <x:v>41.45</x:v>
      </x:c>
      <x:c r="CI22" s="5" t="n">
        <x:v>132.49</x:v>
      </x:c>
      <x:c r="CJ22" s="5" t="n">
        <x:v>121.68</x:v>
      </x:c>
      <x:c r="CK22" s="5" t="n">
        <x:v>101.48</x:v>
      </x:c>
      <x:c r="CL22" s="5" t="n">
        <x:v>114.44</x:v>
      </x:c>
      <x:c r="CM22" s="5" t="n">
        <x:v>94.09</x:v>
      </x:c>
      <x:c r="CN22" s="5"/>
      <x:c r="CO22" s="5"/>
      <x:c r="CP22" s="5"/>
      <x:c r="CQ22" s="5"/>
      <x:c r="CR22" s="5" t="n">
        <x:v>43928.03</x:v>
      </x:c>
      <x:c r="CS22" s="5" t="n">
        <x:v>5502.04</x:v>
      </x:c>
      <x:c r="CT22" s="5" t="n">
        <x:v>136.91</x:v>
      </x:c>
      <x:c r="CU22" s="5" t="n">
        <x:v>156.3</x:v>
      </x:c>
      <x:c r="CV22" s="5" t="n">
        <x:v>157.76</x:v>
      </x:c>
      <x:c r="CW22" s="5" t="n">
        <x:v>185.72</x:v>
      </x:c>
      <x:c r="CX22" s="5" t="n">
        <x:v>19578.07</x:v>
      </x:c>
      <x:c r="CY22" s="5" t="n">
        <x:v>50394</x:v>
      </x:c>
      <x:c r="CZ22" s="5" t="n">
        <x:v>47695.21</x:v>
      </x:c>
      <x:c r="DA22" s="5" t="n">
        <x:v>20081.8</x:v>
      </x:c>
      <x:c r="DB22" s="5" t="n">
        <x:v>17504.15</x:v>
      </x:c>
      <x:c r="DC22" s="5" t="n">
        <x:v>6386.46</x:v>
      </x:c>
      <x:c r="DD22" s="5" t="n">
        <x:v>90485.48</x:v>
      </x:c>
      <x:c r="DE22" s="5" t="n">
        <x:v>17526.14</x:v>
      </x:c>
      <x:c r="DF22" s="5" t="n">
        <x:v>43263.6</x:v>
      </x:c>
      <x:c r="DG22" s="5" t="n">
        <x:v>47898.48</x:v>
      </x:c>
      <x:c r="DH22" s="5" t="n">
        <x:v>67130.54</x:v>
      </x:c>
      <x:c r="DI22" s="5" t="n">
        <x:v>68577.4</x:v>
      </x:c>
      <x:c r="DJ22" s="5" t="n">
        <x:v>79029.09</x:v>
      </x:c>
      <x:c r="DK22" s="5" t="n">
        <x:v>55529.52</x:v>
      </x:c>
      <x:c r="DL22" s="5" t="n">
        <x:v>87437.48</x:v>
      </x:c>
      <x:c r="DM22" s="5" t="n">
        <x:v>46136.68</x:v>
      </x:c>
    </x:row>
    <x:row r="23">
      <x:c r="A23" s="5" t="n">
        <x:v>18</x:v>
      </x:c>
      <x:c r="B23" s="5" t="str">
        <x:v>2-甲基丙醛</x:v>
      </x:c>
      <x:c r="C23" s="5" t="str">
        <x:v>78-84-2</x:v>
      </x:c>
      <x:c r="D23" s="5" t="n">
        <x:v>5.9</x:v>
      </x:c>
      <x:c r="E23" s="5"/>
      <x:c r="F23" s="5"/>
      <x:c r="G23" s="5"/>
      <x:c r="H23" s="5"/>
      <x:c r="I23" s="5"/>
      <x:c r="J23" s="5"/>
      <x:c r="K23" s="5"/>
      <x:c r="L23" s="5"/>
      <x:c r="M23" s="5"/>
      <x:c r="N23" s="5" t="n">
        <x:v>225</x:v>
      </x:c>
      <x:c r="O23" s="5" t="n">
        <x:v>394</x:v>
      </x:c>
      <x:c r="P23" s="5" t="n">
        <x:v>470</x:v>
      </x:c>
      <x:c r="Q23" s="5" t="n">
        <x:v>446</x:v>
      </x:c>
      <x:c r="R23" s="5" t="n">
        <x:v>447</x:v>
      </x:c>
      <x:c r="S23" s="5" t="n">
        <x:v>402</x:v>
      </x:c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 t="n">
        <x:v>2380</x:v>
      </x:c>
      <x:c r="AI23" s="5" t="n">
        <x:v>19640</x:v>
      </x:c>
      <x:c r="AJ23" s="5" t="n">
        <x:v>10650</x:v>
      </x:c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 t="n">
        <x:v>39</x:v>
      </x:c>
      <x:c r="BA23" s="5" t="n">
        <x:v>214</x:v>
      </x:c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 t="n">
        <x:v>4000</x:v>
      </x:c>
      <x:c r="BR23" s="5" t="n">
        <x:v>35900</x:v>
      </x:c>
      <x:c r="BS23" s="5" t="n">
        <x:v>11800</x:v>
      </x:c>
      <x:c r="BT23" s="5" t="n">
        <x:v>23400</x:v>
      </x:c>
      <x:c r="BU23" s="5" t="n">
        <x:v>21000</x:v>
      </x:c>
      <x:c r="BV23" s="5" t="n">
        <x:v>1900</x:v>
      </x:c>
      <x:c r="BW23" s="5" t="n">
        <x:v>1300</x:v>
      </x:c>
      <x:c r="BX23" s="5" t="n">
        <x:v>9600</x:v>
      </x:c>
      <x:c r="BY23" s="5" t="n">
        <x:v>3800</x:v>
      </x:c>
      <x:c r="BZ23" s="5" t="n">
        <x:v>310</x:v>
      </x:c>
      <x:c r="CA23" s="5" t="n">
        <x:v>288.81</x:v>
      </x:c>
      <x:c r="CB23" s="5" t="n">
        <x:v>656.65</x:v>
      </x:c>
      <x:c r="CC23" s="5" t="n">
        <x:v>526.6</x:v>
      </x:c>
      <x:c r="CD23" s="5" t="n">
        <x:v>1168.71</x:v>
      </x:c>
      <x:c r="CE23" s="5" t="n">
        <x:v>1060.25</x:v>
      </x:c>
      <x:c r="CF23" s="5" t="n">
        <x:v>658.16</x:v>
      </x:c>
      <x:c r="CG23" s="5" t="n">
        <x:v>374.2</x:v>
      </x:c>
      <x:c r="CH23" s="5" t="n">
        <x:v>287.15</x:v>
      </x:c>
      <x:c r="CI23" s="5" t="n">
        <x:v>1629.71</x:v>
      </x:c>
      <x:c r="CJ23" s="5" t="n">
        <x:v>2058.1</x:v>
      </x:c>
      <x:c r="CK23" s="5" t="n">
        <x:v>1036.25</x:v>
      </x:c>
      <x:c r="CL23" s="5" t="n">
        <x:v>810.15</x:v>
      </x:c>
      <x:c r="CM23" s="5" t="n">
        <x:v>871.87</x:v>
      </x:c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</x:row>
    <x:row r="24">
      <x:c r="A24" s="5" t="n">
        <x:v>19</x:v>
      </x:c>
      <x:c r="B24" s="5" t="str">
        <x:v>2-丁醇a</x:v>
      </x:c>
      <x:c r="C24" s="5" t="str">
        <x:v>78-92-2</x:v>
      </x:c>
      <x:c r="D24" s="5" t="n">
        <x:v>50000</x:v>
      </x:c>
      <x:c r="E24" s="5"/>
      <x:c r="F24" s="5"/>
      <x:c r="G24" s="5" t="n">
        <x:v>5.82</x:v>
      </x:c>
      <x:c r="H24" s="5"/>
      <x:c r="I24" s="5"/>
      <x:c r="J24" s="5"/>
      <x:c r="K24" s="5" t="n">
        <x:v>1.61</x:v>
      </x:c>
      <x:c r="L24" s="5"/>
      <x:c r="M24" s="5"/>
      <x:c r="N24" s="5"/>
      <x:c r="O24" s="5"/>
      <x:c r="P24" s="5"/>
      <x:c r="Q24" s="5"/>
      <x:c r="R24" s="5"/>
      <x:c r="S24" s="5"/>
      <x:c r="T24" s="5" t="n">
        <x:v>1</x:v>
      </x:c>
      <x:c r="U24" s="5" t="n">
        <x:v>0</x:v>
      </x:c>
      <x:c r="V24" s="5"/>
      <x:c r="W24" s="5"/>
      <x:c r="X24" s="5"/>
      <x:c r="Y24" s="5"/>
      <x:c r="Z24" s="5"/>
      <x:c r="AA24" s="5"/>
      <x:c r="AB24" s="5"/>
      <x:c r="AC24" s="5"/>
      <x:c r="AD24" s="5"/>
      <x:c r="AE24" s="5" t="n">
        <x:v>173670</x:v>
      </x:c>
      <x:c r="AF24" s="5"/>
      <x:c r="AG24" s="5"/>
      <x:c r="AH24" s="5" t="n">
        <x:v>2380</x:v>
      </x:c>
      <x:c r="AI24" s="5" t="n">
        <x:v>2740</x:v>
      </x:c>
      <x:c r="AJ24" s="5" t="n">
        <x:v>3250</x:v>
      </x:c>
      <x:c r="AK24" s="5" t="n">
        <x:v>5330</x:v>
      </x:c>
      <x:c r="AL24" s="5" t="n">
        <x:v>8330</x:v>
      </x:c>
      <x:c r="AM24" s="5"/>
      <x:c r="AN24" s="5"/>
      <x:c r="AO24" s="5"/>
      <x:c r="AP24" s="5"/>
      <x:c r="AQ24" s="5" t="n">
        <x:v>67.91</x:v>
      </x:c>
      <x:c r="AR24" s="5" t="n">
        <x:v>19.21</x:v>
      </x:c>
      <x:c r="AS24" s="5" t="n">
        <x:v>36.41</x:v>
      </x:c>
      <x:c r="AT24" s="5" t="n">
        <x:v>45.6</x:v>
      </x:c>
      <x:c r="AU24" s="5"/>
      <x:c r="AV24" s="5" t="n">
        <x:v>39200</x:v>
      </x:c>
      <x:c r="AW24" s="5"/>
      <x:c r="AX24" s="5" t="n">
        <x:v>60900</x:v>
      </x:c>
      <x:c r="AY24" s="5" t="n">
        <x:v>21800</x:v>
      </x:c>
      <x:c r="AZ24" s="5"/>
      <x:c r="BA24" s="5"/>
      <x:c r="BB24" s="5" t="n">
        <x:v>24.08</x:v>
      </x:c>
      <x:c r="BC24" s="5"/>
      <x:c r="BD24" s="5" t="n">
        <x:v>25.45</x:v>
      </x:c>
      <x:c r="BE24" s="5" t="n">
        <x:v>44.71</x:v>
      </x:c>
      <x:c r="BF24" s="5" t="n">
        <x:v>39.62</x:v>
      </x:c>
      <x:c r="BG24" s="5" t="n">
        <x:v>19.56</x:v>
      </x:c>
      <x:c r="BH24" s="5" t="n">
        <x:v>47.13</x:v>
      </x:c>
      <x:c r="BI24" s="5" t="n">
        <x:v>20.93</x:v>
      </x:c>
      <x:c r="BJ24" s="5" t="n">
        <x:v>27.17</x:v>
      </x:c>
      <x:c r="BK24" s="5" t="n">
        <x:v>59.79</x:v>
      </x:c>
      <x:c r="BL24" s="5" t="n">
        <x:v>64.73</x:v>
      </x:c>
      <x:c r="BM24" s="5" t="n">
        <x:v>68.93</x:v>
      </x:c>
      <x:c r="BN24" s="5" t="n">
        <x:v>59.82</x:v>
      </x:c>
      <x:c r="BO24" s="5" t="n">
        <x:v>50.35</x:v>
      </x:c>
      <x:c r="BP24" s="5" t="n">
        <x:v>62.96</x:v>
      </x:c>
      <x:c r="BQ24" s="5"/>
      <x:c r="BR24" s="5"/>
      <x:c r="BS24" s="5"/>
      <x:c r="BT24" s="5"/>
      <x:c r="BU24" s="5"/>
      <x:c r="BV24" s="5"/>
      <x:c r="BW24" s="5"/>
      <x:c r="BX24" s="5"/>
      <x:c r="BY24" s="5"/>
      <x:c r="BZ24" s="5" t="n">
        <x:v>2.935</x:v>
      </x:c>
      <x:c r="CA24" s="5" t="n">
        <x:v>1.025</x:v>
      </x:c>
      <x:c r="CB24" s="5" t="n">
        <x:v>171.54</x:v>
      </x:c>
      <x:c r="CC24" s="5" t="n">
        <x:v>74.53</x:v>
      </x:c>
      <x:c r="CD24" s="5" t="n">
        <x:v>291.86</x:v>
      </x:c>
      <x:c r="CE24" s="5" t="n">
        <x:v>97.56</x:v>
      </x:c>
      <x:c r="CF24" s="5" t="n">
        <x:v>36.54</x:v>
      </x:c>
      <x:c r="CG24" s="5" t="n">
        <x:v>17.37</x:v>
      </x:c>
      <x:c r="CH24" s="5" t="n">
        <x:v>12.81</x:v>
      </x:c>
      <x:c r="CI24" s="5" t="n">
        <x:v>77.49</x:v>
      </x:c>
      <x:c r="CJ24" s="5" t="n">
        <x:v>104.54</x:v>
      </x:c>
      <x:c r="CK24" s="5" t="n">
        <x:v>60.2</x:v>
      </x:c>
      <x:c r="CL24" s="5" t="n">
        <x:v>63.99</x:v>
      </x:c>
      <x:c r="CM24" s="5" t="n">
        <x:v>75.76</x:v>
      </x:c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 t="n">
        <x:v>6042.96</x:v>
      </x:c>
      <x:c r="CY24" s="5" t="n">
        <x:v>35971.24</x:v>
      </x:c>
      <x:c r="CZ24" s="5" t="n">
        <x:v>37999.95</x:v>
      </x:c>
      <x:c r="DA24" s="5" t="n">
        <x:v>8466.48</x:v>
      </x:c>
      <x:c r="DB24" s="5" t="n">
        <x:v>50941.29</x:v>
      </x:c>
      <x:c r="DC24" s="5" t="n">
        <x:v>8127.34</x:v>
      </x:c>
      <x:c r="DD24" s="5" t="n">
        <x:v>50596.51</x:v>
      </x:c>
      <x:c r="DE24" s="5" t="n">
        <x:v>11275.19</x:v>
      </x:c>
      <x:c r="DF24" s="5" t="n">
        <x:v>50380.79</x:v>
      </x:c>
      <x:c r="DG24" s="5" t="n">
        <x:v>9312.92</x:v>
      </x:c>
      <x:c r="DH24" s="5" t="n">
        <x:v>50438.45</x:v>
      </x:c>
      <x:c r="DI24" s="5" t="n">
        <x:v>12304.69</x:v>
      </x:c>
      <x:c r="DJ24" s="5" t="n">
        <x:v>62301.28</x:v>
      </x:c>
      <x:c r="DK24" s="5" t="n">
        <x:v>14993.95</x:v>
      </x:c>
      <x:c r="DL24" s="5" t="n">
        <x:v>79427.29</x:v>
      </x:c>
      <x:c r="DM24" s="5" t="n">
        <x:v>16452.72</x:v>
      </x:c>
    </x:row>
    <x:row r="25">
      <x:c r="A25" s="5" t="n">
        <x:v>20</x:v>
      </x:c>
      <x:c r="B25" s="5" t="str">
        <x:v>丙酸</x:v>
      </x:c>
      <x:c r="C25" s="5" t="str">
        <x:v>79-09-4</x:v>
      </x:c>
      <x:c r="D25" s="5" t="n">
        <x:v>18200</x:v>
      </x:c>
      <x:c r="E25" s="5" t="n">
        <x:v>1935</x:v>
      </x:c>
      <x:c r="F25" s="5" t="n">
        <x:v>13666</x:v>
      </x:c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 t="n">
        <x:v>24220</x:v>
      </x:c>
      <x:c r="AF25" s="5" t="n">
        <x:v>23880</x:v>
      </x:c>
      <x:c r="AG25" s="5"/>
      <x:c r="AH25" s="5" t="n">
        <x:v>1325</x:v>
      </x:c>
      <x:c r="AI25" s="5" t="n">
        <x:v>760</x:v>
      </x:c>
      <x:c r="AJ25" s="5" t="n">
        <x:v>700</x:v>
      </x:c>
      <x:c r="AK25" s="5" t="n">
        <x:v>24900</x:v>
      </x:c>
      <x:c r="AL25" s="5" t="n">
        <x:v>24050</x:v>
      </x:c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 t="n">
        <x:v>6.39</x:v>
      </x:c>
      <x:c r="BC25" s="5"/>
      <x:c r="BD25" s="5" t="n">
        <x:v>10.98</x:v>
      </x:c>
      <x:c r="BE25" s="5" t="n">
        <x:v>15.99</x:v>
      </x:c>
      <x:c r="BF25" s="5" t="n">
        <x:v>14.4</x:v>
      </x:c>
      <x:c r="BG25" s="5" t="n">
        <x:v>10.23</x:v>
      </x:c>
      <x:c r="BH25" s="5" t="n">
        <x:v>10.89</x:v>
      </x:c>
      <x:c r="BI25" s="5" t="n">
        <x:v>10.25</x:v>
      </x:c>
      <x:c r="BJ25" s="5" t="n">
        <x:v>12.67</x:v>
      </x:c>
      <x:c r="BK25" s="5" t="n">
        <x:v>8.62</x:v>
      </x:c>
      <x:c r="BL25" s="5" t="n">
        <x:v>7.58</x:v>
      </x:c>
      <x:c r="BM25" s="5" t="n">
        <x:v>11.2</x:v>
      </x:c>
      <x:c r="BN25" s="5" t="n">
        <x:v>7.05</x:v>
      </x:c>
      <x:c r="BO25" s="5" t="n">
        <x:v>9.03</x:v>
      </x:c>
      <x:c r="BP25" s="5" t="n">
        <x:v>9.55</x:v>
      </x:c>
      <x:c r="BQ25" s="5" t="n">
        <x:v>8600</x:v>
      </x:c>
      <x:c r="BR25" s="5" t="n">
        <x:v>7800</x:v>
      </x:c>
      <x:c r="BS25" s="5" t="n">
        <x:v>10000</x:v>
      </x:c>
      <x:c r="BT25" s="5" t="n">
        <x:v>7200</x:v>
      </x:c>
      <x:c r="BU25" s="5" t="n">
        <x:v>9800</x:v>
      </x:c>
      <x:c r="BV25" s="5" t="n">
        <x:v>4000</x:v>
      </x:c>
      <x:c r="BW25" s="5" t="n">
        <x:v>9800</x:v>
      </x:c>
      <x:c r="BX25" s="5" t="n">
        <x:v>6900</x:v>
      </x:c>
      <x:c r="BY25" s="5" t="n">
        <x:v>7600</x:v>
      </x:c>
      <x:c r="BZ25" s="5" t="n">
        <x:v>5.99</x:v>
      </x:c>
      <x:c r="CA25" s="5" t="n">
        <x:v>6.045</x:v>
      </x:c>
      <x:c r="CB25" s="5" t="n">
        <x:v>14.53</x:v>
      </x:c>
      <x:c r="CC25" s="5" t="n">
        <x:v>15.33</x:v>
      </x:c>
      <x:c r="CD25" s="5" t="n">
        <x:v>16.29</x:v>
      </x:c>
      <x:c r="CE25" s="5" t="n">
        <x:v>19.06</x:v>
      </x:c>
      <x:c r="CF25" s="5" t="n">
        <x:v>14.5</x:v>
      </x:c>
      <x:c r="CG25" s="5" t="n">
        <x:v>10.03</x:v>
      </x:c>
      <x:c r="CH25" s="5" t="n">
        <x:v>9.8</x:v>
      </x:c>
      <x:c r="CI25" s="5" t="n">
        <x:v>18.46</x:v>
      </x:c>
      <x:c r="CJ25" s="5" t="n">
        <x:v>19.11</x:v>
      </x:c>
      <x:c r="CK25" s="5" t="n">
        <x:v>25.21</x:v>
      </x:c>
      <x:c r="CL25" s="5" t="n">
        <x:v>18.13</x:v>
      </x:c>
      <x:c r="CM25" s="5" t="n">
        <x:v>14.25</x:v>
      </x:c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 t="n">
        <x:v>10370.07</x:v>
      </x:c>
      <x:c r="CY25" s="5" t="n">
        <x:v>8699.07</x:v>
      </x:c>
      <x:c r="CZ25" s="5" t="n">
        <x:v>12095.95</x:v>
      </x:c>
      <x:c r="DA25" s="5" t="n">
        <x:v>5463.55</x:v>
      </x:c>
      <x:c r="DB25" s="5" t="n">
        <x:v>5474.98</x:v>
      </x:c>
      <x:c r="DC25" s="5" t="n">
        <x:v>6226.93</x:v>
      </x:c>
      <x:c r="DD25" s="5" t="n">
        <x:v>8002.66</x:v>
      </x:c>
      <x:c r="DE25" s="5" t="n">
        <x:v>6540.65</x:v>
      </x:c>
      <x:c r="DF25" s="5" t="n">
        <x:v>4721.94</x:v>
      </x:c>
      <x:c r="DG25" s="5" t="n">
        <x:v>5704.31</x:v>
      </x:c>
      <x:c r="DH25" s="5" t="n">
        <x:v>5760.81</x:v>
      </x:c>
      <x:c r="DI25" s="5" t="n">
        <x:v>3618.5</x:v>
      </x:c>
      <x:c r="DJ25" s="5" t="n">
        <x:v>4721.39</x:v>
      </x:c>
      <x:c r="DK25" s="5" t="n">
        <x:v>4567.35</x:v>
      </x:c>
      <x:c r="DL25" s="5" t="n">
        <x:v>6468.84</x:v>
      </x:c>
      <x:c r="DM25" s="5" t="n">
        <x:v>3422.11</x:v>
      </x:c>
    </x:row>
    <x:row r="26">
      <x:c r="A26" s="5" t="n">
        <x:v>21</x:v>
      </x:c>
      <x:c r="B26" s="5" t="str">
        <x:v>异丁酸</x:v>
      </x:c>
      <x:c r="C26" s="5" t="str">
        <x:v>79-31-2</x:v>
      </x:c>
      <x:c r="D26" s="5" t="n">
        <x:v>1580</x:v>
      </x:c>
      <x:c r="E26" s="5" t="n">
        <x:v>95</x:v>
      </x:c>
      <x:c r="F26" s="5" t="n">
        <x:v>1130</x:v>
      </x:c>
      <x:c r="G26" s="5" t="n">
        <x:v>4.17</x:v>
      </x:c>
      <x:c r="H26" s="5" t="n">
        <x:v>14.17</x:v>
      </x:c>
      <x:c r="I26" s="5" t="n">
        <x:v>0.66</x:v>
      </x:c>
      <x:c r="J26" s="5" t="n">
        <x:v>4.13</x:v>
      </x:c>
      <x:c r="K26" s="5" t="n">
        <x:v>0.37</x:v>
      </x:c>
      <x:c r="L26" s="5"/>
      <x:c r="M26" s="5"/>
      <x:c r="N26" s="5" t="n">
        <x:v>4761</x:v>
      </x:c>
      <x:c r="O26" s="5" t="n">
        <x:v>4222</x:v>
      </x:c>
      <x:c r="P26" s="5" t="n">
        <x:v>4638</x:v>
      </x:c>
      <x:c r="Q26" s="5" t="n">
        <x:v>3808</x:v>
      </x:c>
      <x:c r="R26" s="5" t="n">
        <x:v>3681</x:v>
      </x:c>
      <x:c r="S26" s="5" t="n">
        <x:v>4290</x:v>
      </x:c>
      <x:c r="T26" s="5" t="n">
        <x:v>40</x:v>
      </x:c>
      <x:c r="U26" s="5" t="n">
        <x:v>35</x:v>
      </x:c>
      <x:c r="V26" s="5"/>
      <x:c r="W26" s="5"/>
      <x:c r="X26" s="5"/>
      <x:c r="Y26" s="5"/>
      <x:c r="Z26" s="5"/>
      <x:c r="AA26" s="5"/>
      <x:c r="AB26" s="5"/>
      <x:c r="AC26" s="5"/>
      <x:c r="AD26" s="5"/>
      <x:c r="AE26" s="5" t="n">
        <x:v>490</x:v>
      </x:c>
      <x:c r="AF26" s="5" t="n">
        <x:v>2740</x:v>
      </x:c>
      <x:c r="AG26" s="5"/>
      <x:c r="AH26" s="5" t="n">
        <x:v>500</x:v>
      </x:c>
      <x:c r="AI26" s="5" t="n">
        <x:v>280</x:v>
      </x:c>
      <x:c r="AJ26" s="5" t="n">
        <x:v>350</x:v>
      </x:c>
      <x:c r="AK26" s="5"/>
      <x:c r="AL26" s="5"/>
      <x:c r="AM26" s="5"/>
      <x:c r="AN26" s="5"/>
      <x:c r="AO26" s="5"/>
      <x:c r="AP26" s="5"/>
      <x:c r="AQ26" s="5" t="n">
        <x:v>4.25</x:v>
      </x:c>
      <x:c r="AR26" s="5" t="n">
        <x:v>3.58</x:v>
      </x:c>
      <x:c r="AS26" s="5" t="n">
        <x:v>4.64</x:v>
      </x:c>
      <x:c r="AT26" s="5" t="n">
        <x:v>5.39</x:v>
      </x:c>
      <x:c r="AU26" s="5"/>
      <x:c r="AV26" s="5"/>
      <x:c r="AW26" s="5"/>
      <x:c r="AX26" s="5"/>
      <x:c r="AY26" s="5"/>
      <x:c r="AZ26" s="5"/>
      <x:c r="BA26" s="5"/>
      <x:c r="BB26" s="5" t="n">
        <x:v>4.76</x:v>
      </x:c>
      <x:c r="BC26" s="5"/>
      <x:c r="BD26" s="5" t="n">
        <x:v>8.74</x:v>
      </x:c>
      <x:c r="BE26" s="5" t="n">
        <x:v>12.19</x:v>
      </x:c>
      <x:c r="BF26" s="5" t="n">
        <x:v>11.6</x:v>
      </x:c>
      <x:c r="BG26" s="5" t="n">
        <x:v>8.6</x:v>
      </x:c>
      <x:c r="BH26" s="5" t="n">
        <x:v>9.33</x:v>
      </x:c>
      <x:c r="BI26" s="5" t="n">
        <x:v>9.57</x:v>
      </x:c>
      <x:c r="BJ26" s="5" t="n">
        <x:v>11.96</x:v>
      </x:c>
      <x:c r="BK26" s="5" t="n">
        <x:v>15.99</x:v>
      </x:c>
      <x:c r="BL26" s="5" t="n">
        <x:v>11.29</x:v>
      </x:c>
      <x:c r="BM26" s="5" t="n">
        <x:v>16.14</x:v>
      </x:c>
      <x:c r="BN26" s="5" t="n">
        <x:v>9.88</x:v>
      </x:c>
      <x:c r="BO26" s="5" t="n">
        <x:v>16.26</x:v>
      </x:c>
      <x:c r="BP26" s="5" t="n">
        <x:v>5.37</x:v>
      </x:c>
      <x:c r="BQ26" s="5"/>
      <x:c r="BR26" s="5"/>
      <x:c r="BS26" s="5"/>
      <x:c r="BT26" s="5"/>
      <x:c r="BU26" s="5"/>
      <x:c r="BV26" s="5"/>
      <x:c r="BW26" s="5"/>
      <x:c r="BX26" s="5"/>
      <x:c r="BY26" s="5"/>
      <x:c r="BZ26" s="5" t="n">
        <x:v>5.235</x:v>
      </x:c>
      <x:c r="CA26" s="5" t="n">
        <x:v>6.585</x:v>
      </x:c>
      <x:c r="CB26" s="5" t="n">
        <x:v>5.55</x:v>
      </x:c>
      <x:c r="CC26" s="5" t="n">
        <x:v>8.62</x:v>
      </x:c>
      <x:c r="CD26" s="5" t="n">
        <x:v>8.16</x:v>
      </x:c>
      <x:c r="CE26" s="5" t="n">
        <x:v>38.42</x:v>
      </x:c>
      <x:c r="CF26" s="5" t="n">
        <x:v>7.6</x:v>
      </x:c>
      <x:c r="CG26" s="5" t="n">
        <x:v>1.86</x:v>
      </x:c>
      <x:c r="CH26" s="5" t="n">
        <x:v>2</x:v>
      </x:c>
      <x:c r="CI26" s="5" t="n">
        <x:v>57.22</x:v>
      </x:c>
      <x:c r="CJ26" s="5" t="n">
        <x:v>15.67</x:v>
      </x:c>
      <x:c r="CK26" s="5" t="n">
        <x:v>15</x:v>
      </x:c>
      <x:c r="CL26" s="5" t="n">
        <x:v>17.26</x:v>
      </x:c>
      <x:c r="CM26" s="5" t="n">
        <x:v>14.97</x:v>
      </x:c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 t="n">
        <x:v>7073.44</x:v>
      </x:c>
      <x:c r="CY26" s="5" t="n">
        <x:v>6267.03</x:v>
      </x:c>
      <x:c r="CZ26" s="5" t="n">
        <x:v>5102.38</x:v>
      </x:c>
      <x:c r="DA26" s="5" t="n">
        <x:v>5181.62</x:v>
      </x:c>
      <x:c r="DB26" s="5" t="n">
        <x:v>2695.34</x:v>
      </x:c>
      <x:c r="DC26" s="5" t="n">
        <x:v>5502.99</x:v>
      </x:c>
      <x:c r="DD26" s="5" t="n">
        <x:v>11637.33</x:v>
      </x:c>
      <x:c r="DE26" s="5" t="n">
        <x:v>5907.56</x:v>
      </x:c>
      <x:c r="DF26" s="5" t="n">
        <x:v>7129.58</x:v>
      </x:c>
      <x:c r="DG26" s="5" t="n">
        <x:v>5210.99</x:v>
      </x:c>
      <x:c r="DH26" s="5" t="n">
        <x:v>3106.8</x:v>
      </x:c>
      <x:c r="DI26" s="5" t="n">
        <x:v>2693.7</x:v>
      </x:c>
      <x:c r="DJ26" s="5" t="n">
        <x:v>6823.71</x:v>
      </x:c>
      <x:c r="DK26" s="5" t="n">
        <x:v>4325.9</x:v>
      </x:c>
      <x:c r="DL26" s="5" t="n">
        <x:v>4767.81</x:v>
      </x:c>
      <x:c r="DM26" s="5" t="n">
        <x:v>3153</x:v>
      </x:c>
    </x:row>
    <x:row r="27">
      <x:c r="A27" s="5" t="n">
        <x:v>22</x:v>
      </x:c>
      <x:c r="B27" s="5"/>
      <x:c r="C27" s="5" t="str">
        <x:v>83-34-1</x:v>
      </x:c>
      <x:c r="D27" s="5"/>
      <x:c r="E27" s="5"/>
      <x:c r="F27" s="5" t="n">
        <x:v>46</x:v>
      </x:c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  <x:c r="BA27" s="5"/>
      <x:c r="BB27" s="5"/>
      <x:c r="BC27" s="5"/>
      <x:c r="BD27" s="5"/>
      <x:c r="BE27" s="5"/>
      <x:c r="BF27" s="5"/>
      <x:c r="BG27" s="5"/>
      <x:c r="BH27" s="5"/>
      <x:c r="BI27" s="5"/>
      <x:c r="BJ27" s="5"/>
      <x:c r="BK27" s="5"/>
      <x:c r="BL27" s="5"/>
      <x:c r="BM27" s="5"/>
      <x:c r="BN27" s="5"/>
      <x:c r="BO27" s="5"/>
      <x:c r="BP27" s="5"/>
      <x:c r="BQ27" s="5"/>
      <x:c r="BR27" s="5"/>
      <x:c r="BS27" s="5"/>
      <x:c r="BT27" s="5"/>
      <x:c r="BU27" s="5"/>
      <x:c r="BV27" s="5"/>
      <x:c r="BW27" s="5"/>
      <x:c r="BX27" s="5"/>
      <x:c r="BY27" s="5"/>
      <x:c r="BZ27" s="5"/>
      <x:c r="CA27" s="5"/>
      <x:c r="CB27" s="5"/>
      <x:c r="CC27" s="5"/>
      <x:c r="CD27" s="5"/>
      <x:c r="CE27" s="5"/>
      <x:c r="CF27" s="5"/>
      <x:c r="CG27" s="5"/>
      <x:c r="CH27" s="5"/>
      <x:c r="CI27" s="5"/>
      <x:c r="CJ27" s="5"/>
      <x:c r="CK27" s="5"/>
      <x:c r="CL27" s="5"/>
      <x:c r="CM27" s="5"/>
      <x:c r="CN27" s="5"/>
      <x:c r="CO27" s="5"/>
      <x:c r="CP27" s="5"/>
      <x:c r="CQ27" s="5"/>
      <x:c r="CR27" s="5"/>
      <x:c r="CS27" s="5"/>
      <x:c r="CT27" s="5"/>
      <x:c r="CU27" s="5"/>
      <x:c r="CV27" s="5"/>
      <x:c r="CW27" s="5"/>
      <x:c r="CX27" s="5"/>
      <x:c r="CY27" s="5"/>
      <x:c r="CZ27" s="5"/>
      <x:c r="DA27" s="5"/>
      <x:c r="DB27" s="5"/>
      <x:c r="DC27" s="5"/>
      <x:c r="DD27" s="5"/>
      <x:c r="DE27" s="5"/>
      <x:c r="DF27" s="5"/>
      <x:c r="DG27" s="5"/>
      <x:c r="DH27" s="5"/>
      <x:c r="DI27" s="5"/>
      <x:c r="DJ27" s="5"/>
      <x:c r="DK27" s="5"/>
      <x:c r="DL27" s="5"/>
      <x:c r="DM27" s="5"/>
    </x:row>
    <x:row r="28">
      <x:c r="A28" s="5" t="n">
        <x:v>23</x:v>
      </x:c>
      <x:c r="B28" s="5"/>
      <x:c r="C28" s="5" t="str">
        <x:v>84-74-2</x:v>
      </x:c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 t="n">
        <x:v>224</x:v>
      </x:c>
      <x:c r="O28" s="5" t="n">
        <x:v>1061</x:v>
      </x:c>
      <x:c r="P28" s="5" t="n">
        <x:v>1455</x:v>
      </x:c>
      <x:c r="Q28" s="5" t="n">
        <x:v>873</x:v>
      </x:c>
      <x:c r="R28" s="5" t="n">
        <x:v>1130</x:v>
      </x:c>
      <x:c r="S28" s="5" t="n">
        <x:v>1568</x:v>
      </x:c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</x:row>
    <x:row r="29">
      <x:c r="A29" s="5" t="n">
        <x:v>24</x:v>
      </x:c>
      <x:c r="B29" s="5" t="str">
        <x:v>百里酚</x:v>
      </x:c>
      <x:c r="C29" s="5" t="str">
        <x:v>89-83-8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 t="n">
        <x:v>1</x:v>
      </x:c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</x:row>
    <x:row r="30">
      <x:c r="A30" s="5" t="n">
        <x:v>25</x:v>
      </x:c>
      <x:c r="B30" s="5" t="str">
        <x:v>愈创木酚</x:v>
      </x:c>
      <x:c r="C30" s="5" t="str">
        <x:v>90-05-1</x:v>
      </x:c>
      <x:c r="D30" s="5" t="n">
        <x:v>9.2</x:v>
      </x:c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 t="n">
        <x:v>40100</x:v>
      </x:c>
      <x:c r="BR30" s="5" t="n">
        <x:v>32800</x:v>
      </x:c>
      <x:c r="BS30" s="5" t="n">
        <x:v>15300</x:v>
      </x:c>
      <x:c r="BT30" s="5" t="n">
        <x:v>8700</x:v>
      </x:c>
      <x:c r="BU30" s="5" t="n">
        <x:v>25500</x:v>
      </x:c>
      <x:c r="BV30" s="5" t="n">
        <x:v>2000</x:v>
      </x:c>
      <x:c r="BW30" s="5" t="n">
        <x:v>35400</x:v>
      </x:c>
      <x:c r="BX30" s="5" t="n">
        <x:v>18200</x:v>
      </x:c>
      <x:c r="BY30" s="5" t="n">
        <x:v>35400</x:v>
      </x:c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</x:row>
    <x:row r="31">
      <x:c r="A31" s="5" t="n">
        <x:v>26</x:v>
      </x:c>
      <x:c r="B31" s="5" t="str">
        <x:v>2-甲氧基-4-甲基苯酚（2-甲氧基对甲酚）</x:v>
      </x:c>
      <x:c r="C31" s="5" t="str">
        <x:v>93-51-6</x:v>
      </x:c>
      <x:c r="D31" s="5"/>
      <x:c r="E31" s="5"/>
      <x:c r="F31" s="5" t="n">
        <x:v>425</x:v>
      </x:c>
      <x:c r="G31" s="5"/>
      <x:c r="H31" s="5"/>
      <x:c r="I31" s="5"/>
      <x:c r="J31" s="5"/>
      <x:c r="K31" s="5"/>
      <x:c r="L31" s="5" t="n">
        <x:v>579</x:v>
      </x:c>
      <x:c r="M31" s="5" t="n">
        <x:v>579</x:v>
      </x:c>
      <x:c r="N31" s="5"/>
      <x:c r="O31" s="5"/>
      <x:c r="P31" s="5"/>
      <x:c r="Q31" s="5"/>
      <x:c r="R31" s="5"/>
      <x:c r="S31" s="5"/>
      <x:c r="T31" s="5"/>
      <x:c r="U31" s="5"/>
      <x:c r="V31" s="5" t="n">
        <x:v>2</x:v>
      </x:c>
      <x:c r="W31" s="5"/>
      <x:c r="X31" s="5"/>
      <x:c r="Y31" s="5"/>
      <x:c r="Z31" s="5" t="n">
        <x:v>143</x:v>
      </x:c>
      <x:c r="AA31" s="5"/>
      <x:c r="AB31" s="5" t="n">
        <x:v>1140</x:v>
      </x:c>
      <x:c r="AC31" s="5" t="n">
        <x:v>514</x:v>
      </x:c>
      <x:c r="AD31" s="5" t="n">
        <x:v>600</x:v>
      </x:c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 t="n">
        <x:v>29</x:v>
      </x:c>
      <x:c r="BA31" s="5" t="n">
        <x:v>16</x:v>
      </x:c>
      <x:c r="BB31" s="5"/>
      <x:c r="BC31" s="5"/>
      <x:c r="BD31" s="5"/>
      <x:c r="BE31" s="5"/>
      <x:c r="BF31" s="5"/>
      <x:c r="BG31" s="5"/>
      <x:c r="BH31" s="5"/>
      <x:c r="BI31" s="5"/>
      <x:c r="BJ31" s="5"/>
      <x:c r="BK31" s="5" t="n">
        <x:v>1615.12</x:v>
      </x:c>
      <x:c r="BL31" s="5" t="n">
        <x:v>1931</x:v>
      </x:c>
      <x:c r="BM31" s="5" t="n">
        <x:v>728.83</x:v>
      </x:c>
      <x:c r="BN31" s="5" t="n">
        <x:v>504.32</x:v>
      </x:c>
      <x:c r="BO31" s="5" t="n">
        <x:v>431.81</x:v>
      </x:c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 t="n">
        <x:v>16.06</x:v>
      </x:c>
      <x:c r="CA31" s="5" t="n">
        <x:v>26.1</x:v>
      </x:c>
      <x:c r="CB31" s="5" t="n">
        <x:v>1527.08</x:v>
      </x:c>
      <x:c r="CC31" s="5" t="n">
        <x:v>317.41</x:v>
      </x:c>
      <x:c r="CD31" s="5" t="n">
        <x:v>684.45</x:v>
      </x:c>
      <x:c r="CE31" s="5" t="n">
        <x:v>994.41</x:v>
      </x:c>
      <x:c r="CF31" s="5" t="n">
        <x:v>94.92</x:v>
      </x:c>
      <x:c r="CG31" s="5" t="n">
        <x:v>20.54</x:v>
      </x:c>
      <x:c r="CH31" s="5" t="n">
        <x:v>11.26</x:v>
      </x:c>
      <x:c r="CI31" s="5" t="n">
        <x:v>197.85</x:v>
      </x:c>
      <x:c r="CJ31" s="5" t="n">
        <x:v>115.21</x:v>
      </x:c>
      <x:c r="CK31" s="5" t="n">
        <x:v>57.77</x:v>
      </x:c>
      <x:c r="CL31" s="5" t="n">
        <x:v>126.81</x:v>
      </x:c>
      <x:c r="CM31" s="5" t="n">
        <x:v>304.56</x:v>
      </x:c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 t="n">
        <x:v>14.87</x:v>
      </x:c>
      <x:c r="DA31" s="5"/>
      <x:c r="DB31" s="5"/>
      <x:c r="DC31" s="5" t="n">
        <x:v>163.52</x:v>
      </x:c>
      <x:c r="DD31" s="5" t="n">
        <x:v>22</x:v>
      </x:c>
      <x:c r="DE31" s="5" t="n">
        <x:v>245.74</x:v>
      </x:c>
      <x:c r="DF31" s="5" t="n">
        <x:v>54.1</x:v>
      </x:c>
      <x:c r="DG31" s="5"/>
      <x:c r="DH31" s="5"/>
      <x:c r="DI31" s="5"/>
      <x:c r="DJ31" s="5"/>
      <x:c r="DK31" s="5"/>
      <x:c r="DL31" s="5"/>
      <x:c r="DM31" s="5"/>
    </x:row>
    <x:row r="32">
      <x:c r="A32" s="5" t="n">
        <x:v>27</x:v>
      </x:c>
      <x:c r="B32" s="5" t="str">
        <x:v>苯甲酸甲酯</x:v>
      </x:c>
      <x:c r="C32" s="5" t="str">
        <x:v>93-58-3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 t="n">
        <x:v>21.015</x:v>
      </x:c>
      <x:c r="CA32" s="5" t="n">
        <x:v>16.965</x:v>
      </x:c>
      <x:c r="CB32" s="5" t="n">
        <x:v>151.92</x:v>
      </x:c>
      <x:c r="CC32" s="5" t="n">
        <x:v>147.17</x:v>
      </x:c>
      <x:c r="CD32" s="5" t="n">
        <x:v>210.59</x:v>
      </x:c>
      <x:c r="CE32" s="5" t="n">
        <x:v>224.22</x:v>
      </x:c>
      <x:c r="CF32" s="5" t="n">
        <x:v>79.72</x:v>
      </x:c>
      <x:c r="CG32" s="5" t="n">
        <x:v>65.68</x:v>
      </x:c>
      <x:c r="CH32" s="5" t="n">
        <x:v>41.3</x:v>
      </x:c>
      <x:c r="CI32" s="5" t="n">
        <x:v>114.17</x:v>
      </x:c>
      <x:c r="CJ32" s="5" t="n">
        <x:v>169.26</x:v>
      </x:c>
      <x:c r="CK32" s="5" t="n">
        <x:v>170.43</x:v>
      </x:c>
      <x:c r="CL32" s="5" t="n">
        <x:v>91.85</x:v>
      </x:c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</x:row>
    <x:row r="33">
      <x:c r="A33" s="5" t="n">
        <x:v>28</x:v>
      </x:c>
      <x:c r="B33" s="5" t="str">
        <x:v>苯甲酸乙酯</x:v>
      </x:c>
      <x:c r="C33" s="5" t="str">
        <x:v>93-89-0</x:v>
      </x:c>
      <x:c r="D33" s="5" t="n">
        <x:v>407</x:v>
      </x:c>
      <x:c r="E33" s="5" t="n">
        <x:v>62</x:v>
      </x:c>
      <x:c r="F33" s="5" t="n">
        <x:v>174</x:v>
      </x:c>
      <x:c r="G33" s="5"/>
      <x:c r="H33" s="5" t="n">
        <x:v>0.18</x:v>
      </x:c>
      <x:c r="I33" s="5"/>
      <x:c r="J33" s="5"/>
      <x:c r="K33" s="5" t="n">
        <x:v>0.74</x:v>
      </x:c>
      <x:c r="L33" s="5"/>
      <x:c r="M33" s="5"/>
      <x:c r="N33" s="5"/>
      <x:c r="O33" s="5"/>
      <x:c r="P33" s="5"/>
      <x:c r="Q33" s="5"/>
      <x:c r="R33" s="5"/>
      <x:c r="S33" s="5"/>
      <x:c r="T33" s="5" t="n">
        <x:v>1</x:v>
      </x:c>
      <x:c r="U33" s="5" t="n">
        <x:v>0</x:v>
      </x:c>
      <x:c r="V33" s="5" t="n">
        <x:v>2</x:v>
      </x:c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 t="n">
        <x:v>280</x:v>
      </x:c>
      <x:c r="AL33" s="5" t="n">
        <x:v>4640</x:v>
      </x:c>
      <x:c r="AM33" s="5"/>
      <x:c r="AN33" s="5"/>
      <x:c r="AO33" s="5"/>
      <x:c r="AP33" s="5"/>
      <x:c r="AQ33" s="5"/>
      <x:c r="AR33" s="5"/>
      <x:c r="AS33" s="5"/>
      <x:c r="AT33" s="5"/>
      <x:c r="AU33" s="5" t="n">
        <x:v>5.58</x:v>
      </x:c>
      <x:c r="AV33" s="5"/>
      <x:c r="AW33" s="5"/>
      <x:c r="AX33" s="5"/>
      <x:c r="AY33" s="5"/>
      <x:c r="AZ33" s="5" t="n">
        <x:v>532</x:v>
      </x:c>
      <x:c r="BA33" s="5"/>
      <x:c r="BB33" s="5"/>
      <x:c r="BC33" s="5"/>
      <x:c r="BD33" s="5" t="n">
        <x:v>189.52</x:v>
      </x:c>
      <x:c r="BE33" s="5" t="n">
        <x:v>886.13</x:v>
      </x:c>
      <x:c r="BF33" s="5" t="n">
        <x:v>546.41</x:v>
      </x:c>
      <x:c r="BG33" s="5" t="n">
        <x:v>81.16</x:v>
      </x:c>
      <x:c r="BH33" s="5"/>
      <x:c r="BI33" s="5" t="n">
        <x:v>90.55</x:v>
      </x:c>
      <x:c r="BJ33" s="5"/>
      <x:c r="BK33" s="5" t="n">
        <x:v>1724.43</x:v>
      </x:c>
      <x:c r="BL33" s="5" t="n">
        <x:v>1418.23</x:v>
      </x:c>
      <x:c r="BM33" s="5" t="n">
        <x:v>1959</x:v>
      </x:c>
      <x:c r="BN33" s="5" t="n">
        <x:v>1792</x:v>
      </x:c>
      <x:c r="BO33" s="5" t="n">
        <x:v>1532</x:v>
      </x:c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 t="n">
        <x:v>136.8</x:v>
      </x:c>
      <x:c r="CN33" s="5"/>
      <x:c r="CO33" s="5"/>
      <x:c r="CP33" s="5"/>
      <x:c r="CQ33" s="5"/>
      <x:c r="CR33" s="5" t="n">
        <x:v>595.77</x:v>
      </x:c>
      <x:c r="CS33" s="5" t="n">
        <x:v>683</x:v>
      </x:c>
      <x:c r="CT33" s="5"/>
      <x:c r="CU33" s="5"/>
      <x:c r="CV33" s="5"/>
      <x:c r="CW33" s="5"/>
      <x:c r="CX33" s="5"/>
      <x:c r="CY33" s="5" t="n">
        <x:v>10.78</x:v>
      </x:c>
      <x:c r="CZ33" s="5" t="n">
        <x:v>12.15</x:v>
      </x:c>
      <x:c r="DA33" s="5"/>
      <x:c r="DB33" s="5" t="n">
        <x:v>3.31</x:v>
      </x:c>
      <x:c r="DC33" s="5"/>
      <x:c r="DD33" s="5" t="n">
        <x:v>14.88</x:v>
      </x:c>
      <x:c r="DE33" s="5"/>
      <x:c r="DF33" s="5" t="n">
        <x:v>43.06</x:v>
      </x:c>
      <x:c r="DG33" s="5" t="n">
        <x:v>5.19</x:v>
      </x:c>
      <x:c r="DH33" s="5" t="n">
        <x:v>26.59</x:v>
      </x:c>
      <x:c r="DI33" s="5" t="n">
        <x:v>15.52</x:v>
      </x:c>
      <x:c r="DJ33" s="5" t="n">
        <x:v>16.3</x:v>
      </x:c>
      <x:c r="DK33" s="5" t="n">
        <x:v>3.75</x:v>
      </x:c>
      <x:c r="DL33" s="5" t="n">
        <x:v>47.94</x:v>
      </x:c>
      <x:c r="DM33" s="5" t="n">
        <x:v>2.16</x:v>
      </x:c>
    </x:row>
    <x:row r="34">
      <x:c r="A34" s="5" t="n">
        <x:v>29</x:v>
      </x:c>
      <x:c r="B34" s="5" t="str">
        <x:v>2-甲基丁醛</x:v>
      </x:c>
      <x:c r="C34" s="5" t="str">
        <x:v>96-17-3</x:v>
      </x:c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 t="n">
        <x:v>6.26</x:v>
      </x:c>
      <x:c r="AR34" s="5" t="n">
        <x:v>10.78</x:v>
      </x:c>
      <x:c r="AS34" s="5" t="n">
        <x:v>6.53</x:v>
      </x:c>
      <x:c r="AT34" s="5" t="n">
        <x:v>6.05</x:v>
      </x:c>
      <x:c r="AU34" s="5"/>
      <x:c r="AV34" s="5"/>
      <x:c r="AW34" s="5"/>
      <x:c r="AX34" s="5"/>
      <x:c r="AY34" s="5"/>
      <x:c r="AZ34" s="5"/>
      <x:c r="BA34" s="5" t="n">
        <x:v>435</x:v>
      </x:c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</x:row>
    <x:row r="35">
      <x:c r="A35" s="5" t="n">
        <x:v>30</x:v>
      </x:c>
      <x:c r="B35" s="5"/>
      <x:c r="C35" s="5" t="str">
        <x:v>96-41-3</x:v>
      </x:c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 t="n">
        <x:v>42900</x:v>
      </x:c>
      <x:c r="X35" s="5" t="n">
        <x:v>13900</x:v>
      </x:c>
      <x:c r="Y35" s="5" t="n">
        <x:v>9260</x:v>
      </x:c>
      <x:c r="Z35" s="5" t="n">
        <x:v>7720</x:v>
      </x:c>
      <x:c r="AA35" s="5" t="n">
        <x:v>6000</x:v>
      </x:c>
      <x:c r="AB35" s="5" t="n">
        <x:v>4000</x:v>
      </x:c>
      <x:c r="AC35" s="5" t="n">
        <x:v>4040</x:v>
      </x:c>
      <x:c r="AD35" s="5" t="n">
        <x:v>2500</x:v>
      </x:c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</x:row>
    <x:row r="36">
      <x:c r="A36" s="5" t="n">
        <x:v>31</x:v>
      </x:c>
      <x:c r="B36" s="5" t="str">
        <x:v>γ-丁内酯</x:v>
      </x:c>
      <x:c r="C36" s="5" t="str">
        <x:v>96-48-0</x:v>
      </x:c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 t="n">
        <x:v>5.95</x:v>
      </x:c>
      <x:c r="CZ36" s="5" t="n">
        <x:v>13.48</x:v>
      </x:c>
      <x:c r="DA36" s="5"/>
      <x:c r="DB36" s="5" t="n">
        <x:v>7</x:v>
      </x:c>
      <x:c r="DC36" s="5" t="n">
        <x:v>4.01</x:v>
      </x:c>
      <x:c r="DD36" s="5" t="n">
        <x:v>14.88</x:v>
      </x:c>
      <x:c r="DE36" s="5"/>
      <x:c r="DF36" s="5" t="n">
        <x:v>8.22</x:v>
      </x:c>
      <x:c r="DG36" s="5" t="n">
        <x:v>3.82</x:v>
      </x:c>
      <x:c r="DH36" s="5" t="n">
        <x:v>5.16</x:v>
      </x:c>
      <x:c r="DI36" s="5" t="n">
        <x:v>7.85</x:v>
      </x:c>
      <x:c r="DJ36" s="5" t="n">
        <x:v>7.84</x:v>
      </x:c>
      <x:c r="DK36" s="5" t="n">
        <x:v>2.36</x:v>
      </x:c>
      <x:c r="DL36" s="5" t="n">
        <x:v>8.94</x:v>
      </x:c>
      <x:c r="DM36" s="5" t="n">
        <x:v>4.79</x:v>
      </x:c>
    </x:row>
    <x:row r="37">
      <x:c r="A37" s="5" t="n">
        <x:v>32</x:v>
      </x:c>
      <x:c r="B37" s="5" t="str">
        <x:v>异丁酸乙酯</x:v>
      </x:c>
      <x:c r="C37" s="5" t="str">
        <x:v>97-62-1</x:v>
      </x:c>
      <x:c r="D37" s="5" t="n">
        <x:v>57.5</x:v>
      </x:c>
      <x:c r="E37" s="5" t="n">
        <x:v>8766</x:v>
      </x:c>
      <x:c r="F37" s="5" t="n">
        <x:v>9437</x:v>
      </x:c>
      <x:c r="G37" s="5"/>
      <x:c r="H37" s="5"/>
      <x:c r="I37" s="5"/>
      <x:c r="J37" s="5"/>
      <x:c r="K37" s="5"/>
      <x:c r="L37" s="5"/>
      <x:c r="M37" s="5"/>
      <x:c r="N37" s="5" t="n">
        <x:v>423</x:v>
      </x:c>
      <x:c r="O37" s="5" t="n">
        <x:v>2609</x:v>
      </x:c>
      <x:c r="P37" s="5" t="n">
        <x:v>2399</x:v>
      </x:c>
      <x:c r="Q37" s="5" t="n">
        <x:v>1629</x:v>
      </x:c>
      <x:c r="R37" s="5" t="n">
        <x:v>1263</x:v>
      </x:c>
      <x:c r="S37" s="5" t="n">
        <x:v>1996</x:v>
      </x:c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 t="n">
        <x:v>278</x:v>
      </x:c>
      <x:c r="BA37" s="5" t="n">
        <x:v>1529</x:v>
      </x:c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 t="n">
        <x:v>316.1667</x:v>
      </x:c>
      <x:c r="CA37" s="5" t="n">
        <x:v>458.1367</x:v>
      </x:c>
      <x:c r="CB37" s="5" t="n">
        <x:v>139.41</x:v>
      </x:c>
      <x:c r="CC37" s="5" t="n">
        <x:v>112.74</x:v>
      </x:c>
      <x:c r="CD37" s="5" t="n">
        <x:v>168.68</x:v>
      </x:c>
      <x:c r="CE37" s="5" t="n">
        <x:v>101.53</x:v>
      </x:c>
      <x:c r="CF37" s="5" t="n">
        <x:v>32.16</x:v>
      </x:c>
      <x:c r="CG37" s="5" t="n">
        <x:v>27.67</x:v>
      </x:c>
      <x:c r="CH37" s="5" t="n">
        <x:v>18.68</x:v>
      </x:c>
      <x:c r="CI37" s="5" t="n">
        <x:v>163.09</x:v>
      </x:c>
      <x:c r="CJ37" s="5" t="n">
        <x:v>139.11</x:v>
      </x:c>
      <x:c r="CK37" s="5" t="n">
        <x:v>89.01</x:v>
      </x:c>
      <x:c r="CL37" s="5" t="n">
        <x:v>75.29</x:v>
      </x:c>
      <x:c r="CM37" s="5" t="n">
        <x:v>95.04</x:v>
      </x:c>
      <x:c r="CN37" s="5" t="n">
        <x:v>21326</x:v>
      </x:c>
      <x:c r="CO37" s="5" t="n">
        <x:v>37489</x:v>
      </x:c>
      <x:c r="CP37" s="5" t="n">
        <x:v>33475</x:v>
      </x:c>
      <x:c r="CQ37" s="5" t="n">
        <x:v>37250</x:v>
      </x:c>
      <x:c r="CR37" s="5"/>
      <x:c r="CS37" s="5"/>
      <x:c r="CT37" s="5"/>
      <x:c r="CU37" s="5"/>
      <x:c r="CV37" s="5"/>
      <x:c r="CW37" s="5"/>
      <x:c r="CX37" s="5" t="n">
        <x:v>4280.96</x:v>
      </x:c>
      <x:c r="CY37" s="5" t="n">
        <x:v>7501.54</x:v>
      </x:c>
      <x:c r="CZ37" s="5" t="n">
        <x:v>9686.24</x:v>
      </x:c>
      <x:c r="DA37" s="5" t="n">
        <x:v>4648.18</x:v>
      </x:c>
      <x:c r="DB37" s="5" t="n">
        <x:v>9045.98</x:v>
      </x:c>
      <x:c r="DC37" s="5" t="n">
        <x:v>3179.8</x:v>
      </x:c>
      <x:c r="DD37" s="5" t="n">
        <x:v>7994.54</x:v>
      </x:c>
      <x:c r="DE37" s="5" t="n">
        <x:v>3738.95</x:v>
      </x:c>
      <x:c r="DF37" s="5" t="n">
        <x:v>24164.91</x:v>
      </x:c>
      <x:c r="DG37" s="5" t="n">
        <x:v>5759.47</x:v>
      </x:c>
      <x:c r="DH37" s="5" t="n">
        <x:v>12778.8</x:v>
      </x:c>
      <x:c r="DI37" s="5" t="n">
        <x:v>3856.65</x:v>
      </x:c>
      <x:c r="DJ37" s="5" t="n">
        <x:v>11326.25</x:v>
      </x:c>
      <x:c r="DK37" s="5" t="n">
        <x:v>4007.07</x:v>
      </x:c>
      <x:c r="DL37" s="5" t="n">
        <x:v>15064.28</x:v>
      </x:c>
      <x:c r="DM37" s="5" t="n">
        <x:v>8215.18</x:v>
      </x:c>
    </x:row>
    <x:row r="38">
      <x:c r="A38" s="5" t="n">
        <x:v>33</x:v>
      </x:c>
      <x:c r="B38" s="5" t="str">
        <x:v>乳酸乙酯</x:v>
      </x:c>
      <x:c r="C38" s="5" t="str">
        <x:v>97-64-3</x:v>
      </x:c>
      <x:c r="D38" s="5" t="n">
        <x:v>100000</x:v>
      </x:c>
      <x:c r="E38" s="5"/>
      <x:c r="F38" s="5"/>
      <x:c r="G38" s="5" t="n">
        <x:v>301.95</x:v>
      </x:c>
      <x:c r="H38" s="5" t="n">
        <x:v>5.42</x:v>
      </x:c>
      <x:c r="I38" s="5" t="n">
        <x:v>58.95</x:v>
      </x:c>
      <x:c r="J38" s="5" t="n">
        <x:v>107.81</x:v>
      </x:c>
      <x:c r="K38" s="5" t="n">
        <x:v>17.43</x:v>
      </x:c>
      <x:c r="L38" s="5"/>
      <x:c r="M38" s="5"/>
      <x:c r="N38" s="5" t="n">
        <x:v>9536</x:v>
      </x:c>
      <x:c r="O38" s="5" t="n">
        <x:v>11834</x:v>
      </x:c>
      <x:c r="P38" s="5" t="n">
        <x:v>12452</x:v>
      </x:c>
      <x:c r="Q38" s="5" t="n">
        <x:v>14838</x:v>
      </x:c>
      <x:c r="R38" s="5" t="n">
        <x:v>13251</x:v>
      </x:c>
      <x:c r="S38" s="5" t="n">
        <x:v>10544</x:v>
      </x:c>
      <x:c r="T38" s="5" t="n">
        <x:v>4</x:v>
      </x:c>
      <x:c r="U38" s="5" t="n">
        <x:v>5</x:v>
      </x:c>
      <x:c r="V38" s="5"/>
      <x:c r="W38" s="5" t="n">
        <x:v>20700</x:v>
      </x:c>
      <x:c r="X38" s="5" t="n">
        <x:v>11600</x:v>
      </x:c>
      <x:c r="Y38" s="5" t="n">
        <x:v>13200</x:v>
      </x:c>
      <x:c r="Z38" s="5" t="n">
        <x:v>10900</x:v>
      </x:c>
      <x:c r="AA38" s="5" t="n">
        <x:v>14100</x:v>
      </x:c>
      <x:c r="AB38" s="5" t="n">
        <x:v>4870</x:v>
      </x:c>
      <x:c r="AC38" s="5" t="n">
        <x:v>6010</x:v>
      </x:c>
      <x:c r="AD38" s="5"/>
      <x:c r="AE38" s="5"/>
      <x:c r="AF38" s="5"/>
      <x:c r="AG38" s="5"/>
      <x:c r="AH38" s="5" t="n">
        <x:v>61130</x:v>
      </x:c>
      <x:c r="AI38" s="5" t="n">
        <x:v>63360</x:v>
      </x:c>
      <x:c r="AJ38" s="5" t="n">
        <x:v>94500</x:v>
      </x:c>
      <x:c r="AK38" s="5"/>
      <x:c r="AL38" s="5"/>
      <x:c r="AM38" s="5" t="n">
        <x:v>1610</x:v>
      </x:c>
      <x:c r="AN38" s="5" t="n">
        <x:v>3950</x:v>
      </x:c>
      <x:c r="AO38" s="5" t="n">
        <x:v>4140</x:v>
      </x:c>
      <x:c r="AP38" s="5" t="n">
        <x:v>1250</x:v>
      </x:c>
      <x:c r="AQ38" s="5" t="n">
        <x:v>385.91</x:v>
      </x:c>
      <x:c r="AR38" s="5" t="n">
        <x:v>758.7</x:v>
      </x:c>
      <x:c r="AS38" s="5" t="n">
        <x:v>599.95</x:v>
      </x:c>
      <x:c r="AT38" s="5" t="n">
        <x:v>605.5</x:v>
      </x:c>
      <x:c r="AU38" s="5" t="n">
        <x:v>496.83</x:v>
      </x:c>
      <x:c r="AV38" s="5" t="n">
        <x:v>204101.5</x:v>
      </x:c>
      <x:c r="AW38" s="5" t="n">
        <x:v>9</x:v>
      </x:c>
      <x:c r="AX38" s="5" t="n">
        <x:v>187451.5</x:v>
      </x:c>
      <x:c r="AY38" s="5" t="n">
        <x:v>543300</x:v>
      </x:c>
      <x:c r="AZ38" s="5"/>
      <x:c r="BA38" s="5"/>
      <x:c r="BB38" s="5" t="n">
        <x:v>730.22</x:v>
      </x:c>
      <x:c r="BC38" s="5" t="n">
        <x:v>8</x:v>
      </x:c>
      <x:c r="BD38" s="5" t="n">
        <x:v>714.42</x:v>
      </x:c>
      <x:c r="BE38" s="5" t="n">
        <x:v>591.5</x:v>
      </x:c>
      <x:c r="BF38" s="5" t="n">
        <x:v>434.805</x:v>
      </x:c>
      <x:c r="BG38" s="5" t="n">
        <x:v>980.56</x:v>
      </x:c>
      <x:c r="BH38" s="5" t="n">
        <x:v>1006.12</x:v>
      </x:c>
      <x:c r="BI38" s="5" t="n">
        <x:v>1122.95</x:v>
      </x:c>
      <x:c r="BJ38" s="5" t="n">
        <x:v>451.02</x:v>
      </x:c>
      <x:c r="BK38" s="5" t="n">
        <x:v>2728.89</x:v>
      </x:c>
      <x:c r="BL38" s="5" t="n">
        <x:v>1428</x:v>
      </x:c>
      <x:c r="BM38" s="5" t="n">
        <x:v>1529</x:v>
      </x:c>
      <x:c r="BN38" s="5" t="n">
        <x:v>1145.23</x:v>
      </x:c>
      <x:c r="BO38" s="5" t="n">
        <x:v>1290.21</x:v>
      </x:c>
      <x:c r="BP38" s="5" t="n">
        <x:v>635.52</x:v>
      </x:c>
      <x:c r="BQ38" s="5"/>
      <x:c r="BR38" s="5"/>
      <x:c r="BS38" s="5"/>
      <x:c r="BT38" s="5"/>
      <x:c r="BU38" s="5"/>
      <x:c r="BV38" s="5"/>
      <x:c r="BW38" s="5"/>
      <x:c r="BX38" s="5"/>
      <x:c r="BY38" s="5"/>
      <x:c r="BZ38" s="5" t="n">
        <x:v>652.9567</x:v>
      </x:c>
      <x:c r="CA38" s="5" t="n">
        <x:v>824.61</x:v>
      </x:c>
      <x:c r="CB38" s="5" t="n">
        <x:v>2260.79</x:v>
      </x:c>
      <x:c r="CC38" s="5" t="n">
        <x:v>2420</x:v>
      </x:c>
      <x:c r="CD38" s="5" t="n">
        <x:v>2429.4</x:v>
      </x:c>
      <x:c r="CE38" s="5" t="n">
        <x:v>1566.77</x:v>
      </x:c>
      <x:c r="CF38" s="5" t="n">
        <x:v>1701.58</x:v>
      </x:c>
      <x:c r="CG38" s="5" t="n">
        <x:v>810.97</x:v>
      </x:c>
      <x:c r="CH38" s="5" t="n">
        <x:v>996.29</x:v>
      </x:c>
      <x:c r="CI38" s="5" t="n">
        <x:v>1616.91</x:v>
      </x:c>
      <x:c r="CJ38" s="5" t="n">
        <x:v>1892.45</x:v>
      </x:c>
      <x:c r="CK38" s="5" t="n">
        <x:v>1169.25</x:v>
      </x:c>
      <x:c r="CL38" s="5" t="n">
        <x:v>2904.77</x:v>
      </x:c>
      <x:c r="CM38" s="5" t="n">
        <x:v>1801.47</x:v>
      </x:c>
      <x:c r="CN38" s="5" t="n">
        <x:v>858500</x:v>
      </x:c>
      <x:c r="CO38" s="5" t="n">
        <x:v>887454</x:v>
      </x:c>
      <x:c r="CP38" s="5" t="n">
        <x:v>1020605</x:v>
      </x:c>
      <x:c r="CQ38" s="5" t="n">
        <x:v>1067145</x:v>
      </x:c>
      <x:c r="CR38" s="5" t="n">
        <x:v>1056971</x:v>
      </x:c>
      <x:c r="CS38" s="5" t="n">
        <x:v>1025253</x:v>
      </x:c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</x:row>
    <x:row r="39">
      <x:c r="A39" s="5" t="n">
        <x:v>34</x:v>
      </x:c>
      <x:c r="B39" s="5" t="str">
        <x:v>糠醇</x:v>
      </x:c>
      <x:c r="C39" s="5" t="str">
        <x:v>98-00-0</x:v>
      </x:c>
      <x:c r="D39" s="5" t="n">
        <x:v>15000</x:v>
      </x:c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 t="n">
        <x:v>0</x:v>
      </x:c>
      <x:c r="U39" s="5" t="n">
        <x:v>1</x:v>
      </x:c>
      <x:c r="V39" s="5"/>
      <x:c r="W39" s="5" t="n">
        <x:v>21200</x:v>
      </x:c>
      <x:c r="X39" s="5" t="n">
        <x:v>61600</x:v>
      </x:c>
      <x:c r="Y39" s="5" t="n">
        <x:v>99400</x:v>
      </x:c>
      <x:c r="Z39" s="5" t="n">
        <x:v>144000</x:v>
      </x:c>
      <x:c r="AA39" s="5" t="n">
        <x:v>186000</x:v>
      </x:c>
      <x:c r="AB39" s="5" t="n">
        <x:v>279000</x:v>
      </x:c>
      <x:c r="AC39" s="5" t="n">
        <x:v>276000</x:v>
      </x:c>
      <x:c r="AD39" s="5" t="n">
        <x:v>225000</x:v>
      </x:c>
      <x:c r="AE39" s="5" t="n">
        <x:v>3700</x:v>
      </x:c>
      <x:c r="AF39" s="5" t="n">
        <x:v>5250</x:v>
      </x:c>
      <x:c r="AG39" s="5" t="n">
        <x:v>7575</x:v>
      </x:c>
      <x:c r="AH39" s="5" t="n">
        <x:v>10</x:v>
      </x:c>
      <x:c r="AI39" s="5" t="n">
        <x:v>30</x:v>
      </x:c>
      <x:c r="AJ39" s="5" t="n">
        <x:v>30</x:v>
      </x:c>
      <x:c r="AK39" s="5"/>
      <x:c r="AL39" s="5"/>
      <x:c r="AM39" s="5"/>
      <x:c r="AN39" s="5"/>
      <x:c r="AO39" s="5"/>
      <x:c r="AP39" s="5"/>
      <x:c r="AQ39" s="5" t="n">
        <x:v>1.71</x:v>
      </x:c>
      <x:c r="AR39" s="5" t="n">
        <x:v>2.32</x:v>
      </x:c>
      <x:c r="AS39" s="5" t="n">
        <x:v>4.21</x:v>
      </x:c>
      <x:c r="AT39" s="5" t="n">
        <x:v>4.24</x:v>
      </x:c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 t="n">
        <x:v>1900</x:v>
      </x:c>
      <x:c r="BR39" s="5" t="n">
        <x:v>1900</x:v>
      </x:c>
      <x:c r="BS39" s="5" t="n">
        <x:v>2100</x:v>
      </x:c>
      <x:c r="BT39" s="5" t="n">
        <x:v>4300</x:v>
      </x:c>
      <x:c r="BU39" s="5" t="n">
        <x:v>6200</x:v>
      </x:c>
      <x:c r="BV39" s="5" t="n">
        <x:v>5000</x:v>
      </x:c>
      <x:c r="BW39" s="5" t="n">
        <x:v>1600</x:v>
      </x:c>
      <x:c r="BX39" s="5" t="n">
        <x:v>6900</x:v>
      </x:c>
      <x:c r="BY39" s="5" t="n">
        <x:v>1500</x:v>
      </x:c>
      <x:c r="BZ39" s="5" t="n">
        <x:v>4.065</x:v>
      </x:c>
      <x:c r="CA39" s="5" t="n">
        <x:v>4.145</x:v>
      </x:c>
      <x:c r="CB39" s="5" t="n">
        <x:v>6.49</x:v>
      </x:c>
      <x:c r="CC39" s="5" t="n">
        <x:v>11.28</x:v>
      </x:c>
      <x:c r="CD39" s="5" t="n">
        <x:v>11.37</x:v>
      </x:c>
      <x:c r="CE39" s="5" t="n">
        <x:v>9.88</x:v>
      </x:c>
      <x:c r="CF39" s="5" t="n">
        <x:v>7.66</x:v>
      </x:c>
      <x:c r="CG39" s="5" t="n">
        <x:v>7</x:v>
      </x:c>
      <x:c r="CH39" s="5" t="n">
        <x:v>6.89</x:v>
      </x:c>
      <x:c r="CI39" s="5" t="n">
        <x:v>13.02</x:v>
      </x:c>
      <x:c r="CJ39" s="5" t="n">
        <x:v>9.69</x:v>
      </x:c>
      <x:c r="CK39" s="5" t="n">
        <x:v>9.25</x:v>
      </x:c>
      <x:c r="CL39" s="5" t="n">
        <x:v>8.68</x:v>
      </x:c>
      <x:c r="CM39" s="5" t="n">
        <x:v>8.49</x:v>
      </x:c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</x:row>
    <x:row r="40">
      <x:c r="A40" s="5" t="n">
        <x:v>35</x:v>
      </x:c>
      <x:c r="B40" s="5" t="str">
        <x:v>糠醛</x:v>
      </x:c>
      <x:c r="C40" s="5" t="str">
        <x:v>98-01-1</x:v>
      </x:c>
      <x:c r="D40" s="5" t="n">
        <x:v>44000</x:v>
      </x:c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 t="n">
        <x:v>0</x:v>
      </x:c>
      <x:c r="U40" s="5" t="n">
        <x:v>1</x:v>
      </x:c>
      <x:c r="V40" s="5"/>
      <x:c r="W40" s="5" t="n">
        <x:v>51100</x:v>
      </x:c>
      <x:c r="X40" s="5" t="n">
        <x:v>22800</x:v>
      </x:c>
      <x:c r="Y40" s="5" t="n">
        <x:v>34700</x:v>
      </x:c>
      <x:c r="Z40" s="5" t="n">
        <x:v>19600</x:v>
      </x:c>
      <x:c r="AA40" s="5" t="n">
        <x:v>41400</x:v>
      </x:c>
      <x:c r="AB40" s="5" t="n">
        <x:v>20500</x:v>
      </x:c>
      <x:c r="AC40" s="5" t="n">
        <x:v>38400</x:v>
      </x:c>
      <x:c r="AD40" s="5" t="n">
        <x:v>3880</x:v>
      </x:c>
      <x:c r="AE40" s="5" t="n">
        <x:v>2390</x:v>
      </x:c>
      <x:c r="AF40" s="5" t="n">
        <x:v>3210</x:v>
      </x:c>
      <x:c r="AG40" s="5" t="n">
        <x:v>13445</x:v>
      </x:c>
      <x:c r="AH40" s="5" t="n">
        <x:v>20</x:v>
      </x:c>
      <x:c r="AI40" s="5"/>
      <x:c r="AJ40" s="5"/>
      <x:c r="AK40" s="5" t="n">
        <x:v>15500</x:v>
      </x:c>
      <x:c r="AL40" s="5" t="n">
        <x:v>9570</x:v>
      </x:c>
      <x:c r="AM40" s="5"/>
      <x:c r="AN40" s="5"/>
      <x:c r="AO40" s="5"/>
      <x:c r="AP40" s="5"/>
      <x:c r="AQ40" s="5"/>
      <x:c r="AR40" s="5" t="n">
        <x:v>12.36</x:v>
      </x:c>
      <x:c r="AS40" s="5" t="n">
        <x:v>23.41</x:v>
      </x:c>
      <x:c r="AT40" s="5" t="n">
        <x:v>25.93</x:v>
      </x:c>
      <x:c r="AU40" s="5" t="n">
        <x:v>28.43</x:v>
      </x:c>
      <x:c r="AV40" s="5"/>
      <x:c r="AW40" s="5"/>
      <x:c r="AX40" s="5"/>
      <x:c r="AY40" s="5"/>
      <x:c r="AZ40" s="5" t="n">
        <x:v>351</x:v>
      </x:c>
      <x:c r="BA40" s="5"/>
      <x:c r="BB40" s="5"/>
      <x:c r="BC40" s="5"/>
      <x:c r="BD40" s="5" t="n">
        <x:v>13.08</x:v>
      </x:c>
      <x:c r="BE40" s="5" t="n">
        <x:v>28.78</x:v>
      </x:c>
      <x:c r="BF40" s="5" t="n">
        <x:v>17.5</x:v>
      </x:c>
      <x:c r="BG40" s="5" t="n">
        <x:v>10.81</x:v>
      </x:c>
      <x:c r="BH40" s="5"/>
      <x:c r="BI40" s="5" t="n">
        <x:v>11.09</x:v>
      </x:c>
      <x:c r="BJ40" s="5"/>
      <x:c r="BK40" s="5" t="n">
        <x:v>4198.21</x:v>
      </x:c>
      <x:c r="BL40" s="5" t="n">
        <x:v>2141</x:v>
      </x:c>
      <x:c r="BM40" s="5" t="n">
        <x:v>5813.34</x:v>
      </x:c>
      <x:c r="BN40" s="5"/>
      <x:c r="BO40" s="5" t="n">
        <x:v>713.72</x:v>
      </x:c>
      <x:c r="BP40" s="5"/>
      <x:c r="BQ40" s="5" t="n">
        <x:v>96000</x:v>
      </x:c>
      <x:c r="BR40" s="5" t="n">
        <x:v>57300</x:v>
      </x:c>
      <x:c r="BS40" s="5" t="n">
        <x:v>24300</x:v>
      </x:c>
      <x:c r="BT40" s="5" t="n">
        <x:v>70600</x:v>
      </x:c>
      <x:c r="BU40" s="5" t="n">
        <x:v>55000</x:v>
      </x:c>
      <x:c r="BV40" s="5" t="n">
        <x:v>122400</x:v>
      </x:c>
      <x:c r="BW40" s="5" t="n">
        <x:v>68400</x:v>
      </x:c>
      <x:c r="BX40" s="5" t="n">
        <x:v>202500</x:v>
      </x:c>
      <x:c r="BY40" s="5" t="n">
        <x:v>69000</x:v>
      </x:c>
      <x:c r="BZ40" s="5" t="n">
        <x:v>14.715</x:v>
      </x:c>
      <x:c r="CA40" s="5" t="n">
        <x:v>7.96</x:v>
      </x:c>
      <x:c r="CB40" s="5" t="n">
        <x:v>9.26</x:v>
      </x:c>
      <x:c r="CC40" s="5" t="n">
        <x:v>68.09</x:v>
      </x:c>
      <x:c r="CD40" s="5" t="n">
        <x:v>27.3</x:v>
      </x:c>
      <x:c r="CE40" s="5" t="n">
        <x:v>53.7</x:v>
      </x:c>
      <x:c r="CF40" s="5" t="n">
        <x:v>21.74</x:v>
      </x:c>
      <x:c r="CG40" s="5" t="n">
        <x:v>8.68</x:v>
      </x:c>
      <x:c r="CH40" s="5" t="n">
        <x:v>2.36</x:v>
      </x:c>
      <x:c r="CI40" s="5" t="n">
        <x:v>145.88</x:v>
      </x:c>
      <x:c r="CJ40" s="5" t="n">
        <x:v>114.18</x:v>
      </x:c>
      <x:c r="CK40" s="5" t="n">
        <x:v>58.65</x:v>
      </x:c>
      <x:c r="CL40" s="5" t="n">
        <x:v>25.03</x:v>
      </x:c>
      <x:c r="CM40" s="5" t="n">
        <x:v>47.28</x:v>
      </x:c>
      <x:c r="CN40" s="5"/>
      <x:c r="CO40" s="5"/>
      <x:c r="CP40" s="5"/>
      <x:c r="CQ40" s="5"/>
      <x:c r="CR40" s="5" t="n">
        <x:v>14795.45</x:v>
      </x:c>
      <x:c r="CS40" s="5" t="n">
        <x:v>25341.79</x:v>
      </x:c>
      <x:c r="CT40" s="5"/>
      <x:c r="CU40" s="5"/>
      <x:c r="CV40" s="5"/>
      <x:c r="CW40" s="5"/>
      <x:c r="CX40" s="5" t="n">
        <x:v>8577.67</x:v>
      </x:c>
      <x:c r="CY40" s="5" t="n">
        <x:v>27990.73</x:v>
      </x:c>
      <x:c r="CZ40" s="5" t="n">
        <x:v>49042.56</x:v>
      </x:c>
      <x:c r="DA40" s="5" t="n">
        <x:v>12792.01</x:v>
      </x:c>
      <x:c r="DB40" s="5" t="n">
        <x:v>49044.67</x:v>
      </x:c>
      <x:c r="DC40" s="5" t="n">
        <x:v>6102.98</x:v>
      </x:c>
      <x:c r="DD40" s="5" t="n">
        <x:v>56557.1</x:v>
      </x:c>
      <x:c r="DE40" s="5" t="n">
        <x:v>6931.64</x:v>
      </x:c>
      <x:c r="DF40" s="5" t="n">
        <x:v>99557.66</x:v>
      </x:c>
      <x:c r="DG40" s="5" t="n">
        <x:v>7729.41</x:v>
      </x:c>
      <x:c r="DH40" s="5" t="n">
        <x:v>102809.55</x:v>
      </x:c>
      <x:c r="DI40" s="5" t="n">
        <x:v>7132.02</x:v>
      </x:c>
      <x:c r="DJ40" s="5" t="n">
        <x:v>80825.83</x:v>
      </x:c>
      <x:c r="DK40" s="5" t="n">
        <x:v>4960.43</x:v>
      </x:c>
      <x:c r="DL40" s="5" t="n">
        <x:v>21057.66</x:v>
      </x:c>
      <x:c r="DM40" s="5" t="n">
        <x:v>11654.91</x:v>
      </x:c>
    </x:row>
    <x:row r="41">
      <x:c r="A41" s="5" t="n">
        <x:v>36</x:v>
      </x:c>
      <x:c r="B41" s="5"/>
      <x:c r="C41" s="5" t="str">
        <x:v>98-03-3</x:v>
      </x:c>
      <x:c r="D41" s="5"/>
      <x:c r="E41" s="5" t="n">
        <x:v>11</x:v>
      </x:c>
      <x:c r="F41" s="5" t="n">
        <x:v>22</x:v>
      </x:c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  <x:c r="BA41" s="5"/>
      <x:c r="BB41" s="5"/>
      <x:c r="BC41" s="5"/>
      <x:c r="BD41" s="5"/>
      <x:c r="BE41" s="5"/>
      <x:c r="BF41" s="5"/>
      <x:c r="BG41" s="5"/>
      <x:c r="BH41" s="5"/>
      <x:c r="BI41" s="5"/>
      <x:c r="BJ41" s="5"/>
      <x:c r="BK41" s="5"/>
      <x:c r="BL41" s="5"/>
      <x:c r="BM41" s="5"/>
      <x:c r="BN41" s="5"/>
      <x:c r="BO41" s="5"/>
      <x:c r="BP41" s="5"/>
      <x:c r="BQ41" s="5"/>
      <x:c r="BR41" s="5"/>
      <x:c r="BS41" s="5"/>
      <x:c r="BT41" s="5"/>
      <x:c r="BU41" s="5"/>
      <x:c r="BV41" s="5"/>
      <x:c r="BW41" s="5"/>
      <x:c r="BX41" s="5"/>
      <x:c r="BY41" s="5"/>
      <x:c r="BZ41" s="5"/>
      <x:c r="CA41" s="5"/>
      <x:c r="CB41" s="5"/>
      <x:c r="CC41" s="5"/>
      <x:c r="CD41" s="5"/>
      <x:c r="CE41" s="5"/>
      <x:c r="CF41" s="5"/>
      <x:c r="CG41" s="5"/>
      <x:c r="CH41" s="5"/>
      <x:c r="CI41" s="5"/>
      <x:c r="CJ41" s="5"/>
      <x:c r="CK41" s="5"/>
      <x:c r="CL41" s="5"/>
      <x:c r="CM41" s="5"/>
      <x:c r="CN41" s="5"/>
      <x:c r="CO41" s="5"/>
      <x:c r="CP41" s="5"/>
      <x:c r="CQ41" s="5"/>
      <x:c r="CR41" s="5"/>
      <x:c r="CS41" s="5"/>
      <x:c r="CT41" s="5"/>
      <x:c r="CU41" s="5"/>
      <x:c r="CV41" s="5"/>
      <x:c r="CW41" s="5"/>
      <x:c r="CX41" s="5"/>
      <x:c r="CY41" s="5"/>
      <x:c r="CZ41" s="5"/>
      <x:c r="DA41" s="5"/>
      <x:c r="DB41" s="5"/>
      <x:c r="DC41" s="5"/>
      <x:c r="DD41" s="5"/>
      <x:c r="DE41" s="5"/>
      <x:c r="DF41" s="5"/>
      <x:c r="DG41" s="5"/>
      <x:c r="DH41" s="5"/>
      <x:c r="DI41" s="5"/>
      <x:c r="DJ41" s="5"/>
      <x:c r="DK41" s="5"/>
      <x:c r="DL41" s="5"/>
      <x:c r="DM41" s="5"/>
    </x:row>
    <x:row r="42">
      <x:c r="A42" s="5" t="n">
        <x:v>37</x:v>
      </x:c>
      <x:c r="B42" s="5" t="str">
        <x:v>苯乙酮</x:v>
      </x:c>
      <x:c r="C42" s="5" t="str">
        <x:v>98-86-2</x:v>
      </x:c>
      <x:c r="D42" s="5" t="n">
        <x:v>256</x:v>
      </x:c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 t="n">
        <x:v>1.375</x:v>
      </x:c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  <x:c r="BA42" s="5" t="n">
        <x:v>369</x:v>
      </x:c>
      <x:c r="BB42" s="5"/>
      <x:c r="BC42" s="5"/>
      <x:c r="BD42" s="5"/>
      <x:c r="BE42" s="5"/>
      <x:c r="BF42" s="5"/>
      <x:c r="BG42" s="5"/>
      <x:c r="BH42" s="5"/>
      <x:c r="BI42" s="5"/>
      <x:c r="BJ42" s="5"/>
      <x:c r="BK42" s="5"/>
      <x:c r="BL42" s="5"/>
      <x:c r="BM42" s="5"/>
      <x:c r="BN42" s="5"/>
      <x:c r="BO42" s="5"/>
      <x:c r="BP42" s="5"/>
      <x:c r="BQ42" s="5"/>
      <x:c r="BR42" s="5"/>
      <x:c r="BS42" s="5"/>
      <x:c r="BT42" s="5"/>
      <x:c r="BU42" s="5"/>
      <x:c r="BV42" s="5"/>
      <x:c r="BW42" s="5"/>
      <x:c r="BX42" s="5"/>
      <x:c r="BY42" s="5"/>
      <x:c r="BZ42" s="5" t="n">
        <x:v>30.61</x:v>
      </x:c>
      <x:c r="CA42" s="5" t="n">
        <x:v>19.705</x:v>
      </x:c>
      <x:c r="CB42" s="5" t="n">
        <x:v>19.91</x:v>
      </x:c>
      <x:c r="CC42" s="5" t="n">
        <x:v>18.39</x:v>
      </x:c>
      <x:c r="CD42" s="5" t="n">
        <x:v>43.69</x:v>
      </x:c>
      <x:c r="CE42" s="5" t="n">
        <x:v>37.31</x:v>
      </x:c>
      <x:c r="CF42" s="5" t="n">
        <x:v>96.48</x:v>
      </x:c>
      <x:c r="CG42" s="5" t="n">
        <x:v>8.78</x:v>
      </x:c>
      <x:c r="CH42" s="5" t="n">
        <x:v>12.06</x:v>
      </x:c>
      <x:c r="CI42" s="5" t="n">
        <x:v>43.13</x:v>
      </x:c>
      <x:c r="CJ42" s="5" t="n">
        <x:v>34.23</x:v>
      </x:c>
      <x:c r="CK42" s="5" t="n">
        <x:v>35.11</x:v>
      </x:c>
      <x:c r="CL42" s="5" t="n">
        <x:v>17.38</x:v>
      </x:c>
      <x:c r="CM42" s="5" t="n">
        <x:v>32.8</x:v>
      </x:c>
      <x:c r="CN42" s="5"/>
      <x:c r="CO42" s="5"/>
      <x:c r="CP42" s="5"/>
      <x:c r="CQ42" s="5"/>
      <x:c r="CR42" s="5"/>
      <x:c r="CS42" s="5"/>
      <x:c r="CT42" s="5"/>
      <x:c r="CU42" s="5"/>
      <x:c r="CV42" s="5"/>
      <x:c r="CW42" s="5"/>
      <x:c r="CX42" s="5" t="n">
        <x:v>32.24</x:v>
      </x:c>
      <x:c r="CY42" s="5" t="n">
        <x:v>56.01</x:v>
      </x:c>
      <x:c r="CZ42" s="5" t="n">
        <x:v>24.62</x:v>
      </x:c>
      <x:c r="DA42" s="5" t="n">
        <x:v>57.67</x:v>
      </x:c>
      <x:c r="DB42" s="5"/>
      <x:c r="DC42" s="5" t="n">
        <x:v>70.37</x:v>
      </x:c>
      <x:c r="DD42" s="5" t="n">
        <x:v>68.24</x:v>
      </x:c>
      <x:c r="DE42" s="5" t="n">
        <x:v>44.97</x:v>
      </x:c>
      <x:c r="DF42" s="5" t="n">
        <x:v>213.28</x:v>
      </x:c>
      <x:c r="DG42" s="5" t="n">
        <x:v>79.01</x:v>
      </x:c>
      <x:c r="DH42" s="5" t="n">
        <x:v>311.24</x:v>
      </x:c>
      <x:c r="DI42" s="5" t="n">
        <x:v>93.69</x:v>
      </x:c>
      <x:c r="DJ42" s="5" t="n">
        <x:v>342.79</x:v>
      </x:c>
      <x:c r="DK42" s="5" t="n">
        <x:v>79.74</x:v>
      </x:c>
      <x:c r="DL42" s="5" t="n">
        <x:v>48.93</x:v>
      </x:c>
      <x:c r="DM42" s="5" t="n">
        <x:v>38.03</x:v>
      </x:c>
    </x:row>
    <x:row r="43">
      <x:c r="A43" s="5" t="n">
        <x:v>38</x:v>
      </x:c>
      <x:c r="B43" s="5" t="str">
        <x:v>苯甲醇</x:v>
      </x:c>
      <x:c r="C43" s="5" t="str">
        <x:v>100-51-6</x:v>
      </x:c>
      <x:c r="D43" s="5" t="n">
        <x:v>40927</x:v>
      </x:c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 t="n">
        <x:v>1.75</x:v>
      </x:c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  <x:c r="BA43" s="5"/>
      <x:c r="BB43" s="5"/>
      <x:c r="BC43" s="5"/>
      <x:c r="BD43" s="5"/>
      <x:c r="BE43" s="5"/>
      <x:c r="BF43" s="5"/>
      <x:c r="BG43" s="5"/>
      <x:c r="BH43" s="5"/>
      <x:c r="BI43" s="5"/>
      <x:c r="BJ43" s="5"/>
      <x:c r="BK43" s="5"/>
      <x:c r="BL43" s="5"/>
      <x:c r="BM43" s="5"/>
      <x:c r="BN43" s="5"/>
      <x:c r="BO43" s="5"/>
      <x:c r="BP43" s="5"/>
      <x:c r="BQ43" s="5"/>
      <x:c r="BR43" s="5"/>
      <x:c r="BS43" s="5"/>
      <x:c r="BT43" s="5"/>
      <x:c r="BU43" s="5"/>
      <x:c r="BV43" s="5"/>
      <x:c r="BW43" s="5"/>
      <x:c r="BX43" s="5"/>
      <x:c r="BY43" s="5"/>
      <x:c r="BZ43" s="5"/>
      <x:c r="CA43" s="5"/>
      <x:c r="CB43" s="5"/>
      <x:c r="CC43" s="5"/>
      <x:c r="CD43" s="5"/>
      <x:c r="CE43" s="5"/>
      <x:c r="CF43" s="5"/>
      <x:c r="CG43" s="5"/>
      <x:c r="CH43" s="5"/>
      <x:c r="CI43" s="5"/>
      <x:c r="CJ43" s="5"/>
      <x:c r="CK43" s="5"/>
      <x:c r="CL43" s="5"/>
      <x:c r="CM43" s="5"/>
      <x:c r="CN43" s="5"/>
      <x:c r="CO43" s="5"/>
      <x:c r="CP43" s="5"/>
      <x:c r="CQ43" s="5"/>
      <x:c r="CR43" s="5"/>
      <x:c r="CS43" s="5"/>
      <x:c r="CT43" s="5"/>
      <x:c r="CU43" s="5"/>
      <x:c r="CV43" s="5"/>
      <x:c r="CW43" s="5"/>
      <x:c r="CX43" s="5" t="n">
        <x:v>79.32</x:v>
      </x:c>
      <x:c r="CY43" s="5" t="n">
        <x:v>86.43</x:v>
      </x:c>
      <x:c r="CZ43" s="5" t="n">
        <x:v>112.82</x:v>
      </x:c>
      <x:c r="DA43" s="5" t="n">
        <x:v>125.07</x:v>
      </x:c>
      <x:c r="DB43" s="5" t="n">
        <x:v>46.69</x:v>
      </x:c>
      <x:c r="DC43" s="5" t="n">
        <x:v>26.7</x:v>
      </x:c>
      <x:c r="DD43" s="5" t="n">
        <x:v>20.96</x:v>
      </x:c>
      <x:c r="DE43" s="5" t="n">
        <x:v>93.64</x:v>
      </x:c>
      <x:c r="DF43" s="5" t="n">
        <x:v>6.3</x:v>
      </x:c>
      <x:c r="DG43" s="5" t="n">
        <x:v>5.32</x:v>
      </x:c>
      <x:c r="DH43" s="5" t="n">
        <x:v>11.46</x:v>
      </x:c>
      <x:c r="DI43" s="5" t="n">
        <x:v>2.94</x:v>
      </x:c>
      <x:c r="DJ43" s="5" t="n">
        <x:v>8.66</x:v>
      </x:c>
      <x:c r="DK43" s="5" t="n">
        <x:v>4.64</x:v>
      </x:c>
      <x:c r="DL43" s="5" t="n">
        <x:v>65.17</x:v>
      </x:c>
      <x:c r="DM43" s="5" t="n">
        <x:v>40.95</x:v>
      </x:c>
    </x:row>
    <x:row r="44">
      <x:c r="A44" s="5" t="n">
        <x:v>39</x:v>
      </x:c>
      <x:c r="B44" s="5" t="str">
        <x:v>苯甲醛</x:v>
      </x:c>
      <x:c r="C44" s="5" t="str">
        <x:v>100-52-7</x:v>
      </x:c>
      <x:c r="D44" s="5" t="n">
        <x:v>4203</x:v>
      </x:c>
      <x:c r="E44" s="5"/>
      <x:c r="F44" s="5"/>
      <x:c r="G44" s="5"/>
      <x:c r="H44" s="5" t="n">
        <x:v>6.38</x:v>
      </x:c>
      <x:c r="I44" s="5" t="n">
        <x:v>1.78</x:v>
      </x:c>
      <x:c r="J44" s="5" t="n">
        <x:v>6.4</x:v>
      </x:c>
      <x:c r="K44" s="5" t="n">
        <x:v>1.52</x:v>
      </x:c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 t="n">
        <x:v>1940</x:v>
      </x:c>
      <x:c r="AF44" s="5" t="n">
        <x:v>2410</x:v>
      </x:c>
      <x:c r="AG44" s="5" t="n">
        <x:v>1870</x:v>
      </x:c>
      <x:c r="AH44" s="5" t="n">
        <x:v>80</x:v>
      </x:c>
      <x:c r="AI44" s="5"/>
      <x:c r="AJ44" s="5" t="n">
        <x:v>5</x:v>
      </x:c>
      <x:c r="AK44" s="5" t="n">
        <x:v>1280</x:v>
      </x:c>
      <x:c r="AL44" s="5" t="n">
        <x:v>1550</x:v>
      </x:c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 t="n">
        <x:v>237</x:v>
      </x:c>
      <x:c r="BA44" s="5"/>
      <x:c r="BB44" s="5"/>
      <x:c r="BC44" s="5"/>
      <x:c r="BD44" s="5"/>
      <x:c r="BE44" s="5"/>
      <x:c r="BF44" s="5"/>
      <x:c r="BG44" s="5"/>
      <x:c r="BH44" s="5"/>
      <x:c r="BI44" s="5"/>
      <x:c r="BJ44" s="5"/>
      <x:c r="BK44" s="5"/>
      <x:c r="BL44" s="5"/>
      <x:c r="BM44" s="5"/>
      <x:c r="BN44" s="5"/>
      <x:c r="BO44" s="5"/>
      <x:c r="BP44" s="5"/>
      <x:c r="BQ44" s="5" t="n">
        <x:v>6400</x:v>
      </x:c>
      <x:c r="BR44" s="5" t="n">
        <x:v>6800</x:v>
      </x:c>
      <x:c r="BS44" s="5" t="n">
        <x:v>4300</x:v>
      </x:c>
      <x:c r="BT44" s="5" t="n">
        <x:v>4300</x:v>
      </x:c>
      <x:c r="BU44" s="5" t="n">
        <x:v>5500</x:v>
      </x:c>
      <x:c r="BV44" s="5" t="n">
        <x:v>1100</x:v>
      </x:c>
      <x:c r="BW44" s="5" t="n">
        <x:v>2300</x:v>
      </x:c>
      <x:c r="BX44" s="5" t="n">
        <x:v>6000</x:v>
      </x:c>
      <x:c r="BY44" s="5" t="n">
        <x:v>3100</x:v>
      </x:c>
      <x:c r="BZ44" s="5" t="n">
        <x:v>1515.35</x:v>
      </x:c>
      <x:c r="CA44" s="5" t="n">
        <x:v>1081.79</x:v>
      </x:c>
      <x:c r="CB44" s="5" t="n">
        <x:v>4111.54</x:v>
      </x:c>
      <x:c r="CC44" s="5" t="n">
        <x:v>2714.1</x:v>
      </x:c>
      <x:c r="CD44" s="5" t="n">
        <x:v>8572.82</x:v>
      </x:c>
      <x:c r="CE44" s="5" t="n">
        <x:v>5496.27</x:v>
      </x:c>
      <x:c r="CF44" s="5" t="n">
        <x:v>2264.37</x:v>
      </x:c>
      <x:c r="CG44" s="5" t="n">
        <x:v>3335.37</x:v>
      </x:c>
      <x:c r="CH44" s="5" t="n">
        <x:v>756.08</x:v>
      </x:c>
      <x:c r="CI44" s="5" t="n">
        <x:v>6034.3</x:v>
      </x:c>
      <x:c r="CJ44" s="5" t="n">
        <x:v>6800.39</x:v>
      </x:c>
      <x:c r="CK44" s="5" t="n">
        <x:v>7920.95</x:v>
      </x:c>
      <x:c r="CL44" s="5" t="n">
        <x:v>2409.07</x:v>
      </x:c>
      <x:c r="CM44" s="5" t="n">
        <x:v>3893.36</x:v>
      </x:c>
      <x:c r="CN44" s="5"/>
      <x:c r="CO44" s="5"/>
      <x:c r="CP44" s="5"/>
      <x:c r="CQ44" s="5"/>
      <x:c r="CR44" s="5"/>
      <x:c r="CS44" s="5" t="n">
        <x:v>74.72</x:v>
      </x:c>
      <x:c r="CT44" s="5"/>
      <x:c r="CU44" s="5"/>
      <x:c r="CV44" s="5"/>
      <x:c r="CW44" s="5"/>
      <x:c r="CX44" s="5"/>
      <x:c r="CY44" s="5" t="n">
        <x:v>987.02</x:v>
      </x:c>
      <x:c r="CZ44" s="5" t="n">
        <x:v>875.39</x:v>
      </x:c>
      <x:c r="DA44" s="5"/>
      <x:c r="DB44" s="5" t="n">
        <x:v>207.5</x:v>
      </x:c>
      <x:c r="DC44" s="5"/>
      <x:c r="DD44" s="5" t="n">
        <x:v>591.82</x:v>
      </x:c>
      <x:c r="DE44" s="5"/>
      <x:c r="DF44" s="5" t="n">
        <x:v>837.5</x:v>
      </x:c>
      <x:c r="DG44" s="5"/>
      <x:c r="DH44" s="5" t="n">
        <x:v>876.67</x:v>
      </x:c>
      <x:c r="DI44" s="5"/>
      <x:c r="DJ44" s="5" t="n">
        <x:v>681.59</x:v>
      </x:c>
      <x:c r="DK44" s="5"/>
      <x:c r="DL44" s="5" t="n">
        <x:v>866.03</x:v>
      </x:c>
      <x:c r="DM44" s="5"/>
    </x:row>
    <x:row r="45">
      <x:c r="A45" s="5" t="n">
        <x:v>40</x:v>
      </x:c>
      <x:c r="B45" s="5" t="str">
        <x:v>苯乙酸乙酯</x:v>
      </x:c>
      <x:c r="C45" s="5" t="str">
        <x:v>101-97-3</x:v>
      </x:c>
      <x:c r="D45" s="5" t="n">
        <x:v>407</x:v>
      </x:c>
      <x:c r="E45" s="5" t="n">
        <x:v>61</x:v>
      </x:c>
      <x:c r="F45" s="5" t="n">
        <x:v>341</x:v>
      </x:c>
      <x:c r="G45" s="5" t="n">
        <x:v>6.62</x:v>
      </x:c>
      <x:c r="H45" s="5" t="n">
        <x:v>5.24</x:v>
      </x:c>
      <x:c r="I45" s="5" t="n">
        <x:v>1.9</x:v>
      </x:c>
      <x:c r="J45" s="5" t="n">
        <x:v>3.05</x:v>
      </x:c>
      <x:c r="K45" s="5" t="n">
        <x:v>2.52</x:v>
      </x:c>
      <x:c r="L45" s="5" t="n">
        <x:v>515</x:v>
      </x:c>
      <x:c r="M45" s="5" t="n">
        <x:v>457</x:v>
      </x:c>
      <x:c r="N45" s="5" t="n">
        <x:v>6967</x:v>
      </x:c>
      <x:c r="O45" s="5" t="n">
        <x:v>11475</x:v>
      </x:c>
      <x:c r="P45" s="5" t="n">
        <x:v>12405</x:v>
      </x:c>
      <x:c r="Q45" s="5" t="n">
        <x:v>9560</x:v>
      </x:c>
      <x:c r="R45" s="5" t="n">
        <x:v>10421</x:v>
      </x:c>
      <x:c r="S45" s="5" t="n">
        <x:v>10783</x:v>
      </x:c>
      <x:c r="T45" s="5"/>
      <x:c r="U45" s="5"/>
      <x:c r="V45" s="5" t="n">
        <x:v>1.875</x:v>
      </x:c>
      <x:c r="W45" s="5" t="n">
        <x:v>6740</x:v>
      </x:c>
      <x:c r="X45" s="5" t="n">
        <x:v>4230</x:v>
      </x:c>
      <x:c r="Y45" s="5" t="n">
        <x:v>5510</x:v>
      </x:c>
      <x:c r="Z45" s="5" t="n">
        <x:v>7660</x:v>
      </x:c>
      <x:c r="AA45" s="5" t="n">
        <x:v>9890</x:v>
      </x:c>
      <x:c r="AB45" s="5" t="n">
        <x:v>17100</x:v>
      </x:c>
      <x:c r="AC45" s="5" t="n">
        <x:v>16700</x:v>
      </x:c>
      <x:c r="AD45" s="5" t="n">
        <x:v>21400</x:v>
      </x:c>
      <x:c r="AE45" s="5" t="n">
        <x:v>2980</x:v>
      </x:c>
      <x:c r="AF45" s="5" t="n">
        <x:v>3940</x:v>
      </x:c>
      <x:c r="AG45" s="5" t="n">
        <x:v>4870</x:v>
      </x:c>
      <x:c r="AH45" s="5" t="n">
        <x:v>10</x:v>
      </x:c>
      <x:c r="AI45" s="5" t="n">
        <x:v>10</x:v>
      </x:c>
      <x:c r="AJ45" s="5" t="n">
        <x:v>20</x:v>
      </x:c>
      <x:c r="AK45" s="5" t="n">
        <x:v>2680</x:v>
      </x:c>
      <x:c r="AL45" s="5" t="n">
        <x:v>4480</x:v>
      </x:c>
      <x:c r="AM45" s="5"/>
      <x:c r="AN45" s="5"/>
      <x:c r="AO45" s="5"/>
      <x:c r="AP45" s="5"/>
      <x:c r="AQ45" s="5" t="n">
        <x:v>3.22</x:v>
      </x:c>
      <x:c r="AR45" s="5" t="n">
        <x:v>9.36</x:v>
      </x:c>
      <x:c r="AS45" s="5" t="n">
        <x:v>5.39</x:v>
      </x:c>
      <x:c r="AT45" s="5" t="n">
        <x:v>5.56</x:v>
      </x:c>
      <x:c r="AU45" s="5" t="n">
        <x:v>15.61</x:v>
      </x:c>
      <x:c r="AV45" s="5"/>
      <x:c r="AW45" s="5"/>
      <x:c r="AX45" s="5"/>
      <x:c r="AY45" s="5"/>
      <x:c r="AZ45" s="5" t="n">
        <x:v>5251</x:v>
      </x:c>
      <x:c r="BA45" s="5" t="n">
        <x:v>5878</x:v>
      </x:c>
      <x:c r="BB45" s="5"/>
      <x:c r="BC45" s="5"/>
      <x:c r="BD45" s="5" t="n">
        <x:v>1619</x:v>
      </x:c>
      <x:c r="BE45" s="5" t="n">
        <x:v>5923.89</x:v>
      </x:c>
      <x:c r="BF45" s="5" t="n">
        <x:v>3615.12</x:v>
      </x:c>
      <x:c r="BG45" s="5" t="n">
        <x:v>895.33</x:v>
      </x:c>
      <x:c r="BH45" s="5"/>
      <x:c r="BI45" s="5" t="n">
        <x:v>883.62</x:v>
      </x:c>
      <x:c r="BJ45" s="5"/>
      <x:c r="BK45" s="5" t="n">
        <x:v>7.56</x:v>
      </x:c>
      <x:c r="BL45" s="5" t="n">
        <x:v>18.59</x:v>
      </x:c>
      <x:c r="BM45" s="5" t="n">
        <x:v>13.04</x:v>
      </x:c>
      <x:c r="BN45" s="5" t="n">
        <x:v>6.66</x:v>
      </x:c>
      <x:c r="BO45" s="5" t="n">
        <x:v>12.36</x:v>
      </x:c>
      <x:c r="BP45" s="5"/>
      <x:c r="BQ45" s="5"/>
      <x:c r="BR45" s="5"/>
      <x:c r="BS45" s="5"/>
      <x:c r="BT45" s="5"/>
      <x:c r="BU45" s="5"/>
      <x:c r="BV45" s="5"/>
      <x:c r="BW45" s="5"/>
      <x:c r="BX45" s="5"/>
      <x:c r="BY45" s="5"/>
      <x:c r="BZ45" s="5" t="n">
        <x:v>129.585</x:v>
      </x:c>
      <x:c r="CA45" s="5" t="n">
        <x:v>115.88</x:v>
      </x:c>
      <x:c r="CB45" s="5" t="n">
        <x:v>487.45</x:v>
      </x:c>
      <x:c r="CC45" s="5" t="n">
        <x:v>501.29</x:v>
      </x:c>
      <x:c r="CD45" s="5" t="n">
        <x:v>433.09</x:v>
      </x:c>
      <x:c r="CE45" s="5" t="n">
        <x:v>536.16</x:v>
      </x:c>
      <x:c r="CF45" s="5" t="n">
        <x:v>73.34</x:v>
      </x:c>
      <x:c r="CG45" s="5" t="n">
        <x:v>118.35</x:v>
      </x:c>
      <x:c r="CH45" s="5" t="n">
        <x:v>76.28</x:v>
      </x:c>
      <x:c r="CI45" s="5" t="n">
        <x:v>1169.83</x:v>
      </x:c>
      <x:c r="CJ45" s="5" t="n">
        <x:v>1527.85</x:v>
      </x:c>
      <x:c r="CK45" s="5" t="n">
        <x:v>200.51</x:v>
      </x:c>
      <x:c r="CL45" s="5" t="n">
        <x:v>448.45</x:v>
      </x:c>
      <x:c r="CM45" s="5" t="n">
        <x:v>447.37</x:v>
      </x:c>
      <x:c r="CN45" s="5"/>
      <x:c r="CO45" s="5"/>
      <x:c r="CP45" s="5"/>
      <x:c r="CQ45" s="5"/>
      <x:c r="CR45" s="5" t="n">
        <x:v>532.83</x:v>
      </x:c>
      <x:c r="CS45" s="5" t="n">
        <x:v>653.66</x:v>
      </x:c>
      <x:c r="CT45" s="5" t="n">
        <x:v>682.71</x:v>
      </x:c>
      <x:c r="CU45" s="5" t="n">
        <x:v>242.78</x:v>
      </x:c>
      <x:c r="CV45" s="5" t="n">
        <x:v>447.77</x:v>
      </x:c>
      <x:c r="CW45" s="5" t="n">
        <x:v>321.33</x:v>
      </x:c>
      <x:c r="CX45" s="5" t="n">
        <x:v>1715.58</x:v>
      </x:c>
      <x:c r="CY45" s="5" t="n">
        <x:v>6105.93</x:v>
      </x:c>
      <x:c r="CZ45" s="5" t="n">
        <x:v>4272.3</x:v>
      </x:c>
      <x:c r="DA45" s="5" t="n">
        <x:v>1742.83</x:v>
      </x:c>
      <x:c r="DB45" s="5" t="n">
        <x:v>1999.99</x:v>
      </x:c>
      <x:c r="DC45" s="5" t="n">
        <x:v>455.88</x:v>
      </x:c>
      <x:c r="DD45" s="5" t="n">
        <x:v>4959.56</x:v>
      </x:c>
      <x:c r="DE45" s="5" t="n">
        <x:v>1565.36</x:v>
      </x:c>
      <x:c r="DF45" s="5" t="n">
        <x:v>11489.53</x:v>
      </x:c>
      <x:c r="DG45" s="5" t="n">
        <x:v>2249.51</x:v>
      </x:c>
      <x:c r="DH45" s="5" t="n">
        <x:v>2591.4</x:v>
      </x:c>
      <x:c r="DI45" s="5" t="n">
        <x:v>995.19</x:v>
      </x:c>
      <x:c r="DJ45" s="5" t="n">
        <x:v>6359.93</x:v>
      </x:c>
      <x:c r="DK45" s="5" t="n">
        <x:v>1248.95</x:v>
      </x:c>
      <x:c r="DL45" s="5" t="n">
        <x:v>14657.97</x:v>
      </x:c>
      <x:c r="DM45" s="5" t="n">
        <x:v>2470.75</x:v>
      </x:c>
    </x:row>
    <x:row r="46">
      <x:c r="A46" s="5" t="n">
        <x:v>41</x:v>
      </x:c>
      <x:c r="B46" s="5" t="str">
        <x:v>乙酸苯乙酯</x:v>
      </x:c>
      <x:c r="C46" s="5" t="str">
        <x:v>103-45-7</x:v>
      </x:c>
      <x:c r="D46" s="5" t="n">
        <x:v>909</x:v>
      </x:c>
      <x:c r="E46" s="5" t="n">
        <x:v>992</x:v>
      </x:c>
      <x:c r="F46" s="5" t="n">
        <x:v>2075</x:v>
      </x:c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 t="n">
        <x:v>1</x:v>
      </x:c>
      <x:c r="W46" s="5" t="n">
        <x:v>20300</x:v>
      </x:c>
      <x:c r="X46" s="5" t="n">
        <x:v>11400</x:v>
      </x:c>
      <x:c r="Y46" s="5" t="n">
        <x:v>22400</x:v>
      </x:c>
      <x:c r="Z46" s="5" t="n">
        <x:v>36400</x:v>
      </x:c>
      <x:c r="AA46" s="5" t="n">
        <x:v>50400</x:v>
      </x:c>
      <x:c r="AB46" s="5" t="n">
        <x:v>82500</x:v>
      </x:c>
      <x:c r="AC46" s="5" t="n">
        <x:v>94400</x:v>
      </x:c>
      <x:c r="AD46" s="5" t="n">
        <x:v>94600</x:v>
      </x:c>
      <x:c r="AE46" s="5"/>
      <x:c r="AF46" s="5" t="n">
        <x:v>2660</x:v>
      </x:c>
      <x:c r="AG46" s="5" t="n">
        <x:v>2775</x:v>
      </x:c>
      <x:c r="AH46" s="5" t="n">
        <x:v>20</x:v>
      </x:c>
      <x:c r="AI46" s="5" t="n">
        <x:v>20</x:v>
      </x:c>
      <x:c r="AJ46" s="5" t="n">
        <x:v>30</x:v>
      </x:c>
      <x:c r="AK46" s="5" t="n">
        <x:v>290</x:v>
      </x:c>
      <x:c r="AL46" s="5" t="n">
        <x:v>1200</x:v>
      </x:c>
      <x:c r="AM46" s="5"/>
      <x:c r="AN46" s="5"/>
      <x:c r="AO46" s="5"/>
      <x:c r="AP46" s="5"/>
      <x:c r="AQ46" s="5"/>
      <x:c r="AR46" s="5"/>
      <x:c r="AS46" s="5"/>
      <x:c r="AT46" s="5"/>
      <x:c r="AU46" s="5" t="n">
        <x:v>13.62</x:v>
      </x:c>
      <x:c r="AV46" s="5"/>
      <x:c r="AW46" s="5"/>
      <x:c r="AX46" s="5"/>
      <x:c r="AY46" s="5"/>
      <x:c r="AZ46" s="5" t="n">
        <x:v>516</x:v>
      </x:c>
      <x:c r="BA46" s="5" t="n">
        <x:v>1451</x:v>
      </x:c>
      <x:c r="BB46" s="5"/>
      <x:c r="BC46" s="5"/>
      <x:c r="BD46" s="5" t="n">
        <x:v>119.22</x:v>
      </x:c>
      <x:c r="BE46" s="5" t="n">
        <x:v>234.12</x:v>
      </x:c>
      <x:c r="BF46" s="5" t="n">
        <x:v>289.72</x:v>
      </x:c>
      <x:c r="BG46" s="5" t="n">
        <x:v>67.23</x:v>
      </x:c>
      <x:c r="BH46" s="5"/>
      <x:c r="BI46" s="5" t="n">
        <x:v>88.11</x:v>
      </x:c>
      <x:c r="BJ46" s="5"/>
      <x:c r="BK46" s="5" t="n">
        <x:v>960.6</x:v>
      </x:c>
      <x:c r="BL46" s="5" t="n">
        <x:v>1104.21</x:v>
      </x:c>
      <x:c r="BM46" s="5" t="n">
        <x:v>1095</x:v>
      </x:c>
      <x:c r="BN46" s="5" t="n">
        <x:v>539</x:v>
      </x:c>
      <x:c r="BO46" s="5" t="n">
        <x:v>1028.11</x:v>
      </x:c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 t="n">
        <x:v>25.365</x:v>
      </x:c>
      <x:c r="CA46" s="5" t="n">
        <x:v>24.61</x:v>
      </x:c>
      <x:c r="CB46" s="5" t="n">
        <x:v>22.92</x:v>
      </x:c>
      <x:c r="CC46" s="5" t="n">
        <x:v>25.08</x:v>
      </x:c>
      <x:c r="CD46" s="5" t="n">
        <x:v>60.04</x:v>
      </x:c>
      <x:c r="CE46" s="5" t="n">
        <x:v>39.28</x:v>
      </x:c>
      <x:c r="CF46" s="5" t="n">
        <x:v>295.1</x:v>
      </x:c>
      <x:c r="CG46" s="5" t="n">
        <x:v>28.19</x:v>
      </x:c>
      <x:c r="CH46" s="5" t="n">
        <x:v>25.85</x:v>
      </x:c>
      <x:c r="CI46" s="5" t="n">
        <x:v>102.5</x:v>
      </x:c>
      <x:c r="CJ46" s="5" t="n">
        <x:v>162.4</x:v>
      </x:c>
      <x:c r="CK46" s="5" t="n">
        <x:v>1023.65</x:v>
      </x:c>
      <x:c r="CL46" s="5" t="n">
        <x:v>89.06</x:v>
      </x:c>
      <x:c r="CM46" s="5" t="n">
        <x:v>133.51</x:v>
      </x:c>
      <x:c r="CN46" s="5"/>
      <x:c r="CO46" s="5"/>
      <x:c r="CP46" s="5"/>
      <x:c r="CQ46" s="5"/>
      <x:c r="CR46" s="5" t="n">
        <x:v>234.1</x:v>
      </x:c>
      <x:c r="CS46" s="5" t="n">
        <x:v>264.65</x:v>
      </x:c>
      <x:c r="CT46" s="5"/>
      <x:c r="CU46" s="5"/>
      <x:c r="CV46" s="5"/>
      <x:c r="CW46" s="5"/>
      <x:c r="CX46" s="5" t="n">
        <x:v>181.85</x:v>
      </x:c>
      <x:c r="CY46" s="5" t="n">
        <x:v>299.41</x:v>
      </x:c>
      <x:c r="CZ46" s="5" t="n">
        <x:v>297.49</x:v>
      </x:c>
      <x:c r="DA46" s="5" t="n">
        <x:v>176.66</x:v>
      </x:c>
      <x:c r="DB46" s="5" t="n">
        <x:v>287.58</x:v>
      </x:c>
      <x:c r="DC46" s="5" t="n">
        <x:v>168.2</x:v>
      </x:c>
      <x:c r="DD46" s="5" t="n">
        <x:v>321.79</x:v>
      </x:c>
      <x:c r="DE46" s="5" t="n">
        <x:v>180.04</x:v>
      </x:c>
      <x:c r="DF46" s="5" t="n">
        <x:v>370.26</x:v>
      </x:c>
      <x:c r="DG46" s="5"/>
      <x:c r="DH46" s="5" t="n">
        <x:v>307.37</x:v>
      </x:c>
      <x:c r="DI46" s="5"/>
      <x:c r="DJ46" s="5" t="n">
        <x:v>303.5</x:v>
      </x:c>
      <x:c r="DK46" s="5"/>
      <x:c r="DL46" s="5" t="n">
        <x:v>343.61</x:v>
      </x:c>
      <x:c r="DM46" s="5"/>
    </x:row>
    <x:row r="47">
      <x:c r="A47" s="5" t="n">
        <x:v>42</x:v>
      </x:c>
      <x:c r="B47" s="5" t="str">
        <x:v>异丁酸苯乙酯</x:v>
      </x:c>
      <x:c r="C47" s="5" t="str">
        <x:v>103-48-0</x:v>
      </x:c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 t="n">
        <x:v>152</x:v>
      </x:c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</x:row>
    <x:row r="48">
      <x:c r="A48" s="5" t="n">
        <x:v>43</x:v>
      </x:c>
      <x:c r="B48" s="5" t="str">
        <x:v>丁酸-2-苯乙酯</x:v>
      </x:c>
      <x:c r="C48" s="5" t="str">
        <x:v>103-52-6</x:v>
      </x:c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 t="n">
        <x:v>203</x:v>
      </x:c>
      <x:c r="BB48" s="5"/>
      <x:c r="BC48" s="5"/>
      <x:c r="BD48" s="5" t="n">
        <x:v>266</x:v>
      </x:c>
      <x:c r="BE48" s="5" t="n">
        <x:v>338.32</x:v>
      </x:c>
      <x:c r="BF48" s="5" t="n">
        <x:v>620.21</x:v>
      </x:c>
      <x:c r="BG48" s="5" t="n">
        <x:v>239.72</x:v>
      </x:c>
      <x:c r="BH48" s="5"/>
      <x:c r="BI48" s="5" t="n">
        <x:v>256</x:v>
      </x:c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 t="n">
        <x:v>1.68</x:v>
      </x:c>
      <x:c r="CA48" s="5" t="n">
        <x:v>2.495</x:v>
      </x:c>
      <x:c r="CB48" s="5" t="n">
        <x:v>1.55</x:v>
      </x:c>
      <x:c r="CC48" s="5" t="n">
        <x:v>3.37</x:v>
      </x:c>
      <x:c r="CD48" s="5" t="n">
        <x:v>35.56</x:v>
      </x:c>
      <x:c r="CE48" s="5" t="n">
        <x:v>16.28</x:v>
      </x:c>
      <x:c r="CF48" s="5" t="n">
        <x:v>11.72</x:v>
      </x:c>
      <x:c r="CG48" s="5" t="n">
        <x:v>13.69</x:v>
      </x:c>
      <x:c r="CH48" s="5" t="n">
        <x:v>7.97</x:v>
      </x:c>
      <x:c r="CI48" s="5" t="n">
        <x:v>60.52</x:v>
      </x:c>
      <x:c r="CJ48" s="5" t="n">
        <x:v>74.13</x:v>
      </x:c>
      <x:c r="CK48" s="5" t="n">
        <x:v>36.61</x:v>
      </x:c>
      <x:c r="CL48" s="5" t="n">
        <x:v>24.26</x:v>
      </x:c>
      <x:c r="CM48" s="5" t="n">
        <x:v>21.49</x:v>
      </x:c>
      <x:c r="CN48" s="5"/>
      <x:c r="CO48" s="5"/>
      <x:c r="CP48" s="5"/>
      <x:c r="CQ48" s="5"/>
      <x:c r="CR48" s="5" t="n">
        <x:v>519.46</x:v>
      </x:c>
      <x:c r="CS48" s="5" t="n">
        <x:v>591.5</x:v>
      </x:c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</x:row>
    <x:row r="49">
      <x:c r="A49" s="5" t="n">
        <x:v>44</x:v>
      </x:c>
      <x:c r="B49" s="5"/>
      <x:c r="C49" s="5" t="str">
        <x:v>103-82-2</x:v>
      </x:c>
      <x:c r="D49" s="5"/>
      <x:c r="E49" s="5" t="n">
        <x:v>415</x:v>
      </x:c>
      <x:c r="F49" s="5" t="n">
        <x:v>469</x:v>
      </x:c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</x:row>
    <x:row r="50">
      <x:c r="A50" s="5" t="n">
        <x:v>45</x:v>
      </x:c>
      <x:c r="B50" s="5" t="str">
        <x:v>γ-辛内酯</x:v>
      </x:c>
      <x:c r="C50" s="5" t="str">
        <x:v>104-50-7</x:v>
      </x:c>
      <x:c r="D50" s="5" t="n">
        <x:v>2816</x:v>
      </x:c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 t="n">
        <x:v>1.3125</x:v>
      </x:c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  <x:c r="BA50" s="5"/>
      <x:c r="BB50" s="5"/>
      <x:c r="BC50" s="5"/>
      <x:c r="BD50" s="5"/>
      <x:c r="BE50" s="5"/>
      <x:c r="BF50" s="5"/>
      <x:c r="BG50" s="5"/>
      <x:c r="BH50" s="5"/>
      <x:c r="BI50" s="5"/>
      <x:c r="BJ50" s="5"/>
      <x:c r="BK50" s="5"/>
      <x:c r="BL50" s="5"/>
      <x:c r="BM50" s="5"/>
      <x:c r="BN50" s="5"/>
      <x:c r="BO50" s="5"/>
      <x:c r="BP50" s="5"/>
      <x:c r="BQ50" s="5"/>
      <x:c r="BR50" s="5"/>
      <x:c r="BS50" s="5"/>
      <x:c r="BT50" s="5"/>
      <x:c r="BU50" s="5"/>
      <x:c r="BV50" s="5"/>
      <x:c r="BW50" s="5"/>
      <x:c r="BX50" s="5"/>
      <x:c r="BY50" s="5"/>
      <x:c r="BZ50" s="5"/>
      <x:c r="CA50" s="5"/>
      <x:c r="CB50" s="5"/>
      <x:c r="CC50" s="5"/>
      <x:c r="CD50" s="5"/>
      <x:c r="CE50" s="5"/>
      <x:c r="CF50" s="5"/>
      <x:c r="CG50" s="5"/>
      <x:c r="CH50" s="5"/>
      <x:c r="CI50" s="5"/>
      <x:c r="CJ50" s="5"/>
      <x:c r="CK50" s="5"/>
      <x:c r="CL50" s="5"/>
      <x:c r="CM50" s="5"/>
      <x:c r="CN50" s="5"/>
      <x:c r="CO50" s="5"/>
      <x:c r="CP50" s="5"/>
      <x:c r="CQ50" s="5"/>
      <x:c r="CR50" s="5"/>
      <x:c r="CS50" s="5"/>
      <x:c r="CT50" s="5"/>
      <x:c r="CU50" s="5"/>
      <x:c r="CV50" s="5"/>
      <x:c r="CW50" s="5"/>
      <x:c r="CX50" s="5"/>
      <x:c r="CY50" s="5" t="n">
        <x:v>14.24</x:v>
      </x:c>
      <x:c r="CZ50" s="5" t="n">
        <x:v>28.9</x:v>
      </x:c>
      <x:c r="DA50" s="5"/>
      <x:c r="DB50" s="5"/>
      <x:c r="DC50" s="5"/>
      <x:c r="DD50" s="5" t="n">
        <x:v>29.28</x:v>
      </x:c>
      <x:c r="DE50" s="5"/>
      <x:c r="DF50" s="5" t="n">
        <x:v>50.79</x:v>
      </x:c>
      <x:c r="DG50" s="5" t="n">
        <x:v>3.47</x:v>
      </x:c>
      <x:c r="DH50" s="5" t="n">
        <x:v>15.28</x:v>
      </x:c>
      <x:c r="DI50" s="5" t="n">
        <x:v>9.94</x:v>
      </x:c>
      <x:c r="DJ50" s="5" t="n">
        <x:v>31.09</x:v>
      </x:c>
      <x:c r="DK50" s="5" t="n">
        <x:v>2.19</x:v>
      </x:c>
      <x:c r="DL50" s="5" t="n">
        <x:v>15.65</x:v>
      </x:c>
      <x:c r="DM50" s="5" t="n">
        <x:v>5.14</x:v>
      </x:c>
    </x:row>
    <x:row r="51">
      <x:c r="A51" s="5" t="n">
        <x:v>46</x:v>
      </x:c>
      <x:c r="B51" s="5" t="str">
        <x:v>γ-壬内酯</x:v>
      </x:c>
      <x:c r="C51" s="5" t="str">
        <x:v>104-61-0</x:v>
      </x:c>
      <x:c r="D51" s="5" t="n">
        <x:v>90.7</x:v>
      </x:c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 t="n">
        <x:v>1.125</x:v>
      </x:c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 t="n">
        <x:v>1</x:v>
      </x:c>
      <x:c r="CA51" s="5" t="n">
        <x:v>1</x:v>
      </x:c>
      <x:c r="CB51" s="5" t="n">
        <x:v>52.01</x:v>
      </x:c>
      <x:c r="CC51" s="5" t="n">
        <x:v>24.02</x:v>
      </x:c>
      <x:c r="CD51" s="5" t="n">
        <x:v>43.05</x:v>
      </x:c>
      <x:c r="CE51" s="5" t="n">
        <x:v>124.62</x:v>
      </x:c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 t="n">
        <x:v>97.94</x:v>
      </x:c>
      <x:c r="CZ51" s="5" t="n">
        <x:v>158.87</x:v>
      </x:c>
      <x:c r="DA51" s="5"/>
      <x:c r="DB51" s="5" t="n">
        <x:v>94.61</x:v>
      </x:c>
      <x:c r="DC51" s="5" t="n">
        <x:v>18.22</x:v>
      </x:c>
      <x:c r="DD51" s="5" t="n">
        <x:v>191.58</x:v>
      </x:c>
      <x:c r="DE51" s="5" t="n">
        <x:v>20.01</x:v>
      </x:c>
      <x:c r="DF51" s="5" t="n">
        <x:v>181.34</x:v>
      </x:c>
      <x:c r="DG51" s="5" t="n">
        <x:v>28.36</x:v>
      </x:c>
      <x:c r="DH51" s="5" t="n">
        <x:v>108.76</x:v>
      </x:c>
      <x:c r="DI51" s="5" t="n">
        <x:v>93.65</x:v>
      </x:c>
      <x:c r="DJ51" s="5" t="n">
        <x:v>150.64</x:v>
      </x:c>
      <x:c r="DK51" s="5" t="n">
        <x:v>43.54</x:v>
      </x:c>
      <x:c r="DL51" s="5" t="n">
        <x:v>166.24</x:v>
      </x:c>
      <x:c r="DM51" s="5" t="n">
        <x:v>68.65</x:v>
      </x:c>
    </x:row>
    <x:row r="52">
      <x:c r="A52" s="5" t="n">
        <x:v>47</x:v>
      </x:c>
      <x:c r="B52" s="5"/>
      <x:c r="C52" s="5" t="str">
        <x:v>104-67-6</x:v>
      </x:c>
      <x:c r="D52" s="5"/>
      <x:c r="E52" s="5"/>
      <x:c r="F52" s="5"/>
      <x:c r="G52" s="5"/>
      <x:c r="H52" s="5" t="n">
        <x:v>0.16</x:v>
      </x:c>
      <x:c r="I52" s="5"/>
      <x:c r="J52" s="5"/>
      <x:c r="K52" s="5" t="n">
        <x:v>0.2</x:v>
      </x:c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  <x:c r="BA52" s="5"/>
      <x:c r="BB52" s="5"/>
      <x:c r="BC52" s="5"/>
      <x:c r="BD52" s="5"/>
      <x:c r="BE52" s="5"/>
      <x:c r="BF52" s="5"/>
      <x:c r="BG52" s="5"/>
      <x:c r="BH52" s="5"/>
      <x:c r="BI52" s="5"/>
      <x:c r="BJ52" s="5"/>
      <x:c r="BK52" s="5"/>
      <x:c r="BL52" s="5"/>
      <x:c r="BM52" s="5"/>
      <x:c r="BN52" s="5"/>
      <x:c r="BO52" s="5"/>
      <x:c r="BP52" s="5"/>
      <x:c r="BQ52" s="5"/>
      <x:c r="BR52" s="5"/>
      <x:c r="BS52" s="5"/>
      <x:c r="BT52" s="5"/>
      <x:c r="BU52" s="5"/>
      <x:c r="BV52" s="5"/>
      <x:c r="BW52" s="5"/>
      <x:c r="BX52" s="5"/>
      <x:c r="BY52" s="5"/>
      <x:c r="BZ52" s="5"/>
      <x:c r="CA52" s="5"/>
      <x:c r="CB52" s="5"/>
      <x:c r="CC52" s="5"/>
      <x:c r="CD52" s="5"/>
      <x:c r="CE52" s="5"/>
      <x:c r="CF52" s="5"/>
      <x:c r="CG52" s="5"/>
      <x:c r="CH52" s="5"/>
      <x:c r="CI52" s="5"/>
      <x:c r="CJ52" s="5"/>
      <x:c r="CK52" s="5"/>
      <x:c r="CL52" s="5"/>
      <x:c r="CM52" s="5"/>
      <x:c r="CN52" s="5"/>
      <x:c r="CO52" s="5"/>
      <x:c r="CP52" s="5"/>
      <x:c r="CQ52" s="5"/>
      <x:c r="CR52" s="5"/>
      <x:c r="CS52" s="5"/>
      <x:c r="CT52" s="5"/>
      <x:c r="CU52" s="5"/>
      <x:c r="CV52" s="5"/>
      <x:c r="CW52" s="5"/>
      <x:c r="CX52" s="5"/>
      <x:c r="CY52" s="5"/>
      <x:c r="CZ52" s="5"/>
      <x:c r="DA52" s="5"/>
      <x:c r="DB52" s="5"/>
      <x:c r="DC52" s="5"/>
      <x:c r="DD52" s="5"/>
      <x:c r="DE52" s="5"/>
      <x:c r="DF52" s="5"/>
      <x:c r="DG52" s="5"/>
      <x:c r="DH52" s="5"/>
      <x:c r="DI52" s="5"/>
      <x:c r="DJ52" s="5"/>
      <x:c r="DK52" s="5"/>
      <x:c r="DL52" s="5"/>
      <x:c r="DM52" s="5"/>
    </x:row>
    <x:row r="53">
      <x:c r="A53" s="5" t="n">
        <x:v>48</x:v>
      </x:c>
      <x:c r="B53" s="5" t="str">
        <x:v>γ-庚内酯</x:v>
      </x:c>
      <x:c r="C53" s="5" t="str">
        <x:v>105-21-5</x:v>
      </x:c>
      <x:c r="D53" s="5" t="n">
        <x:v>1000</x:v>
      </x:c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 t="n">
        <x:v>1.25</x:v>
      </x:c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  <x:c r="BA53" s="5"/>
      <x:c r="BB53" s="5"/>
      <x:c r="BC53" s="5"/>
      <x:c r="BD53" s="5"/>
      <x:c r="BE53" s="5"/>
      <x:c r="BF53" s="5"/>
      <x:c r="BG53" s="5"/>
      <x:c r="BH53" s="5"/>
      <x:c r="BI53" s="5"/>
      <x:c r="BJ53" s="5"/>
      <x:c r="BK53" s="5"/>
      <x:c r="BL53" s="5"/>
      <x:c r="BM53" s="5"/>
      <x:c r="BN53" s="5"/>
      <x:c r="BO53" s="5"/>
      <x:c r="BP53" s="5"/>
      <x:c r="BQ53" s="5"/>
      <x:c r="BR53" s="5"/>
      <x:c r="BS53" s="5"/>
      <x:c r="BT53" s="5"/>
      <x:c r="BU53" s="5"/>
      <x:c r="BV53" s="5"/>
      <x:c r="BW53" s="5"/>
      <x:c r="BX53" s="5"/>
      <x:c r="BY53" s="5"/>
      <x:c r="BZ53" s="5"/>
      <x:c r="CA53" s="5"/>
      <x:c r="CB53" s="5"/>
      <x:c r="CC53" s="5"/>
      <x:c r="CD53" s="5"/>
      <x:c r="CE53" s="5"/>
      <x:c r="CF53" s="5"/>
      <x:c r="CG53" s="5"/>
      <x:c r="CH53" s="5"/>
      <x:c r="CI53" s="5"/>
      <x:c r="CJ53" s="5"/>
      <x:c r="CK53" s="5"/>
      <x:c r="CL53" s="5"/>
      <x:c r="CM53" s="5"/>
      <x:c r="CN53" s="5"/>
      <x:c r="CO53" s="5"/>
      <x:c r="CP53" s="5"/>
      <x:c r="CQ53" s="5"/>
      <x:c r="CR53" s="5"/>
      <x:c r="CS53" s="5"/>
      <x:c r="CT53" s="5"/>
      <x:c r="CU53" s="5"/>
      <x:c r="CV53" s="5"/>
      <x:c r="CW53" s="5"/>
      <x:c r="CX53" s="5"/>
      <x:c r="CY53" s="5" t="n">
        <x:v>4.98</x:v>
      </x:c>
      <x:c r="CZ53" s="5"/>
      <x:c r="DA53" s="5" t="n">
        <x:v>5.05</x:v>
      </x:c>
      <x:c r="DB53" s="5"/>
      <x:c r="DC53" s="5" t="n">
        <x:v>4.84</x:v>
      </x:c>
      <x:c r="DD53" s="5" t="n">
        <x:v>15.99</x:v>
      </x:c>
      <x:c r="DE53" s="5"/>
      <x:c r="DF53" s="5" t="n">
        <x:v>13.81</x:v>
      </x:c>
      <x:c r="DG53" s="5"/>
      <x:c r="DH53" s="5" t="n">
        <x:v>6.54</x:v>
      </x:c>
      <x:c r="DI53" s="5" t="n">
        <x:v>4.83</x:v>
      </x:c>
      <x:c r="DJ53" s="5" t="n">
        <x:v>9.9</x:v>
      </x:c>
      <x:c r="DK53" s="5"/>
      <x:c r="DL53" s="5" t="n">
        <x:v>6.97</x:v>
      </x:c>
      <x:c r="DM53" s="5"/>
    </x:row>
    <x:row r="54">
      <x:c r="A54" s="5" t="n">
        <x:v>49</x:v>
      </x:c>
      <x:c r="B54" s="5" t="str">
        <x:v>丙酸乙酯a</x:v>
      </x:c>
      <x:c r="C54" s="5" t="str">
        <x:v>105-37-3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 t="n">
        <x:v>1162</x:v>
      </x:c>
      <x:c r="O54" s="5"/>
      <x:c r="P54" s="5"/>
      <x:c r="Q54" s="5" t="n">
        <x:v>1162</x:v>
      </x:c>
      <x:c r="R54" s="5" t="n">
        <x:v>1162</x:v>
      </x:c>
      <x:c r="S54" s="5" t="n">
        <x:v>1162</x:v>
      </x:c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 t="n">
        <x:v>5450.5</x:v>
      </x:c>
      <x:c r="AW54" s="5"/>
      <x:c r="AX54" s="5" t="n">
        <x:v>8500.5</x:v>
      </x:c>
      <x:c r="AY54" s="5" t="n">
        <x:v>0</x:v>
      </x:c>
      <x:c r="AZ54" s="5" t="n">
        <x:v>388</x:v>
      </x:c>
      <x:c r="BA54" s="5" t="n">
        <x:v>1546</x:v>
      </x:c>
      <x:c r="BB54" s="5"/>
      <x:c r="BC54" s="5"/>
      <x:c r="BD54" s="5"/>
      <x:c r="BE54" s="5"/>
      <x:c r="BF54" s="5"/>
      <x:c r="BG54" s="5"/>
      <x:c r="BH54" s="5"/>
      <x:c r="BI54" s="5"/>
      <x:c r="BJ54" s="5"/>
      <x:c r="BK54" s="5"/>
      <x:c r="BL54" s="5"/>
      <x:c r="BM54" s="5"/>
      <x:c r="BN54" s="5"/>
      <x:c r="BO54" s="5"/>
      <x:c r="BP54" s="5"/>
      <x:c r="BQ54" s="5"/>
      <x:c r="BR54" s="5"/>
      <x:c r="BS54" s="5"/>
      <x:c r="BT54" s="5"/>
      <x:c r="BU54" s="5"/>
      <x:c r="BV54" s="5"/>
      <x:c r="BW54" s="5"/>
      <x:c r="BX54" s="5"/>
      <x:c r="BY54" s="5"/>
      <x:c r="BZ54" s="5" t="n">
        <x:v>7.17</x:v>
      </x:c>
      <x:c r="CA54" s="5" t="n">
        <x:v>9.22</x:v>
      </x:c>
      <x:c r="CB54" s="5" t="n">
        <x:v>47.77</x:v>
      </x:c>
      <x:c r="CC54" s="5" t="n">
        <x:v>27.91</x:v>
      </x:c>
      <x:c r="CD54" s="5" t="n">
        <x:v>75.19</x:v>
      </x:c>
      <x:c r="CE54" s="5" t="n">
        <x:v>31.72</x:v>
      </x:c>
      <x:c r="CF54" s="5" t="n">
        <x:v>15.1</x:v>
      </x:c>
      <x:c r="CG54" s="5" t="n">
        <x:v>12.04</x:v>
      </x:c>
      <x:c r="CH54" s="5" t="n">
        <x:v>8.29</x:v>
      </x:c>
      <x:c r="CI54" s="5" t="n">
        <x:v>72.35</x:v>
      </x:c>
      <x:c r="CJ54" s="5" t="n">
        <x:v>105.48</x:v>
      </x:c>
      <x:c r="CK54" s="5" t="n">
        <x:v>46.14</x:v>
      </x:c>
      <x:c r="CL54" s="5" t="n">
        <x:v>49.64</x:v>
      </x:c>
      <x:c r="CM54" s="5" t="n">
        <x:v>42.57</x:v>
      </x:c>
      <x:c r="CN54" s="5" t="n">
        <x:v>4613</x:v>
      </x:c>
      <x:c r="CO54" s="5" t="n">
        <x:v>6556</x:v>
      </x:c>
      <x:c r="CP54" s="5" t="n">
        <x:v>4552</x:v>
      </x:c>
      <x:c r="CQ54" s="5" t="n">
        <x:v>5330</x:v>
      </x:c>
      <x:c r="CR54" s="5" t="n">
        <x:v>10149.08</x:v>
      </x:c>
      <x:c r="CS54" s="5" t="n">
        <x:v>13828.86</x:v>
      </x:c>
      <x:c r="CT54" s="5"/>
      <x:c r="CU54" s="5"/>
      <x:c r="CV54" s="5"/>
      <x:c r="CW54" s="5"/>
      <x:c r="CX54" s="5"/>
      <x:c r="CY54" s="5"/>
      <x:c r="CZ54" s="5"/>
      <x:c r="DA54" s="5"/>
      <x:c r="DB54" s="5"/>
      <x:c r="DC54" s="5"/>
      <x:c r="DD54" s="5"/>
      <x:c r="DE54" s="5"/>
      <x:c r="DF54" s="5"/>
      <x:c r="DG54" s="5"/>
      <x:c r="DH54" s="5"/>
      <x:c r="DI54" s="5"/>
      <x:c r="DJ54" s="5"/>
      <x:c r="DK54" s="5"/>
      <x:c r="DL54" s="5"/>
      <x:c r="DM54" s="5"/>
    </x:row>
    <x:row r="55">
      <x:c r="A55" s="5" t="n">
        <x:v>50</x:v>
      </x:c>
      <x:c r="B55" s="5"/>
      <x:c r="C55" s="5" t="str">
        <x:v>105-43-1</x:v>
      </x:c>
      <x:c r="D55" s="5"/>
      <x:c r="E55" s="5"/>
      <x:c r="F55" s="5"/>
      <x:c r="G55" s="5"/>
      <x:c r="H55" s="5" t="n">
        <x:v>126.52</x:v>
      </x:c>
      <x:c r="I55" s="5" t="n">
        <x:v>1.85</x:v>
      </x:c>
      <x:c r="J55" s="5" t="n">
        <x:v>5.34</x:v>
      </x:c>
      <x:c r="K55" s="5" t="n">
        <x:v>5.58</x:v>
      </x:c>
      <x:c r="L55" s="5"/>
      <x:c r="M55" s="5"/>
      <x:c r="N55" s="5"/>
      <x:c r="O55" s="5"/>
      <x:c r="P55" s="5"/>
      <x:c r="Q55" s="5"/>
      <x:c r="R55" s="5"/>
      <x:c r="S55" s="5"/>
      <x:c r="T55" s="5" t="n">
        <x:v>0</x:v>
      </x:c>
      <x:c r="U55" s="5" t="n">
        <x:v>0</x:v>
      </x:c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  <x:c r="BA55" s="5"/>
      <x:c r="BB55" s="5"/>
      <x:c r="BC55" s="5"/>
      <x:c r="BD55" s="5"/>
      <x:c r="BE55" s="5"/>
      <x:c r="BF55" s="5"/>
      <x:c r="BG55" s="5"/>
      <x:c r="BH55" s="5"/>
      <x:c r="BI55" s="5"/>
      <x:c r="BJ55" s="5"/>
      <x:c r="BK55" s="5"/>
      <x:c r="BL55" s="5"/>
      <x:c r="BM55" s="5"/>
      <x:c r="BN55" s="5"/>
      <x:c r="BO55" s="5"/>
      <x:c r="BP55" s="5"/>
      <x:c r="BQ55" s="5"/>
      <x:c r="BR55" s="5"/>
      <x:c r="BS55" s="5"/>
      <x:c r="BT55" s="5"/>
      <x:c r="BU55" s="5"/>
      <x:c r="BV55" s="5"/>
      <x:c r="BW55" s="5"/>
      <x:c r="BX55" s="5"/>
      <x:c r="BY55" s="5"/>
      <x:c r="BZ55" s="5"/>
      <x:c r="CA55" s="5"/>
      <x:c r="CB55" s="5"/>
      <x:c r="CC55" s="5"/>
      <x:c r="CD55" s="5"/>
      <x:c r="CE55" s="5"/>
      <x:c r="CF55" s="5"/>
      <x:c r="CG55" s="5"/>
      <x:c r="CH55" s="5"/>
      <x:c r="CI55" s="5"/>
      <x:c r="CJ55" s="5"/>
      <x:c r="CK55" s="5"/>
      <x:c r="CL55" s="5"/>
      <x:c r="CM55" s="5"/>
      <x:c r="CN55" s="5"/>
      <x:c r="CO55" s="5"/>
      <x:c r="CP55" s="5"/>
      <x:c r="CQ55" s="5"/>
      <x:c r="CR55" s="5"/>
      <x:c r="CS55" s="5"/>
      <x:c r="CT55" s="5"/>
      <x:c r="CU55" s="5"/>
      <x:c r="CV55" s="5"/>
      <x:c r="CW55" s="5"/>
      <x:c r="CX55" s="5"/>
      <x:c r="CY55" s="5"/>
      <x:c r="CZ55" s="5"/>
      <x:c r="DA55" s="5"/>
      <x:c r="DB55" s="5"/>
      <x:c r="DC55" s="5"/>
      <x:c r="DD55" s="5"/>
      <x:c r="DE55" s="5"/>
      <x:c r="DF55" s="5"/>
      <x:c r="DG55" s="5"/>
      <x:c r="DH55" s="5"/>
      <x:c r="DI55" s="5"/>
      <x:c r="DJ55" s="5"/>
      <x:c r="DK55" s="5"/>
      <x:c r="DL55" s="5"/>
      <x:c r="DM55" s="5"/>
    </x:row>
    <x:row r="56">
      <x:c r="A56" s="5" t="n">
        <x:v>51</x:v>
      </x:c>
      <x:c r="B56" s="5" t="str">
        <x:v>乙酸仲丁酯</x:v>
      </x:c>
      <x:c r="C56" s="5" t="str">
        <x:v>105-46-4</x:v>
      </x:c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 t="n">
        <x:v>238</x:v>
      </x:c>
      <x:c r="BA56" s="5" t="n">
        <x:v>316</x:v>
      </x:c>
      <x:c r="BB56" s="5"/>
      <x:c r="BC56" s="5"/>
      <x:c r="BD56" s="5"/>
      <x:c r="BE56" s="5"/>
      <x:c r="BF56" s="5"/>
      <x:c r="BG56" s="5"/>
      <x:c r="BH56" s="5"/>
      <x:c r="BI56" s="5"/>
      <x:c r="BJ56" s="5"/>
      <x:c r="BK56" s="5"/>
      <x:c r="BL56" s="5"/>
      <x:c r="BM56" s="5"/>
      <x:c r="BN56" s="5"/>
      <x:c r="BO56" s="5"/>
      <x:c r="BP56" s="5"/>
      <x:c r="BQ56" s="5"/>
      <x:c r="BR56" s="5"/>
      <x:c r="BS56" s="5"/>
      <x:c r="BT56" s="5"/>
      <x:c r="BU56" s="5"/>
      <x:c r="BV56" s="5"/>
      <x:c r="BW56" s="5"/>
      <x:c r="BX56" s="5"/>
      <x:c r="BY56" s="5"/>
      <x:c r="BZ56" s="5"/>
      <x:c r="CA56" s="5"/>
      <x:c r="CB56" s="5"/>
      <x:c r="CC56" s="5"/>
      <x:c r="CD56" s="5"/>
      <x:c r="CE56" s="5"/>
      <x:c r="CF56" s="5"/>
      <x:c r="CG56" s="5"/>
      <x:c r="CH56" s="5"/>
      <x:c r="CI56" s="5"/>
      <x:c r="CJ56" s="5"/>
      <x:c r="CK56" s="5"/>
      <x:c r="CL56" s="5"/>
      <x:c r="CM56" s="5"/>
      <x:c r="CN56" s="5"/>
      <x:c r="CO56" s="5"/>
      <x:c r="CP56" s="5"/>
      <x:c r="CQ56" s="5"/>
      <x:c r="CR56" s="5"/>
      <x:c r="CS56" s="5"/>
      <x:c r="CT56" s="5"/>
      <x:c r="CU56" s="5"/>
      <x:c r="CV56" s="5"/>
      <x:c r="CW56" s="5"/>
      <x:c r="CX56" s="5"/>
      <x:c r="CY56" s="5"/>
      <x:c r="CZ56" s="5"/>
      <x:c r="DA56" s="5"/>
      <x:c r="DB56" s="5"/>
      <x:c r="DC56" s="5"/>
      <x:c r="DD56" s="5"/>
      <x:c r="DE56" s="5"/>
      <x:c r="DF56" s="5"/>
      <x:c r="DG56" s="5"/>
      <x:c r="DH56" s="5"/>
      <x:c r="DI56" s="5"/>
      <x:c r="DJ56" s="5"/>
      <x:c r="DK56" s="5"/>
      <x:c r="DL56" s="5"/>
      <x:c r="DM56" s="5"/>
    </x:row>
    <x:row r="57">
      <x:c r="A57" s="5" t="n">
        <x:v>52</x:v>
      </x:c>
      <x:c r="B57" s="5" t="str">
        <x:v>丁酸乙酯</x:v>
      </x:c>
      <x:c r="C57" s="5" t="str">
        <x:v>105-54-4</x:v>
      </x:c>
      <x:c r="D57" s="5" t="n">
        <x:v>81.5</x:v>
      </x:c>
      <x:c r="E57" s="5" t="n">
        <x:v>217932</x:v>
      </x:c>
      <x:c r="F57" s="5" t="n">
        <x:v>622200</x:v>
      </x:c>
      <x:c r="G57" s="5" t="n">
        <x:v>695.74</x:v>
      </x:c>
      <x:c r="H57" s="5" t="n">
        <x:v>145.7</x:v>
      </x:c>
      <x:c r="I57" s="5" t="n">
        <x:v>245.25</x:v>
      </x:c>
      <x:c r="J57" s="5" t="n">
        <x:v>1202.85</x:v>
      </x:c>
      <x:c r="K57" s="5" t="n">
        <x:v>262.58</x:v>
      </x:c>
      <x:c r="L57" s="5" t="n">
        <x:v>165929</x:v>
      </x:c>
      <x:c r="M57" s="5" t="n">
        <x:v>181049</x:v>
      </x:c>
      <x:c r="N57" s="5" t="n">
        <x:v>57685</x:v>
      </x:c>
      <x:c r="O57" s="5" t="n">
        <x:v>94441</x:v>
      </x:c>
      <x:c r="P57" s="5" t="n">
        <x:v>106623</x:v>
      </x:c>
      <x:c r="Q57" s="5" t="n">
        <x:v>103360</x:v>
      </x:c>
      <x:c r="R57" s="5" t="n">
        <x:v>96548</x:v>
      </x:c>
      <x:c r="S57" s="5" t="n">
        <x:v>105311</x:v>
      </x:c>
      <x:c r="T57" s="5" t="n">
        <x:v>2011</x:v>
      </x:c>
      <x:c r="U57" s="5" t="n">
        <x:v>2558</x:v>
      </x:c>
      <x:c r="V57" s="5"/>
      <x:c r="W57" s="5" t="n">
        <x:v>940000</x:v>
      </x:c>
      <x:c r="X57" s="5" t="n">
        <x:v>206000</x:v>
      </x:c>
      <x:c r="Y57" s="5" t="n">
        <x:v>138000</x:v>
      </x:c>
      <x:c r="Z57" s="5" t="n">
        <x:v>113000</x:v>
      </x:c>
      <x:c r="AA57" s="5" t="n">
        <x:v>73000</x:v>
      </x:c>
      <x:c r="AB57" s="5" t="n">
        <x:v>57000</x:v>
      </x:c>
      <x:c r="AC57" s="5" t="n">
        <x:v>20300</x:v>
      </x:c>
      <x:c r="AD57" s="5" t="n">
        <x:v>19100</x:v>
      </x:c>
      <x:c r="AE57" s="5" t="n">
        <x:v>702350</x:v>
      </x:c>
      <x:c r="AF57" s="5" t="n">
        <x:v>276530</x:v>
      </x:c>
      <x:c r="AG57" s="5" t="n">
        <x:v>1290235</x:v>
      </x:c>
      <x:c r="AH57" s="5" t="n">
        <x:v>21430</x:v>
      </x:c>
      <x:c r="AI57" s="5" t="n">
        <x:v>9260</x:v>
      </x:c>
      <x:c r="AJ57" s="5" t="n">
        <x:v>21050</x:v>
      </x:c>
      <x:c r="AK57" s="5" t="n">
        <x:v>146550</x:v>
      </x:c>
      <x:c r="AL57" s="5" t="n">
        <x:v>105840</x:v>
      </x:c>
      <x:c r="AM57" s="5"/>
      <x:c r="AN57" s="5"/>
      <x:c r="AO57" s="5"/>
      <x:c r="AP57" s="5"/>
      <x:c r="AQ57" s="5" t="n">
        <x:v>384.98</x:v>
      </x:c>
      <x:c r="AR57" s="5" t="n">
        <x:v>84.16</x:v>
      </x:c>
      <x:c r="AS57" s="5" t="n">
        <x:v>253.24</x:v>
      </x:c>
      <x:c r="AT57" s="5" t="n">
        <x:v>247.28</x:v>
      </x:c>
      <x:c r="AU57" s="5" t="n">
        <x:v>4.24</x:v>
      </x:c>
      <x:c r="AV57" s="5" t="n">
        <x:v>37454</x:v>
      </x:c>
      <x:c r="AW57" s="5" t="n">
        <x:v>1166</x:v>
      </x:c>
      <x:c r="AX57" s="5" t="n">
        <x:v>63216.5</x:v>
      </x:c>
      <x:c r="AY57" s="5" t="n">
        <x:v>68900</x:v>
      </x:c>
      <x:c r="AZ57" s="5" t="n">
        <x:v>10870</x:v>
      </x:c>
      <x:c r="BA57" s="5" t="n">
        <x:v>11516</x:v>
      </x:c>
      <x:c r="BB57" s="5" t="n">
        <x:v>99.1</x:v>
      </x:c>
      <x:c r="BC57" s="5" t="n">
        <x:v>5482</x:v>
      </x:c>
      <x:c r="BD57" s="5" t="n">
        <x:v>553</x:v>
      </x:c>
      <x:c r="BE57" s="5" t="n">
        <x:v>3281.86</x:v>
      </x:c>
      <x:c r="BF57" s="5" t="n">
        <x:v>3644.16</x:v>
      </x:c>
      <x:c r="BG57" s="5" t="n">
        <x:v>360.62</x:v>
      </x:c>
      <x:c r="BH57" s="5" t="n">
        <x:v>235.91</x:v>
      </x:c>
      <x:c r="BI57" s="5" t="n">
        <x:v>290.41</x:v>
      </x:c>
      <x:c r="BJ57" s="5" t="n">
        <x:v>177.44</x:v>
      </x:c>
      <x:c r="BK57" s="5" t="n">
        <x:v>530.2</x:v>
      </x:c>
      <x:c r="BL57" s="5" t="n">
        <x:v>907.42</x:v>
      </x:c>
      <x:c r="BM57" s="5" t="n">
        <x:v>843.81</x:v>
      </x:c>
      <x:c r="BN57" s="5" t="n">
        <x:v>613.21</x:v>
      </x:c>
      <x:c r="BO57" s="5" t="n">
        <x:v>742.02</x:v>
      </x:c>
      <x:c r="BP57" s="5" t="n">
        <x:v>267.42</x:v>
      </x:c>
      <x:c r="BQ57" s="5"/>
      <x:c r="BR57" s="5"/>
      <x:c r="BS57" s="5"/>
      <x:c r="BT57" s="5"/>
      <x:c r="BU57" s="5"/>
      <x:c r="BV57" s="5"/>
      <x:c r="BW57" s="5"/>
      <x:c r="BX57" s="5"/>
      <x:c r="BY57" s="5"/>
      <x:c r="BZ57" s="5" t="n">
        <x:v>5291.8667</x:v>
      </x:c>
      <x:c r="CA57" s="5" t="n">
        <x:v>5054.58</x:v>
      </x:c>
      <x:c r="CB57" s="5" t="n">
        <x:v>631.22</x:v>
      </x:c>
      <x:c r="CC57" s="5" t="n">
        <x:v>435.23</x:v>
      </x:c>
      <x:c r="CD57" s="5" t="n">
        <x:v>765.15</x:v>
      </x:c>
      <x:c r="CE57" s="5" t="n">
        <x:v>609.5</x:v>
      </x:c>
      <x:c r="CF57" s="5" t="n">
        <x:v>728.38</x:v>
      </x:c>
      <x:c r="CG57" s="5" t="n">
        <x:v>216.7</x:v>
      </x:c>
      <x:c r="CH57" s="5" t="n">
        <x:v>193.92</x:v>
      </x:c>
      <x:c r="CI57" s="5" t="n">
        <x:v>770.57</x:v>
      </x:c>
      <x:c r="CJ57" s="5" t="n">
        <x:v>1275.09</x:v>
      </x:c>
      <x:c r="CK57" s="5" t="n">
        <x:v>780.38</x:v>
      </x:c>
      <x:c r="CL57" s="5" t="n">
        <x:v>738.71</x:v>
      </x:c>
      <x:c r="CM57" s="5" t="n">
        <x:v>618.76</x:v>
      </x:c>
      <x:c r="CN57" s="5" t="n">
        <x:v>122800</x:v>
      </x:c>
      <x:c r="CO57" s="5" t="n">
        <x:v>111954</x:v>
      </x:c>
      <x:c r="CP57" s="5" t="n">
        <x:v>65850</x:v>
      </x:c>
      <x:c r="CQ57" s="5" t="n">
        <x:v>73978</x:v>
      </x:c>
      <x:c r="CR57" s="5"/>
      <x:c r="CS57" s="5"/>
      <x:c r="CT57" s="5" t="n">
        <x:v>1788.78</x:v>
      </x:c>
      <x:c r="CU57" s="5" t="n">
        <x:v>1305.68</x:v>
      </x:c>
      <x:c r="CV57" s="5" t="n">
        <x:v>1153.39</x:v>
      </x:c>
      <x:c r="CW57" s="5" t="n">
        <x:v>2058.97</x:v>
      </x:c>
      <x:c r="CX57" s="5" t="n">
        <x:v>21528.74</x:v>
      </x:c>
      <x:c r="CY57" s="5" t="n">
        <x:v>243652.36</x:v>
      </x:c>
      <x:c r="CZ57" s="5" t="n">
        <x:v>250159.53</x:v>
      </x:c>
      <x:c r="DA57" s="5" t="n">
        <x:v>25279.5</x:v>
      </x:c>
      <x:c r="DB57" s="5" t="n">
        <x:v>227872.71</x:v>
      </x:c>
      <x:c r="DC57" s="5" t="n">
        <x:v>195870.58</x:v>
      </x:c>
      <x:c r="DD57" s="5" t="n">
        <x:v>268895.2</x:v>
      </x:c>
      <x:c r="DE57" s="5" t="n">
        <x:v>218310.51</x:v>
      </x:c>
      <x:c r="DF57" s="5" t="n">
        <x:v>325676.93</x:v>
      </x:c>
      <x:c r="DG57" s="5" t="n">
        <x:v>321680.74</x:v>
      </x:c>
      <x:c r="DH57" s="5" t="n">
        <x:v>315952.62</x:v>
      </x:c>
      <x:c r="DI57" s="5" t="n">
        <x:v>152314.6</x:v>
      </x:c>
      <x:c r="DJ57" s="5" t="n">
        <x:v>390794.04</x:v>
      </x:c>
      <x:c r="DK57" s="5" t="n">
        <x:v>223772.19</x:v>
      </x:c>
      <x:c r="DL57" s="5" t="n">
        <x:v>435825.21</x:v>
      </x:c>
      <x:c r="DM57" s="5" t="n">
        <x:v>246918.17</x:v>
      </x:c>
    </x:row>
    <x:row r="58">
      <x:c r="A58" s="5" t="n">
        <x:v>53</x:v>
      </x:c>
      <x:c r="B58" s="5" t="str">
        <x:v>乙醛二乙缩醛</x:v>
      </x:c>
      <x:c r="C58" s="5" t="str">
        <x:v>105-57-7</x:v>
      </x:c>
      <x:c r="D58" s="5" t="n">
        <x:v>2090</x:v>
      </x:c>
      <x:c r="E58" s="5"/>
      <x:c r="F58" s="5"/>
      <x:c r="G58" s="5" t="n">
        <x:v>212.95</x:v>
      </x:c>
      <x:c r="H58" s="5" t="n">
        <x:v>472.55</x:v>
      </x:c>
      <x:c r="I58" s="5" t="n">
        <x:v>676.65</x:v>
      </x:c>
      <x:c r="J58" s="5" t="n">
        <x:v>2745.25</x:v>
      </x:c>
      <x:c r="K58" s="5" t="n">
        <x:v>428.66</x:v>
      </x:c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 t="n">
        <x:v>661890</x:v>
      </x:c>
      <x:c r="AF58" s="5" t="n">
        <x:v>411110</x:v>
      </x:c>
      <x:c r="AG58" s="5"/>
      <x:c r="AH58" s="5" t="n">
        <x:v>30280</x:v>
      </x:c>
      <x:c r="AI58" s="5" t="n">
        <x:v>23420</x:v>
      </x:c>
      <x:c r="AJ58" s="5" t="n">
        <x:v>29300</x:v>
      </x:c>
      <x:c r="AK58" s="5" t="n">
        <x:v>154060</x:v>
      </x:c>
      <x:c r="AL58" s="5" t="n">
        <x:v>191190</x:v>
      </x:c>
      <x:c r="AM58" s="5"/>
      <x:c r="AN58" s="5"/>
      <x:c r="AO58" s="5"/>
      <x:c r="AP58" s="5"/>
      <x:c r="AQ58" s="5"/>
      <x:c r="AR58" s="5"/>
      <x:c r="AS58" s="5"/>
      <x:c r="AT58" s="5"/>
      <x:c r="AU58" s="5"/>
      <x:c r="AV58" s="5" t="n">
        <x:v>113300</x:v>
      </x:c>
      <x:c r="AW58" s="5"/>
      <x:c r="AX58" s="5" t="n">
        <x:v>250900</x:v>
      </x:c>
      <x:c r="AY58" s="5" t="n">
        <x:v>77200</x:v>
      </x:c>
      <x:c r="AZ58" s="5"/>
      <x:c r="BA58" s="5"/>
      <x:c r="BB58" s="5"/>
      <x:c r="BC58" s="5"/>
      <x:c r="BD58" s="5" t="n">
        <x:v>19.17</x:v>
      </x:c>
      <x:c r="BE58" s="5" t="n">
        <x:v>90.36</x:v>
      </x:c>
      <x:c r="BF58" s="5" t="n">
        <x:v>53.52</x:v>
      </x:c>
      <x:c r="BG58" s="5" t="n">
        <x:v>12.09</x:v>
      </x:c>
      <x:c r="BH58" s="5"/>
      <x:c r="BI58" s="5" t="n">
        <x:v>9.61</x:v>
      </x:c>
      <x:c r="BJ58" s="5"/>
      <x:c r="BK58" s="5" t="n">
        <x:v>32.4</x:v>
      </x:c>
      <x:c r="BL58" s="5" t="n">
        <x:v>30.34</x:v>
      </x:c>
      <x:c r="BM58" s="5" t="n">
        <x:v>47.06</x:v>
      </x:c>
      <x:c r="BN58" s="5" t="n">
        <x:v>52.16</x:v>
      </x:c>
      <x:c r="BO58" s="5" t="n">
        <x:v>39.23</x:v>
      </x:c>
      <x:c r="BP58" s="5"/>
      <x:c r="BQ58" s="5" t="n">
        <x:v>784300</x:v>
      </x:c>
      <x:c r="BR58" s="5" t="n">
        <x:v>447800</x:v>
      </x:c>
      <x:c r="BS58" s="5" t="n">
        <x:v>91700</x:v>
      </x:c>
      <x:c r="BT58" s="5" t="n">
        <x:v>118500</x:v>
      </x:c>
      <x:c r="BU58" s="5" t="n">
        <x:v>89000</x:v>
      </x:c>
      <x:c r="BV58" s="5" t="n">
        <x:v>153700</x:v>
      </x:c>
      <x:c r="BW58" s="5" t="n">
        <x:v>127500</x:v>
      </x:c>
      <x:c r="BX58" s="5" t="n">
        <x:v>205200</x:v>
      </x:c>
      <x:c r="BY58" s="5" t="n">
        <x:v>138500</x:v>
      </x:c>
      <x:c r="BZ58" s="5" t="n">
        <x:v>81.7833</x:v>
      </x:c>
      <x:c r="CA58" s="5" t="n">
        <x:v>86.01</x:v>
      </x:c>
      <x:c r="CB58" s="5" t="n">
        <x:v>134.15</x:v>
      </x:c>
      <x:c r="CC58" s="5" t="n">
        <x:v>227.21</x:v>
      </x:c>
      <x:c r="CD58" s="5" t="n">
        <x:v>285.95</x:v>
      </x:c>
      <x:c r="CE58" s="5" t="n">
        <x:v>179.15</x:v>
      </x:c>
      <x:c r="CF58" s="5" t="n">
        <x:v>409.22</x:v>
      </x:c>
      <x:c r="CG58" s="5" t="n">
        <x:v>147.75</x:v>
      </x:c>
      <x:c r="CH58" s="5" t="n">
        <x:v>135.29</x:v>
      </x:c>
      <x:c r="CI58" s="5" t="n">
        <x:v>147.99</x:v>
      </x:c>
      <x:c r="CJ58" s="5" t="n">
        <x:v>141.38</x:v>
      </x:c>
      <x:c r="CK58" s="5" t="n">
        <x:v>125.81</x:v>
      </x:c>
      <x:c r="CL58" s="5" t="n">
        <x:v>412.62</x:v>
      </x:c>
      <x:c r="CM58" s="5"/>
      <x:c r="CN58" s="5"/>
      <x:c r="CO58" s="5"/>
      <x:c r="CP58" s="5"/>
      <x:c r="CQ58" s="5"/>
      <x:c r="CR58" s="5"/>
      <x:c r="CS58" s="5"/>
      <x:c r="CT58" s="5"/>
      <x:c r="CU58" s="5"/>
      <x:c r="CV58" s="5"/>
      <x:c r="CW58" s="5"/>
      <x:c r="CX58" s="5" t="n">
        <x:v>122848.32</x:v>
      </x:c>
      <x:c r="CY58" s="5" t="n">
        <x:v>124775.57</x:v>
      </x:c>
      <x:c r="CZ58" s="5" t="n">
        <x:v>191053.08</x:v>
      </x:c>
      <x:c r="DA58" s="5" t="n">
        <x:v>149466.04</x:v>
      </x:c>
      <x:c r="DB58" s="5" t="n">
        <x:v>89743.22</x:v>
      </x:c>
      <x:c r="DC58" s="5" t="n">
        <x:v>121995.46</x:v>
      </x:c>
      <x:c r="DD58" s="5" t="n">
        <x:v>113392.36</x:v>
      </x:c>
      <x:c r="DE58" s="5" t="n">
        <x:v>116649.41</x:v>
      </x:c>
      <x:c r="DF58" s="5" t="n">
        <x:v>121700.65</x:v>
      </x:c>
      <x:c r="DG58" s="5" t="n">
        <x:v>142399.3</x:v>
      </x:c>
      <x:c r="DH58" s="5" t="n">
        <x:v>125917.39</x:v>
      </x:c>
      <x:c r="DI58" s="5" t="n">
        <x:v>124499.69</x:v>
      </x:c>
      <x:c r="DJ58" s="5" t="n">
        <x:v>123094.98</x:v>
      </x:c>
      <x:c r="DK58" s="5" t="n">
        <x:v>125154.05</x:v>
      </x:c>
      <x:c r="DL58" s="5" t="n">
        <x:v>127871.03</x:v>
      </x:c>
      <x:c r="DM58" s="5" t="n">
        <x:v>159549.82</x:v>
      </x:c>
    </x:row>
    <x:row r="59">
      <x:c r="A59" s="5" t="n">
        <x:v>54</x:v>
      </x:c>
      <x:c r="B59" s="5" t="str">
        <x:v>丁酸丙酯propyl butanoate</x:v>
      </x:c>
      <x:c r="C59" s="5" t="str">
        <x:v>105-66-8</x:v>
      </x:c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  <x:c r="BA59" s="5"/>
      <x:c r="BB59" s="5"/>
      <x:c r="BC59" s="5"/>
      <x:c r="BD59" s="5"/>
      <x:c r="BE59" s="5"/>
      <x:c r="BF59" s="5"/>
      <x:c r="BG59" s="5"/>
      <x:c r="BH59" s="5"/>
      <x:c r="BI59" s="5"/>
      <x:c r="BJ59" s="5"/>
      <x:c r="BK59" s="5"/>
      <x:c r="BL59" s="5"/>
      <x:c r="BM59" s="5"/>
      <x:c r="BN59" s="5"/>
      <x:c r="BO59" s="5"/>
      <x:c r="BP59" s="5"/>
      <x:c r="BQ59" s="5"/>
      <x:c r="BR59" s="5"/>
      <x:c r="BS59" s="5"/>
      <x:c r="BT59" s="5"/>
      <x:c r="BU59" s="5"/>
      <x:c r="BV59" s="5"/>
      <x:c r="BW59" s="5"/>
      <x:c r="BX59" s="5"/>
      <x:c r="BY59" s="5"/>
      <x:c r="BZ59" s="5"/>
      <x:c r="CA59" s="5"/>
      <x:c r="CB59" s="5"/>
      <x:c r="CC59" s="5"/>
      <x:c r="CD59" s="5"/>
      <x:c r="CE59" s="5"/>
      <x:c r="CF59" s="5"/>
      <x:c r="CG59" s="5"/>
      <x:c r="CH59" s="5"/>
      <x:c r="CI59" s="5"/>
      <x:c r="CJ59" s="5"/>
      <x:c r="CK59" s="5"/>
      <x:c r="CL59" s="5"/>
      <x:c r="CM59" s="5"/>
      <x:c r="CN59" s="5" t="n">
        <x:v>593</x:v>
      </x:c>
      <x:c r="CO59" s="5" t="n">
        <x:v>1150</x:v>
      </x:c>
      <x:c r="CP59" s="5" t="n">
        <x:v>605</x:v>
      </x:c>
      <x:c r="CQ59" s="5" t="n">
        <x:v>853</x:v>
      </x:c>
      <x:c r="CR59" s="5"/>
      <x:c r="CS59" s="5"/>
      <x:c r="CT59" s="5"/>
      <x:c r="CU59" s="5"/>
      <x:c r="CV59" s="5"/>
      <x:c r="CW59" s="5"/>
      <x:c r="CX59" s="5"/>
      <x:c r="CY59" s="5"/>
      <x:c r="CZ59" s="5"/>
      <x:c r="DA59" s="5"/>
      <x:c r="DB59" s="5"/>
      <x:c r="DC59" s="5"/>
      <x:c r="DD59" s="5"/>
      <x:c r="DE59" s="5"/>
      <x:c r="DF59" s="5"/>
      <x:c r="DG59" s="5"/>
      <x:c r="DH59" s="5"/>
      <x:c r="DI59" s="5"/>
      <x:c r="DJ59" s="5"/>
      <x:c r="DK59" s="5"/>
      <x:c r="DL59" s="5"/>
      <x:c r="DM59" s="5"/>
    </x:row>
    <x:row r="60">
      <x:c r="A60" s="5" t="n">
        <x:v>55</x:v>
      </x:c>
      <x:c r="B60" s="5" t="str">
        <x:v>己酸异丁酯</x:v>
      </x:c>
      <x:c r="C60" s="5" t="str">
        <x:v>105-79-3</x:v>
      </x:c>
      <x:c r="D60" s="5" t="n">
        <x:v>5350</x:v>
      </x:c>
      <x:c r="E60" s="5" t="n">
        <x:v>81</x:v>
      </x:c>
      <x:c r="F60" s="5" t="n">
        <x:v>461</x:v>
      </x:c>
      <x:c r="G60" s="5"/>
      <x:c r="H60" s="5" t="n">
        <x:v>29.32</x:v>
      </x:c>
      <x:c r="I60" s="5" t="n">
        <x:v>3.05</x:v>
      </x:c>
      <x:c r="J60" s="5" t="n">
        <x:v>9.96</x:v>
      </x:c>
      <x:c r="K60" s="5" t="n">
        <x:v>2.93</x:v>
      </x:c>
      <x:c r="L60" s="5"/>
      <x:c r="M60" s="5"/>
      <x:c r="N60" s="5" t="n">
        <x:v>9020</x:v>
      </x:c>
      <x:c r="O60" s="5" t="n">
        <x:v>8555</x:v>
      </x:c>
      <x:c r="P60" s="5"/>
      <x:c r="Q60" s="5" t="n">
        <x:v>1268</x:v>
      </x:c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 t="n">
        <x:v>2800</x:v>
      </x:c>
      <x:c r="BA60" s="5" t="n">
        <x:v>2107</x:v>
      </x:c>
      <x:c r="BB60" s="5" t="n">
        <x:v>1112.21</x:v>
      </x:c>
      <x:c r="BC60" s="5" t="n">
        <x:v>1</x:v>
      </x:c>
      <x:c r="BD60" s="5" t="n">
        <x:v>1430.95</x:v>
      </x:c>
      <x:c r="BE60" s="5" t="n">
        <x:v>1532.965</x:v>
      </x:c>
      <x:c r="BF60" s="5" t="n">
        <x:v>1575.06</x:v>
      </x:c>
      <x:c r="BG60" s="5" t="n">
        <x:v>201.33</x:v>
      </x:c>
      <x:c r="BH60" s="5" t="n">
        <x:v>6412.11</x:v>
      </x:c>
      <x:c r="BI60" s="5" t="n">
        <x:v>95.19</x:v>
      </x:c>
      <x:c r="BJ60" s="5" t="n">
        <x:v>180.91</x:v>
      </x:c>
      <x:c r="BK60" s="5" t="n">
        <x:v>6.285</x:v>
      </x:c>
      <x:c r="BL60" s="5" t="n">
        <x:v>6.49</x:v>
      </x:c>
      <x:c r="BM60" s="5" t="n">
        <x:v>10.86</x:v>
      </x:c>
      <x:c r="BN60" s="5" t="n">
        <x:v>10.26</x:v>
      </x:c>
      <x:c r="BO60" s="5" t="n">
        <x:v>12.16</x:v>
      </x:c>
      <x:c r="BP60" s="5" t="n">
        <x:v>3021</x:v>
      </x:c>
      <x:c r="BQ60" s="5"/>
      <x:c r="BR60" s="5"/>
      <x:c r="BS60" s="5"/>
      <x:c r="BT60" s="5"/>
      <x:c r="BU60" s="5"/>
      <x:c r="BV60" s="5"/>
      <x:c r="BW60" s="5"/>
      <x:c r="BX60" s="5"/>
      <x:c r="BY60" s="5"/>
      <x:c r="BZ60" s="5" t="n">
        <x:v>5119.87</x:v>
      </x:c>
      <x:c r="CA60" s="5" t="n">
        <x:v>3784.51</x:v>
      </x:c>
      <x:c r="CB60" s="5" t="n">
        <x:v>4046.94</x:v>
      </x:c>
      <x:c r="CC60" s="5" t="n">
        <x:v>4399.84</x:v>
      </x:c>
      <x:c r="CD60" s="5" t="n">
        <x:v>6927.46</x:v>
      </x:c>
      <x:c r="CE60" s="5" t="n">
        <x:v>5483.44</x:v>
      </x:c>
      <x:c r="CF60" s="5" t="n">
        <x:v>4978.37</x:v>
      </x:c>
      <x:c r="CG60" s="5" t="n">
        <x:v>3459.61</x:v>
      </x:c>
      <x:c r="CH60" s="5" t="n">
        <x:v>2930.14</x:v>
      </x:c>
      <x:c r="CI60" s="5" t="n">
        <x:v>9701.66</x:v>
      </x:c>
      <x:c r="CJ60" s="5" t="n">
        <x:v>3815.2</x:v>
      </x:c>
      <x:c r="CK60" s="5" t="n">
        <x:v>16185.38</x:v>
      </x:c>
      <x:c r="CL60" s="5" t="n">
        <x:v>7002.37</x:v>
      </x:c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 t="n">
        <x:v>419.26</x:v>
      </x:c>
      <x:c r="CY60" s="5" t="n">
        <x:v>125.4</x:v>
      </x:c>
      <x:c r="CZ60" s="5" t="n">
        <x:v>178.15</x:v>
      </x:c>
      <x:c r="DA60" s="5" t="n">
        <x:v>679.59</x:v>
      </x:c>
      <x:c r="DB60" s="5" t="n">
        <x:v>42.37</x:v>
      </x:c>
      <x:c r="DC60" s="5" t="n">
        <x:v>383.92</x:v>
      </x:c>
      <x:c r="DD60" s="5" t="n">
        <x:v>354.27</x:v>
      </x:c>
      <x:c r="DE60" s="5" t="n">
        <x:v>243.69</x:v>
      </x:c>
      <x:c r="DF60" s="5" t="n">
        <x:v>341.22</x:v>
      </x:c>
      <x:c r="DG60" s="5" t="n">
        <x:v>192.89</x:v>
      </x:c>
      <x:c r="DH60" s="5" t="n">
        <x:v>284.27</x:v>
      </x:c>
      <x:c r="DI60" s="5" t="n">
        <x:v>460.76</x:v>
      </x:c>
      <x:c r="DJ60" s="5" t="n">
        <x:v>166.62</x:v>
      </x:c>
      <x:c r="DK60" s="5" t="n">
        <x:v>338.68</x:v>
      </x:c>
      <x:c r="DL60" s="5" t="n">
        <x:v>569.41</x:v>
      </x:c>
      <x:c r="DM60" s="5" t="n">
        <x:v>224.52</x:v>
      </x:c>
    </x:row>
    <x:row r="61">
      <x:c r="A61" s="5" t="n">
        <x:v>56</x:v>
      </x:c>
      <x:c r="B61" s="5" t="str">
        <x:v>丁酸异戊酯</x:v>
      </x:c>
      <x:c r="C61" s="5" t="str">
        <x:v>106-27-4</x:v>
      </x:c>
      <x:c r="D61" s="5" t="n">
        <x:v>915</x:v>
      </x:c>
      <x:c r="E61" s="5"/>
      <x:c r="F61" s="5"/>
      <x:c r="G61" s="5"/>
      <x:c r="H61" s="5"/>
      <x:c r="I61" s="5"/>
      <x:c r="J61" s="5"/>
      <x:c r="K61" s="5"/>
      <x:c r="L61" s="5"/>
      <x:c r="M61" s="5"/>
      <x:c r="N61" s="5" t="n">
        <x:v>4105</x:v>
      </x:c>
      <x:c r="O61" s="5" t="n">
        <x:v>3424</x:v>
      </x:c>
      <x:c r="P61" s="5" t="n">
        <x:v>3828</x:v>
      </x:c>
      <x:c r="Q61" s="5" t="n">
        <x:v>3635</x:v>
      </x:c>
      <x:c r="R61" s="5" t="n">
        <x:v>3371</x:v>
      </x:c>
      <x:c r="S61" s="5" t="n">
        <x:v>3579</x:v>
      </x:c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 t="n">
        <x:v>1190</x:v>
      </x:c>
      <x:c r="AL61" s="5" t="n">
        <x:v>1670</x:v>
      </x:c>
      <x:c r="AM61" s="5"/>
      <x:c r="AN61" s="5"/>
      <x:c r="AO61" s="5"/>
      <x:c r="AP61" s="5"/>
      <x:c r="AQ61" s="5" t="n">
        <x:v>5.48</x:v>
      </x:c>
      <x:c r="AR61" s="5" t="n">
        <x:v>0.94</x:v>
      </x:c>
      <x:c r="AS61" s="5"/>
      <x:c r="AT61" s="5"/>
      <x:c r="AU61" s="5"/>
      <x:c r="AV61" s="5"/>
      <x:c r="AW61" s="5"/>
      <x:c r="AX61" s="5"/>
      <x:c r="AY61" s="5"/>
      <x:c r="AZ61" s="5" t="n">
        <x:v>127</x:v>
      </x:c>
      <x:c r="BA61" s="5"/>
      <x:c r="BB61" s="5" t="n">
        <x:v>314.61</x:v>
      </x:c>
      <x:c r="BC61" s="5" t="n">
        <x:v>1</x:v>
      </x:c>
      <x:c r="BD61" s="5" t="n">
        <x:v>504.32</x:v>
      </x:c>
      <x:c r="BE61" s="5" t="n">
        <x:v>384.97</x:v>
      </x:c>
      <x:c r="BF61" s="5" t="n">
        <x:v>433.605</x:v>
      </x:c>
      <x:c r="BG61" s="5" t="n">
        <x:v>246.41</x:v>
      </x:c>
      <x:c r="BH61" s="5" t="n">
        <x:v>990.32</x:v>
      </x:c>
      <x:c r="BI61" s="5" t="n">
        <x:v>222.92</x:v>
      </x:c>
      <x:c r="BJ61" s="5" t="n">
        <x:v>267.42</x:v>
      </x:c>
      <x:c r="BK61" s="5" t="n">
        <x:v>1241.03</x:v>
      </x:c>
      <x:c r="BL61" s="5" t="n">
        <x:v>1557</x:v>
      </x:c>
      <x:c r="BM61" s="5" t="n">
        <x:v>2579.12</x:v>
      </x:c>
      <x:c r="BN61" s="5" t="n">
        <x:v>2320.21</x:v>
      </x:c>
      <x:c r="BO61" s="5" t="n">
        <x:v>1761.12</x:v>
      </x:c>
      <x:c r="BP61" s="5" t="n">
        <x:v>600.61</x:v>
      </x:c>
      <x:c r="BQ61" s="5"/>
      <x:c r="BR61" s="5"/>
      <x:c r="BS61" s="5"/>
      <x:c r="BT61" s="5"/>
      <x:c r="BU61" s="5"/>
      <x:c r="BV61" s="5"/>
      <x:c r="BW61" s="5"/>
      <x:c r="BX61" s="5"/>
      <x:c r="BY61" s="5"/>
      <x:c r="BZ61" s="5" t="n">
        <x:v>394.43</x:v>
      </x:c>
      <x:c r="CA61" s="5" t="n">
        <x:v>338.38</x:v>
      </x:c>
      <x:c r="CB61" s="5" t="n">
        <x:v>606.36</x:v>
      </x:c>
      <x:c r="CC61" s="5" t="n">
        <x:v>626.07</x:v>
      </x:c>
      <x:c r="CD61" s="5" t="n">
        <x:v>1534.46</x:v>
      </x:c>
      <x:c r="CE61" s="5" t="n">
        <x:v>743.85</x:v>
      </x:c>
      <x:c r="CF61" s="5" t="n">
        <x:v>1093.38</x:v>
      </x:c>
      <x:c r="CG61" s="5" t="n">
        <x:v>541.17</x:v>
      </x:c>
      <x:c r="CH61" s="5" t="n">
        <x:v>387.02</x:v>
      </x:c>
      <x:c r="CI61" s="5" t="n">
        <x:v>2135.53</x:v>
      </x:c>
      <x:c r="CJ61" s="5" t="n">
        <x:v>2104.37</x:v>
      </x:c>
      <x:c r="CK61" s="5" t="n">
        <x:v>2883.61</x:v>
      </x:c>
      <x:c r="CL61" s="5" t="n">
        <x:v>1263.22</x:v>
      </x:c>
      <x:c r="CM61" s="5" t="n">
        <x:v>1152.59</x:v>
      </x:c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 t="n">
        <x:v>112.52</x:v>
      </x:c>
      <x:c r="CY61" s="5" t="n">
        <x:v>1330.13</x:v>
      </x:c>
      <x:c r="CZ61" s="5" t="n">
        <x:v>1716.51</x:v>
      </x:c>
      <x:c r="DA61" s="5" t="n">
        <x:v>83.42</x:v>
      </x:c>
      <x:c r="DB61" s="5" t="n">
        <x:v>2190.04</x:v>
      </x:c>
      <x:c r="DC61" s="5" t="n">
        <x:v>72.34</x:v>
      </x:c>
      <x:c r="DD61" s="5" t="n">
        <x:v>2059.89</x:v>
      </x:c>
      <x:c r="DE61" s="5" t="n">
        <x:v>206.87</x:v>
      </x:c>
      <x:c r="DF61" s="5" t="n">
        <x:v>1463.78</x:v>
      </x:c>
      <x:c r="DG61" s="5" t="n">
        <x:v>233.8</x:v>
      </x:c>
      <x:c r="DH61" s="5" t="n">
        <x:v>1581.34</x:v>
      </x:c>
      <x:c r="DI61" s="5" t="n">
        <x:v>413.35</x:v>
      </x:c>
      <x:c r="DJ61" s="5" t="n">
        <x:v>1512.74</x:v>
      </x:c>
      <x:c r="DK61" s="5" t="n">
        <x:v>224.65</x:v>
      </x:c>
      <x:c r="DL61" s="5" t="n">
        <x:v>2907.57</x:v>
      </x:c>
      <x:c r="DM61" s="5" t="n">
        <x:v>313.92</x:v>
      </x:c>
    </x:row>
    <x:row r="62">
      <x:c r="A62" s="5" t="n">
        <x:v>57</x:v>
      </x:c>
      <x:c r="B62" s="5" t="str">
        <x:v>庚酸乙酯</x:v>
      </x:c>
      <x:c r="C62" s="5" t="str">
        <x:v>106-30-9</x:v>
      </x:c>
      <x:c r="D62" s="5" t="n">
        <x:v>13153</x:v>
      </x:c>
      <x:c r="E62" s="5" t="n">
        <x:v>5859</x:v>
      </x:c>
      <x:c r="F62" s="5" t="n">
        <x:v>44450</x:v>
      </x:c>
      <x:c r="G62" s="5" t="n">
        <x:v>162.42</x:v>
      </x:c>
      <x:c r="H62" s="5" t="n">
        <x:v>67.59</x:v>
      </x:c>
      <x:c r="I62" s="5" t="n">
        <x:v>92.79</x:v>
      </x:c>
      <x:c r="J62" s="5" t="n">
        <x:v>359.81</x:v>
      </x:c>
      <x:c r="K62" s="5" t="n">
        <x:v>41.72</x:v>
      </x:c>
      <x:c r="L62" s="5"/>
      <x:c r="M62" s="5"/>
      <x:c r="N62" s="5" t="n">
        <x:v>348671</x:v>
      </x:c>
      <x:c r="O62" s="5" t="n">
        <x:v>297115</x:v>
      </x:c>
      <x:c r="P62" s="5" t="n">
        <x:v>264634</x:v>
      </x:c>
      <x:c r="Q62" s="5" t="n">
        <x:v>234362</x:v>
      </x:c>
      <x:c r="R62" s="5" t="n">
        <x:v>263123</x:v>
      </x:c>
      <x:c r="S62" s="5" t="n">
        <x:v>242733</x:v>
      </x:c>
      <x:c r="T62" s="5" t="n">
        <x:v>5</x:v>
      </x:c>
      <x:c r="U62" s="5" t="n">
        <x:v>8</x:v>
      </x:c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 t="n">
        <x:v>1210</x:v>
      </x:c>
      <x:c r="AI62" s="5" t="n">
        <x:v>1500</x:v>
      </x:c>
      <x:c r="AJ62" s="5" t="n">
        <x:v>2200</x:v>
      </x:c>
      <x:c r="AK62" s="5" t="n">
        <x:v>7580</x:v>
      </x:c>
      <x:c r="AL62" s="5" t="n">
        <x:v>18860</x:v>
      </x:c>
      <x:c r="AM62" s="5" t="n">
        <x:v>15360</x:v>
      </x:c>
      <x:c r="AN62" s="5" t="n">
        <x:v>8710</x:v>
      </x:c>
      <x:c r="AO62" s="5" t="n">
        <x:v>8600</x:v>
      </x:c>
      <x:c r="AP62" s="5" t="n">
        <x:v>21820</x:v>
      </x:c>
      <x:c r="AQ62" s="5" t="n">
        <x:v>245.62</x:v>
      </x:c>
      <x:c r="AR62" s="5" t="n">
        <x:v>97.51</x:v>
      </x:c>
      <x:c r="AS62" s="5" t="n">
        <x:v>54.15</x:v>
      </x:c>
      <x:c r="AT62" s="5" t="n">
        <x:v>62.18</x:v>
      </x:c>
      <x:c r="AU62" s="5" t="n">
        <x:v>7.08</x:v>
      </x:c>
      <x:c r="AV62" s="5" t="n">
        <x:v>4550.5</x:v>
      </x:c>
      <x:c r="AW62" s="5" t="n">
        <x:v>3</x:v>
      </x:c>
      <x:c r="AX62" s="5" t="n">
        <x:v>11251</x:v>
      </x:c>
      <x:c r="AY62" s="5" t="n">
        <x:v>0</x:v>
      </x:c>
      <x:c r="AZ62" s="5"/>
      <x:c r="BA62" s="5" t="n">
        <x:v>24974</x:v>
      </x:c>
      <x:c r="BB62" s="5" t="n">
        <x:v>12.14</x:v>
      </x:c>
      <x:c r="BC62" s="5" t="n">
        <x:v>2</x:v>
      </x:c>
      <x:c r="BD62" s="5" t="n">
        <x:v>14.66</x:v>
      </x:c>
      <x:c r="BE62" s="5" t="n">
        <x:v>14.875</x:v>
      </x:c>
      <x:c r="BF62" s="5" t="n">
        <x:v>10.27</x:v>
      </x:c>
      <x:c r="BG62" s="5" t="n">
        <x:v>8.81</x:v>
      </x:c>
      <x:c r="BH62" s="5" t="n">
        <x:v>24.92</x:v>
      </x:c>
      <x:c r="BI62" s="5" t="n">
        <x:v>8.19</x:v>
      </x:c>
      <x:c r="BJ62" s="5" t="n">
        <x:v>13.82</x:v>
      </x:c>
      <x:c r="BK62" s="5" t="n">
        <x:v>67.9</x:v>
      </x:c>
      <x:c r="BL62" s="5" t="n">
        <x:v>77.32</x:v>
      </x:c>
      <x:c r="BM62" s="5" t="n">
        <x:v>76.32</x:v>
      </x:c>
      <x:c r="BN62" s="5" t="n">
        <x:v>67.42</x:v>
      </x:c>
      <x:c r="BO62" s="5" t="n">
        <x:v>103.72</x:v>
      </x:c>
      <x:c r="BP62" s="5" t="n">
        <x:v>34.32</x:v>
      </x:c>
      <x:c r="BQ62" s="5"/>
      <x:c r="BR62" s="5"/>
      <x:c r="BS62" s="5"/>
      <x:c r="BT62" s="5"/>
      <x:c r="BU62" s="5"/>
      <x:c r="BV62" s="5"/>
      <x:c r="BW62" s="5"/>
      <x:c r="BX62" s="5"/>
      <x:c r="BY62" s="5"/>
      <x:c r="BZ62" s="5" t="n">
        <x:v>46.695</x:v>
      </x:c>
      <x:c r="CA62" s="5" t="n">
        <x:v>40.105</x:v>
      </x:c>
      <x:c r="CB62" s="5" t="n">
        <x:v>121.21</x:v>
      </x:c>
      <x:c r="CC62" s="5" t="n">
        <x:v>145</x:v>
      </x:c>
      <x:c r="CD62" s="5" t="n">
        <x:v>275.13</x:v>
      </x:c>
      <x:c r="CE62" s="5" t="n">
        <x:v>166.92</x:v>
      </x:c>
      <x:c r="CF62" s="5" t="n">
        <x:v>85.43</x:v>
      </x:c>
      <x:c r="CG62" s="5" t="n">
        <x:v>30.43</x:v>
      </x:c>
      <x:c r="CH62" s="5" t="n">
        <x:v>20.66</x:v>
      </x:c>
      <x:c r="CI62" s="5" t="n">
        <x:v>271.98</x:v>
      </x:c>
      <x:c r="CJ62" s="5" t="n">
        <x:v>338.35</x:v>
      </x:c>
      <x:c r="CK62" s="5" t="n">
        <x:v>273.56</x:v>
      </x:c>
      <x:c r="CL62" s="5" t="n">
        <x:v>126.68</x:v>
      </x:c>
      <x:c r="CM62" s="5" t="n">
        <x:v>158.94</x:v>
      </x:c>
      <x:c r="CN62" s="5" t="n">
        <x:v>29811</x:v>
      </x:c>
      <x:c r="CO62" s="5" t="n">
        <x:v>149744</x:v>
      </x:c>
      <x:c r="CP62" s="5" t="n">
        <x:v>40434</x:v>
      </x:c>
      <x:c r="CQ62" s="5" t="n">
        <x:v>41085</x:v>
      </x:c>
      <x:c r="CR62" s="5"/>
      <x:c r="CS62" s="5"/>
      <x:c r="CT62" s="5" t="n">
        <x:v>3320.56</x:v>
      </x:c>
      <x:c r="CU62" s="5" t="n">
        <x:v>1637.67</x:v>
      </x:c>
      <x:c r="CV62" s="5" t="n">
        <x:v>3432.57</x:v>
      </x:c>
      <x:c r="CW62" s="5" t="n">
        <x:v>2580.27</x:v>
      </x:c>
      <x:c r="CX62" s="5" t="n">
        <x:v>16771.17</x:v>
      </x:c>
      <x:c r="CY62" s="5" t="n">
        <x:v>10855.36</x:v>
      </x:c>
      <x:c r="CZ62" s="5" t="n">
        <x:v>11763.79</x:v>
      </x:c>
      <x:c r="DA62" s="5" t="n">
        <x:v>18090.2</x:v>
      </x:c>
      <x:c r="DB62" s="5" t="n">
        <x:v>9836.04</x:v>
      </x:c>
      <x:c r="DC62" s="5" t="n">
        <x:v>23532.96</x:v>
      </x:c>
      <x:c r="DD62" s="5" t="n">
        <x:v>18160.25</x:v>
      </x:c>
      <x:c r="DE62" s="5" t="n">
        <x:v>23726.83</x:v>
      </x:c>
      <x:c r="DF62" s="5" t="n">
        <x:v>15784.75</x:v>
      </x:c>
      <x:c r="DG62" s="5" t="n">
        <x:v>20092.34</x:v>
      </x:c>
      <x:c r="DH62" s="5" t="n">
        <x:v>18405.05</x:v>
      </x:c>
      <x:c r="DI62" s="5" t="n">
        <x:v>15295.82</x:v>
      </x:c>
      <x:c r="DJ62" s="5" t="n">
        <x:v>25352.46</x:v>
      </x:c>
      <x:c r="DK62" s="5" t="n">
        <x:v>23337.05</x:v>
      </x:c>
      <x:c r="DL62" s="5" t="n">
        <x:v>36894.93</x:v>
      </x:c>
      <x:c r="DM62" s="5" t="n">
        <x:v>20465.48</x:v>
      </x:c>
    </x:row>
    <x:row r="63">
      <x:c r="A63" s="5" t="n">
        <x:v>58</x:v>
      </x:c>
      <x:c r="B63" s="5" t="str">
        <x:v>辛酸乙酯</x:v>
      </x:c>
      <x:c r="C63" s="5" t="str">
        <x:v>106-32-1</x:v>
      </x:c>
      <x:c r="D63" s="5" t="n">
        <x:v>12.9</x:v>
      </x:c>
      <x:c r="E63" s="5" t="n">
        <x:v>2382</x:v>
      </x:c>
      <x:c r="F63" s="5" t="n">
        <x:v>43878</x:v>
      </x:c>
      <x:c r="G63" s="5" t="n">
        <x:v>149.27</x:v>
      </x:c>
      <x:c r="H63" s="5" t="n">
        <x:v>86.76</x:v>
      </x:c>
      <x:c r="I63" s="5" t="n">
        <x:v>136.05</x:v>
      </x:c>
      <x:c r="J63" s="5" t="n">
        <x:v>572.73</x:v>
      </x:c>
      <x:c r="K63" s="5" t="n">
        <x:v>71.71</x:v>
      </x:c>
      <x:c r="L63" s="5" t="n">
        <x:v>940</x:v>
      </x:c>
      <x:c r="M63" s="5" t="n">
        <x:v>1672</x:v>
      </x:c>
      <x:c r="N63" s="5" t="n">
        <x:v>539066</x:v>
      </x:c>
      <x:c r="O63" s="5" t="n">
        <x:v>492647</x:v>
      </x:c>
      <x:c r="P63" s="5" t="n">
        <x:v>545636</x:v>
      </x:c>
      <x:c r="Q63" s="5" t="n">
        <x:v>383160</x:v>
      </x:c>
      <x:c r="R63" s="5" t="n">
        <x:v>431965</x:v>
      </x:c>
      <x:c r="S63" s="5" t="n">
        <x:v>445513</x:v>
      </x:c>
      <x:c r="T63" s="5" t="n">
        <x:v>10273</x:v>
      </x:c>
      <x:c r="U63" s="5" t="n">
        <x:v>5625</x:v>
      </x:c>
      <x:c r="V63" s="5"/>
      <x:c r="W63" s="5" t="n">
        <x:v>318</x:v>
      </x:c>
      <x:c r="X63" s="5" t="n">
        <x:v>502</x:v>
      </x:c>
      <x:c r="Y63" s="5" t="n">
        <x:v>855</x:v>
      </x:c>
      <x:c r="Z63" s="5" t="n">
        <x:v>1240</x:v>
      </x:c>
      <x:c r="AA63" s="5" t="n">
        <x:v>1530</x:v>
      </x:c>
      <x:c r="AB63" s="5" t="n">
        <x:v>2670</x:v>
      </x:c>
      <x:c r="AC63" s="5" t="n">
        <x:v>3330</x:v>
      </x:c>
      <x:c r="AD63" s="5" t="n">
        <x:v>3340</x:v>
      </x:c>
      <x:c r="AE63" s="5" t="n">
        <x:v>81610</x:v>
      </x:c>
      <x:c r="AF63" s="5" t="n">
        <x:v>76440</x:v>
      </x:c>
      <x:c r="AG63" s="5" t="n">
        <x:v>1865945</x:v>
      </x:c>
      <x:c r="AH63" s="5" t="n">
        <x:v>62</x:v>
      </x:c>
      <x:c r="AI63" s="5" t="n">
        <x:v>46</x:v>
      </x:c>
      <x:c r="AJ63" s="5" t="n">
        <x:v>60</x:v>
      </x:c>
      <x:c r="AK63" s="5" t="n">
        <x:v>4970</x:v>
      </x:c>
      <x:c r="AL63" s="5" t="n">
        <x:v>2160</x:v>
      </x:c>
      <x:c r="AM63" s="5" t="n">
        <x:v>64110</x:v>
      </x:c>
      <x:c r="AN63" s="5"/>
      <x:c r="AO63" s="5" t="n">
        <x:v>6250</x:v>
      </x:c>
      <x:c r="AP63" s="5" t="n">
        <x:v>26590</x:v>
      </x:c>
      <x:c r="AQ63" s="5" t="n">
        <x:v>171.9</x:v>
      </x:c>
      <x:c r="AR63" s="5" t="n">
        <x:v>65.04</x:v>
      </x:c>
      <x:c r="AS63" s="5" t="n">
        <x:v>29.65</x:v>
      </x:c>
      <x:c r="AT63" s="5" t="n">
        <x:v>34.06</x:v>
      </x:c>
      <x:c r="AU63" s="5" t="n">
        <x:v>5.06</x:v>
      </x:c>
      <x:c r="AV63" s="5" t="n">
        <x:v>0</x:v>
      </x:c>
      <x:c r="AW63" s="5" t="n">
        <x:v>738</x:v>
      </x:c>
      <x:c r="AX63" s="5" t="n">
        <x:v>11146</x:v>
      </x:c>
      <x:c r="AY63" s="5" t="n">
        <x:v>0</x:v>
      </x:c>
      <x:c r="AZ63" s="5" t="n">
        <x:v>32509</x:v>
      </x:c>
      <x:c r="BA63" s="5" t="n">
        <x:v>39578</x:v>
      </x:c>
      <x:c r="BB63" s="5" t="n">
        <x:v>22.47</x:v>
      </x:c>
      <x:c r="BC63" s="5" t="n">
        <x:v>2779.5</x:v>
      </x:c>
      <x:c r="BD63" s="5" t="n">
        <x:v>23.92</x:v>
      </x:c>
      <x:c r="BE63" s="5" t="n">
        <x:v>1196.81</x:v>
      </x:c>
      <x:c r="BF63" s="5" t="n">
        <x:v>944.675</x:v>
      </x:c>
      <x:c r="BG63" s="5" t="n">
        <x:v>15.48</x:v>
      </x:c>
      <x:c r="BH63" s="5" t="n">
        <x:v>67.72</x:v>
      </x:c>
      <x:c r="BI63" s="5" t="n">
        <x:v>14.57</x:v>
      </x:c>
      <x:c r="BJ63" s="5" t="n">
        <x:v>15.19</x:v>
      </x:c>
      <x:c r="BK63" s="5" t="n">
        <x:v>130.91</x:v>
      </x:c>
      <x:c r="BL63" s="5" t="n">
        <x:v>111.82</x:v>
      </x:c>
      <x:c r="BM63" s="5" t="n">
        <x:v>174.92</x:v>
      </x:c>
      <x:c r="BN63" s="5" t="n">
        <x:v>121.32</x:v>
      </x:c>
      <x:c r="BO63" s="5" t="n">
        <x:v>203.81</x:v>
      </x:c>
      <x:c r="BP63" s="5" t="n">
        <x:v>31.82</x:v>
      </x:c>
      <x:c r="BQ63" s="5"/>
      <x:c r="BR63" s="5"/>
      <x:c r="BS63" s="5"/>
      <x:c r="BT63" s="5"/>
      <x:c r="BU63" s="5"/>
      <x:c r="BV63" s="5"/>
      <x:c r="BW63" s="5"/>
      <x:c r="BX63" s="5"/>
      <x:c r="BY63" s="5"/>
      <x:c r="BZ63" s="5" t="n">
        <x:v>3733.8733</x:v>
      </x:c>
      <x:c r="CA63" s="5" t="n">
        <x:v>2949.5267</x:v>
      </x:c>
      <x:c r="CB63" s="5" t="n">
        <x:v>75.26</x:v>
      </x:c>
      <x:c r="CC63" s="5" t="n">
        <x:v>39.43</x:v>
      </x:c>
      <x:c r="CD63" s="5" t="n">
        <x:v>204.22</x:v>
      </x:c>
      <x:c r="CE63" s="5" t="n">
        <x:v>79.67</x:v>
      </x:c>
      <x:c r="CF63" s="5" t="n">
        <x:v>76.55</x:v>
      </x:c>
      <x:c r="CG63" s="5" t="n">
        <x:v>17.16</x:v>
      </x:c>
      <x:c r="CH63" s="5" t="n">
        <x:v>11.67</x:v>
      </x:c>
      <x:c r="CI63" s="5" t="n">
        <x:v>163.33</x:v>
      </x:c>
      <x:c r="CJ63" s="5" t="n">
        <x:v>168.76</x:v>
      </x:c>
      <x:c r="CK63" s="5" t="n">
        <x:v>188.97</x:v>
      </x:c>
      <x:c r="CL63" s="5" t="n">
        <x:v>95.1</x:v>
      </x:c>
      <x:c r="CM63" s="5" t="n">
        <x:v>101.15</x:v>
      </x:c>
      <x:c r="CN63" s="5" t="n">
        <x:v>5819</x:v>
      </x:c>
      <x:c r="CO63" s="5" t="n">
        <x:v>27516</x:v>
      </x:c>
      <x:c r="CP63" s="5" t="n">
        <x:v>10539</x:v>
      </x:c>
      <x:c r="CQ63" s="5" t="n">
        <x:v>12084</x:v>
      </x:c>
      <x:c r="CR63" s="5"/>
      <x:c r="CS63" s="5"/>
      <x:c r="CT63" s="5" t="n">
        <x:v>3568.03</x:v>
      </x:c>
      <x:c r="CU63" s="5" t="n">
        <x:v>1990.45</x:v>
      </x:c>
      <x:c r="CV63" s="5" t="n">
        <x:v>3520.13</x:v>
      </x:c>
      <x:c r="CW63" s="5" t="n">
        <x:v>2306.02</x:v>
      </x:c>
      <x:c r="CX63" s="5" t="n">
        <x:v>1496.6</x:v>
      </x:c>
      <x:c r="CY63" s="5" t="n">
        <x:v>4405.19</x:v>
      </x:c>
      <x:c r="CZ63" s="5" t="n">
        <x:v>6398.71</x:v>
      </x:c>
      <x:c r="DA63" s="5" t="n">
        <x:v>2195.82</x:v>
      </x:c>
      <x:c r="DB63" s="5" t="n">
        <x:v>2279.01</x:v>
      </x:c>
      <x:c r="DC63" s="5" t="n">
        <x:v>2786.7</x:v>
      </x:c>
      <x:c r="DD63" s="5" t="n">
        <x:v>8910.89</x:v>
      </x:c>
      <x:c r="DE63" s="5" t="n">
        <x:v>2056.71</x:v>
      </x:c>
      <x:c r="DF63" s="5" t="n">
        <x:v>4359.25</x:v>
      </x:c>
      <x:c r="DG63" s="5" t="n">
        <x:v>1984.69</x:v>
      </x:c>
      <x:c r="DH63" s="5" t="n">
        <x:v>5025.79</x:v>
      </x:c>
      <x:c r="DI63" s="5" t="n">
        <x:v>1877.21</x:v>
      </x:c>
      <x:c r="DJ63" s="5" t="n">
        <x:v>4983.38</x:v>
      </x:c>
      <x:c r="DK63" s="5" t="n">
        <x:v>1519.82</x:v>
      </x:c>
      <x:c r="DL63" s="5" t="n">
        <x:v>5308.37</x:v>
      </x:c>
      <x:c r="DM63" s="5" t="n">
        <x:v>3042.49</x:v>
      </x:c>
    </x:row>
    <x:row r="64">
      <x:c r="A64" s="5" t="n">
        <x:v>59</x:v>
      </x:c>
      <x:c r="B64" s="5" t="str">
        <x:v>癸酸乙酯</x:v>
      </x:c>
      <x:c r="C64" s="5" t="str">
        <x:v>106-33-2</x:v>
      </x:c>
      <x:c r="D64" s="5" t="n">
        <x:v>1120</x:v>
      </x:c>
      <x:c r="E64" s="5"/>
      <x:c r="F64" s="5"/>
      <x:c r="G64" s="5"/>
      <x:c r="H64" s="5" t="n">
        <x:v>14.42</x:v>
      </x:c>
      <x:c r="I64" s="5" t="n">
        <x:v>2.42</x:v>
      </x:c>
      <x:c r="J64" s="5" t="n">
        <x:v>4.79</x:v>
      </x:c>
      <x:c r="K64" s="5" t="n">
        <x:v>1.63</x:v>
      </x:c>
      <x:c r="L64" s="5"/>
      <x:c r="M64" s="5"/>
      <x:c r="N64" s="5" t="n">
        <x:v>24536</x:v>
      </x:c>
      <x:c r="O64" s="5" t="n">
        <x:v>17119</x:v>
      </x:c>
      <x:c r="P64" s="5" t="n">
        <x:v>6766</x:v>
      </x:c>
      <x:c r="Q64" s="5" t="n">
        <x:v>3556</x:v>
      </x:c>
      <x:c r="R64" s="5" t="n">
        <x:v>12572</x:v>
      </x:c>
      <x:c r="S64" s="5" t="n">
        <x:v>21615</x:v>
      </x:c>
      <x:c r="T64" s="5"/>
      <x:c r="U64" s="5"/>
      <x:c r="V64" s="5" t="n">
        <x:v>1.8125</x:v>
      </x:c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 t="n">
        <x:v>30</x:v>
      </x:c>
      <x:c r="AI64" s="5" t="n">
        <x:v>10</x:v>
      </x:c>
      <x:c r="AJ64" s="5" t="n">
        <x:v>10</x:v>
      </x:c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  <x:c r="BA64" s="5"/>
      <x:c r="BB64" s="5" t="n">
        <x:v>101.31</x:v>
      </x:c>
      <x:c r="BC64" s="5"/>
      <x:c r="BD64" s="5" t="n">
        <x:v>38.52</x:v>
      </x:c>
      <x:c r="BE64" s="5" t="n">
        <x:v>68.51</x:v>
      </x:c>
      <x:c r="BF64" s="5" t="n">
        <x:v>103.81</x:v>
      </x:c>
      <x:c r="BG64" s="5" t="n">
        <x:v>26.83</x:v>
      </x:c>
      <x:c r="BH64" s="5" t="n">
        <x:v>286.92</x:v>
      </x:c>
      <x:c r="BI64" s="5" t="n">
        <x:v>26.02</x:v>
      </x:c>
      <x:c r="BJ64" s="5" t="n">
        <x:v>37.46</x:v>
      </x:c>
      <x:c r="BK64" s="5" t="n">
        <x:v>126.02</x:v>
      </x:c>
      <x:c r="BL64" s="5" t="n">
        <x:v>144.51</x:v>
      </x:c>
      <x:c r="BM64" s="5" t="n">
        <x:v>178.12</x:v>
      </x:c>
      <x:c r="BN64" s="5" t="n">
        <x:v>203.7</x:v>
      </x:c>
      <x:c r="BO64" s="5" t="n">
        <x:v>194.81</x:v>
      </x:c>
      <x:c r="BP64" s="5" t="n">
        <x:v>122.22</x:v>
      </x:c>
      <x:c r="BQ64" s="5"/>
      <x:c r="BR64" s="5"/>
      <x:c r="BS64" s="5"/>
      <x:c r="BT64" s="5"/>
      <x:c r="BU64" s="5"/>
      <x:c r="BV64" s="5"/>
      <x:c r="BW64" s="5"/>
      <x:c r="BX64" s="5"/>
      <x:c r="BY64" s="5"/>
      <x:c r="BZ64" s="5" t="n">
        <x:v>20.315</x:v>
      </x:c>
      <x:c r="CA64" s="5" t="n">
        <x:v>21.02</x:v>
      </x:c>
      <x:c r="CB64" s="5" t="n">
        <x:v>45.16</x:v>
      </x:c>
      <x:c r="CC64" s="5" t="n">
        <x:v>46.58</x:v>
      </x:c>
      <x:c r="CD64" s="5" t="n">
        <x:v>47.15</x:v>
      </x:c>
      <x:c r="CE64" s="5" t="n">
        <x:v>43.63</x:v>
      </x:c>
      <x:c r="CF64" s="5" t="n">
        <x:v>49.33</x:v>
      </x:c>
      <x:c r="CG64" s="5" t="n">
        <x:v>260.46</x:v>
      </x:c>
      <x:c r="CH64" s="5" t="n">
        <x:v>175.33</x:v>
      </x:c>
      <x:c r="CI64" s="5" t="n">
        <x:v>53.59</x:v>
      </x:c>
      <x:c r="CJ64" s="5" t="n">
        <x:v>49.97</x:v>
      </x:c>
      <x:c r="CK64" s="5" t="n">
        <x:v>706.21</x:v>
      </x:c>
      <x:c r="CL64" s="5" t="n">
        <x:v>48.37</x:v>
      </x:c>
      <x:c r="CM64" s="5"/>
      <x:c r="CN64" s="5" t="n">
        <x:v>495</x:v>
      </x:c>
      <x:c r="CO64" s="5" t="n">
        <x:v>607</x:v>
      </x:c>
      <x:c r="CP64" s="5" t="n">
        <x:v>268</x:v>
      </x:c>
      <x:c r="CQ64" s="5" t="n">
        <x:v>378</x:v>
      </x:c>
      <x:c r="CR64" s="5" t="n">
        <x:v>3292.66</x:v>
      </x:c>
      <x:c r="CS64" s="5" t="n">
        <x:v>7270.66</x:v>
      </x:c>
      <x:c r="CT64" s="5" t="n">
        <x:v>260.17</x:v>
      </x:c>
      <x:c r="CU64" s="5" t="n">
        <x:v>90.26</x:v>
      </x:c>
      <x:c r="CV64" s="5" t="n">
        <x:v>105.59</x:v>
      </x:c>
      <x:c r="CW64" s="5" t="n">
        <x:v>74.8</x:v>
      </x:c>
      <x:c r="CX64" s="5" t="n">
        <x:v>5023.15</x:v>
      </x:c>
      <x:c r="CY64" s="5" t="n">
        <x:v>185.61</x:v>
      </x:c>
      <x:c r="CZ64" s="5" t="n">
        <x:v>48.58</x:v>
      </x:c>
      <x:c r="DA64" s="5" t="n">
        <x:v>1882.89</x:v>
      </x:c>
      <x:c r="DB64" s="5" t="n">
        <x:v>102.94</x:v>
      </x:c>
      <x:c r="DC64" s="5" t="n">
        <x:v>5141.3</x:v>
      </x:c>
      <x:c r="DD64" s="5" t="n">
        <x:v>1438.94</x:v>
      </x:c>
      <x:c r="DE64" s="5" t="n">
        <x:v>4036.88</x:v>
      </x:c>
      <x:c r="DF64" s="5" t="n">
        <x:v>1665.5</x:v>
      </x:c>
      <x:c r="DG64" s="5" t="n">
        <x:v>1077.74</x:v>
      </x:c>
      <x:c r="DH64" s="5" t="n">
        <x:v>1792.37</x:v>
      </x:c>
      <x:c r="DI64" s="5" t="n">
        <x:v>1007.6</x:v>
      </x:c>
      <x:c r="DJ64" s="5" t="n">
        <x:v>4525.17</x:v>
      </x:c>
      <x:c r="DK64" s="5" t="n">
        <x:v>694.13</x:v>
      </x:c>
      <x:c r="DL64" s="5" t="n">
        <x:v>375.47</x:v>
      </x:c>
      <x:c r="DM64" s="5" t="n">
        <x:v>153.19</x:v>
      </x:c>
    </x:row>
    <x:row r="65">
      <x:c r="A65" s="5" t="n">
        <x:v>60</x:v>
      </x:c>
      <x:c r="B65" s="5" t="str">
        <x:v>丙酸正丙酯</x:v>
      </x:c>
      <x:c r="C65" s="5" t="str">
        <x:v>106-36-5</x:v>
      </x:c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  <x:c r="BA65" s="5" t="n">
        <x:v>157</x:v>
      </x:c>
      <x:c r="BB65" s="5"/>
      <x:c r="BC65" s="5"/>
      <x:c r="BD65" s="5"/>
      <x:c r="BE65" s="5"/>
      <x:c r="BF65" s="5"/>
      <x:c r="BG65" s="5"/>
      <x:c r="BH65" s="5"/>
      <x:c r="BI65" s="5"/>
      <x:c r="BJ65" s="5"/>
      <x:c r="BK65" s="5"/>
      <x:c r="BL65" s="5"/>
      <x:c r="BM65" s="5"/>
      <x:c r="BN65" s="5"/>
      <x:c r="BO65" s="5"/>
      <x:c r="BP65" s="5"/>
      <x:c r="BQ65" s="5"/>
      <x:c r="BR65" s="5"/>
      <x:c r="BS65" s="5"/>
      <x:c r="BT65" s="5"/>
      <x:c r="BU65" s="5"/>
      <x:c r="BV65" s="5"/>
      <x:c r="BW65" s="5"/>
      <x:c r="BX65" s="5"/>
      <x:c r="BY65" s="5"/>
      <x:c r="BZ65" s="5"/>
      <x:c r="CA65" s="5"/>
      <x:c r="CB65" s="5"/>
      <x:c r="CC65" s="5"/>
      <x:c r="CD65" s="5"/>
      <x:c r="CE65" s="5"/>
      <x:c r="CF65" s="5"/>
      <x:c r="CG65" s="5"/>
      <x:c r="CH65" s="5"/>
      <x:c r="CI65" s="5"/>
      <x:c r="CJ65" s="5"/>
      <x:c r="CK65" s="5"/>
      <x:c r="CL65" s="5"/>
      <x:c r="CM65" s="5"/>
      <x:c r="CN65" s="5"/>
      <x:c r="CO65" s="5"/>
      <x:c r="CP65" s="5"/>
      <x:c r="CQ65" s="5"/>
      <x:c r="CR65" s="5"/>
      <x:c r="CS65" s="5"/>
      <x:c r="CT65" s="5"/>
      <x:c r="CU65" s="5"/>
      <x:c r="CV65" s="5"/>
      <x:c r="CW65" s="5"/>
      <x:c r="CX65" s="5"/>
      <x:c r="CY65" s="5"/>
      <x:c r="CZ65" s="5"/>
      <x:c r="DA65" s="5"/>
      <x:c r="DB65" s="5"/>
      <x:c r="DC65" s="5"/>
      <x:c r="DD65" s="5"/>
      <x:c r="DE65" s="5"/>
      <x:c r="DF65" s="5"/>
      <x:c r="DG65" s="5"/>
      <x:c r="DH65" s="5"/>
      <x:c r="DI65" s="5"/>
      <x:c r="DJ65" s="5"/>
      <x:c r="DK65" s="5"/>
      <x:c r="DL65" s="5"/>
      <x:c r="DM65" s="5"/>
    </x:row>
    <x:row r="66">
      <x:c r="A66" s="5" t="n">
        <x:v>61</x:v>
      </x:c>
      <x:c r="B66" s="5" t="str">
        <x:v>对甲酚</x:v>
      </x:c>
      <x:c r="C66" s="5" t="str">
        <x:v>106-44-5</x:v>
      </x:c>
      <x:c r="D66" s="5" t="n">
        <x:v>167</x:v>
      </x:c>
      <x:c r="E66" s="5" t="n">
        <x:v>571</x:v>
      </x:c>
      <x:c r="F66" s="5" t="n">
        <x:v>3271</x:v>
      </x:c>
      <x:c r="G66" s="5" t="n">
        <x:v>0.54</x:v>
      </x:c>
      <x:c r="H66" s="5" t="n">
        <x:v>0.51</x:v>
      </x:c>
      <x:c r="I66" s="5"/>
      <x:c r="J66" s="5" t="n">
        <x:v>4.41</x:v>
      </x:c>
      <x:c r="K66" s="5" t="n">
        <x:v>2.2</x:v>
      </x:c>
      <x:c r="L66" s="5"/>
      <x:c r="M66" s="5"/>
      <x:c r="N66" s="5"/>
      <x:c r="O66" s="5"/>
      <x:c r="P66" s="5"/>
      <x:c r="Q66" s="5"/>
      <x:c r="R66" s="5"/>
      <x:c r="S66" s="5"/>
      <x:c r="T66" s="5" t="n">
        <x:v>8</x:v>
      </x:c>
      <x:c r="U66" s="5" t="n">
        <x:v>7</x:v>
      </x:c>
      <x:c r="V66" s="5" t="n">
        <x:v>1.5</x:v>
      </x:c>
      <x:c r="W66" s="5" t="n">
        <x:v>306</x:v>
      </x:c>
      <x:c r="X66" s="5"/>
      <x:c r="Y66" s="5" t="n">
        <x:v>1020</x:v>
      </x:c>
      <x:c r="Z66" s="5" t="n">
        <x:v>1560</x:v>
      </x:c>
      <x:c r="AA66" s="5" t="n">
        <x:v>2010</x:v>
      </x:c>
      <x:c r="AB66" s="5" t="n">
        <x:v>3400</x:v>
      </x:c>
      <x:c r="AC66" s="5" t="n">
        <x:v>4970</x:v>
      </x:c>
      <x:c r="AD66" s="5" t="n">
        <x:v>5040</x:v>
      </x:c>
      <x:c r="AE66" s="5" t="n">
        <x:v>390</x:v>
      </x:c>
      <x:c r="AF66" s="5" t="n">
        <x:v>210</x:v>
      </x:c>
      <x:c r="AG66" s="5" t="n">
        <x:v>590</x:v>
      </x:c>
      <x:c r="AH66" s="5"/>
      <x:c r="AI66" s="5"/>
      <x:c r="AJ66" s="5"/>
      <x:c r="AK66" s="5" t="n">
        <x:v>460</x:v>
      </x:c>
      <x:c r="AL66" s="5" t="n">
        <x:v>350</x:v>
      </x:c>
      <x:c r="AM66" s="5"/>
      <x:c r="AN66" s="5"/>
      <x:c r="AO66" s="5"/>
      <x:c r="AP66" s="5"/>
      <x:c r="AQ66" s="5" t="n">
        <x:v>10.98</x:v>
      </x:c>
      <x:c r="AR66" s="5" t="n">
        <x:v>14.4</x:v>
      </x:c>
      <x:c r="AS66" s="5" t="n">
        <x:v>15.39</x:v>
      </x:c>
      <x:c r="AT66" s="5" t="n">
        <x:v>14.84</x:v>
      </x:c>
      <x:c r="AU66" s="5"/>
      <x:c r="AV66" s="5"/>
      <x:c r="AW66" s="5"/>
      <x:c r="AX66" s="5"/>
      <x:c r="AY66" s="5"/>
      <x:c r="AZ66" s="5"/>
      <x:c r="BA66" s="5"/>
      <x:c r="BB66" s="5"/>
      <x:c r="BC66" s="5"/>
      <x:c r="BD66" s="5" t="n">
        <x:v>373</x:v>
      </x:c>
      <x:c r="BE66" s="5" t="n">
        <x:v>638.61</x:v>
      </x:c>
      <x:c r="BF66" s="5" t="n">
        <x:v>855.62</x:v>
      </x:c>
      <x:c r="BG66" s="5" t="n">
        <x:v>341.62</x:v>
      </x:c>
      <x:c r="BH66" s="5"/>
      <x:c r="BI66" s="5" t="n">
        <x:v>437.61</x:v>
      </x:c>
      <x:c r="BJ66" s="5"/>
      <x:c r="BK66" s="5" t="n">
        <x:v>6449</x:v>
      </x:c>
      <x:c r="BL66" s="5" t="n">
        <x:v>5644.11</x:v>
      </x:c>
      <x:c r="BM66" s="5" t="n">
        <x:v>6914</x:v>
      </x:c>
      <x:c r="BN66" s="5" t="n">
        <x:v>2731</x:v>
      </x:c>
      <x:c r="BO66" s="5" t="n">
        <x:v>4728.34</x:v>
      </x:c>
      <x:c r="BP66" s="5"/>
      <x:c r="BQ66" s="5"/>
      <x:c r="BR66" s="5"/>
      <x:c r="BS66" s="5"/>
      <x:c r="BT66" s="5"/>
      <x:c r="BU66" s="5"/>
      <x:c r="BV66" s="5"/>
      <x:c r="BW66" s="5"/>
      <x:c r="BX66" s="5"/>
      <x:c r="BY66" s="5"/>
      <x:c r="BZ66" s="5" t="n">
        <x:v>174.235</x:v>
      </x:c>
      <x:c r="CA66" s="5" t="n">
        <x:v>127.94</x:v>
      </x:c>
      <x:c r="CB66" s="5" t="n">
        <x:v>585.6</x:v>
      </x:c>
      <x:c r="CC66" s="5" t="n">
        <x:v>508.34</x:v>
      </x:c>
      <x:c r="CD66" s="5" t="n">
        <x:v>766.53</x:v>
      </x:c>
      <x:c r="CE66" s="5" t="n">
        <x:v>613.61</x:v>
      </x:c>
      <x:c r="CF66" s="5" t="n">
        <x:v>449.56</x:v>
      </x:c>
      <x:c r="CG66" s="5" t="n">
        <x:v>218.67</x:v>
      </x:c>
      <x:c r="CH66" s="5" t="n">
        <x:v>177.42</x:v>
      </x:c>
      <x:c r="CI66" s="5" t="n">
        <x:v>960.07</x:v>
      </x:c>
      <x:c r="CJ66" s="5" t="n">
        <x:v>1492.1</x:v>
      </x:c>
      <x:c r="CK66" s="5" t="n">
        <x:v>1587.71</x:v>
      </x:c>
      <x:c r="CL66" s="5" t="n">
        <x:v>629.89</x:v>
      </x:c>
      <x:c r="CM66" s="5" t="n">
        <x:v>640.78</x:v>
      </x:c>
      <x:c r="CN66" s="5"/>
      <x:c r="CO66" s="5"/>
      <x:c r="CP66" s="5"/>
      <x:c r="CQ66" s="5"/>
      <x:c r="CR66" s="5" t="n">
        <x:v>72.96</x:v>
      </x:c>
      <x:c r="CS66" s="5" t="n">
        <x:v>72.06</x:v>
      </x:c>
      <x:c r="CT66" s="5" t="n">
        <x:v>30.86</x:v>
      </x:c>
      <x:c r="CU66" s="5" t="n">
        <x:v>28.25</x:v>
      </x:c>
      <x:c r="CV66" s="5" t="n">
        <x:v>35.07</x:v>
      </x:c>
      <x:c r="CW66" s="5" t="n">
        <x:v>26.45</x:v>
      </x:c>
      <x:c r="CX66" s="5" t="n">
        <x:v>206.66</x:v>
      </x:c>
      <x:c r="CY66" s="5" t="n">
        <x:v>706.7</x:v>
      </x:c>
      <x:c r="CZ66" s="5" t="n">
        <x:v>702.41</x:v>
      </x:c>
      <x:c r="DA66" s="5" t="n">
        <x:v>191.69</x:v>
      </x:c>
      <x:c r="DB66" s="5" t="n">
        <x:v>402.4</x:v>
      </x:c>
      <x:c r="DC66" s="5" t="n">
        <x:v>10.52</x:v>
      </x:c>
      <x:c r="DD66" s="5" t="n">
        <x:v>1368.87</x:v>
      </x:c>
      <x:c r="DE66" s="5" t="n">
        <x:v>177.91</x:v>
      </x:c>
      <x:c r="DF66" s="5" t="n">
        <x:v>359.87</x:v>
      </x:c>
      <x:c r="DG66" s="5" t="n">
        <x:v>15.14</x:v>
      </x:c>
      <x:c r="DH66" s="5" t="n">
        <x:v>264.83</x:v>
      </x:c>
      <x:c r="DI66" s="5" t="n">
        <x:v>14.89</x:v>
      </x:c>
      <x:c r="DJ66" s="5" t="n">
        <x:v>142.12</x:v>
      </x:c>
      <x:c r="DK66" s="5" t="n">
        <x:v>14.21</x:v>
      </x:c>
      <x:c r="DL66" s="5" t="n">
        <x:v>961.96</x:v>
      </x:c>
      <x:c r="DM66" s="5" t="n">
        <x:v>49.86</x:v>
      </x:c>
    </x:row>
    <x:row r="67">
      <x:c r="A67" s="5" t="n">
        <x:v>62</x:v>
      </x:c>
      <x:c r="B67" s="5" t="str">
        <x:v>仲辛酮</x:v>
      </x:c>
      <x:c r="C67" s="5" t="str">
        <x:v>106-68-3</x:v>
      </x:c>
      <x:c r="D67" s="5" t="n">
        <x:v>250</x:v>
      </x:c>
      <x:c r="E67" s="5"/>
      <x:c r="F67" s="5"/>
      <x:c r="G67" s="5"/>
      <x:c r="H67" s="5"/>
      <x:c r="I67" s="5"/>
      <x:c r="J67" s="5"/>
      <x:c r="K67" s="5" t="n">
        <x:v>1.36</x:v>
      </x:c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 t="n">
        <x:v>25</x:v>
      </x:c>
      <x:c r="BA67" s="5" t="n">
        <x:v>24</x:v>
      </x:c>
      <x:c r="BB67" s="5"/>
      <x:c r="BC67" s="5"/>
      <x:c r="BD67" s="5"/>
      <x:c r="BE67" s="5"/>
      <x:c r="BF67" s="5"/>
      <x:c r="BG67" s="5"/>
      <x:c r="BH67" s="5"/>
      <x:c r="BI67" s="5"/>
      <x:c r="BJ67" s="5"/>
      <x:c r="BK67" s="5"/>
      <x:c r="BL67" s="5"/>
      <x:c r="BM67" s="5"/>
      <x:c r="BN67" s="5"/>
      <x:c r="BO67" s="5"/>
      <x:c r="BP67" s="5"/>
      <x:c r="BQ67" s="5"/>
      <x:c r="BR67" s="5"/>
      <x:c r="BS67" s="5"/>
      <x:c r="BT67" s="5"/>
      <x:c r="BU67" s="5"/>
      <x:c r="BV67" s="5"/>
      <x:c r="BW67" s="5"/>
      <x:c r="BX67" s="5"/>
      <x:c r="BY67" s="5"/>
      <x:c r="BZ67" s="5"/>
      <x:c r="CA67" s="5"/>
      <x:c r="CB67" s="5"/>
      <x:c r="CC67" s="5"/>
      <x:c r="CD67" s="5"/>
      <x:c r="CE67" s="5"/>
      <x:c r="CF67" s="5"/>
      <x:c r="CG67" s="5"/>
      <x:c r="CH67" s="5"/>
      <x:c r="CI67" s="5"/>
      <x:c r="CJ67" s="5"/>
      <x:c r="CK67" s="5"/>
      <x:c r="CL67" s="5"/>
      <x:c r="CM67" s="5"/>
      <x:c r="CN67" s="5"/>
      <x:c r="CO67" s="5"/>
      <x:c r="CP67" s="5"/>
      <x:c r="CQ67" s="5"/>
      <x:c r="CR67" s="5"/>
      <x:c r="CS67" s="5"/>
      <x:c r="CT67" s="5"/>
      <x:c r="CU67" s="5"/>
      <x:c r="CV67" s="5"/>
      <x:c r="CW67" s="5"/>
      <x:c r="CX67" s="5"/>
      <x:c r="CY67" s="5"/>
      <x:c r="CZ67" s="5"/>
      <x:c r="DA67" s="5"/>
      <x:c r="DB67" s="5"/>
      <x:c r="DC67" s="5"/>
      <x:c r="DD67" s="5"/>
      <x:c r="DE67" s="5"/>
      <x:c r="DF67" s="5"/>
      <x:c r="DG67" s="5"/>
      <x:c r="DH67" s="5"/>
      <x:c r="DI67" s="5"/>
      <x:c r="DJ67" s="5"/>
      <x:c r="DK67" s="5"/>
      <x:c r="DL67" s="5"/>
      <x:c r="DM67" s="5"/>
    </x:row>
    <x:row r="68">
      <x:c r="A68" s="5" t="n">
        <x:v>63</x:v>
      </x:c>
      <x:c r="B68" s="5" t="str">
        <x:v>己酸甲酯</x:v>
      </x:c>
      <x:c r="C68" s="5" t="str">
        <x:v>106-70-7</x:v>
      </x:c>
      <x:c r="D68" s="5"/>
      <x:c r="E68" s="5"/>
      <x:c r="F68" s="5"/>
      <x:c r="G68" s="5" t="n">
        <x:v>4.49</x:v>
      </x:c>
      <x:c r="H68" s="5" t="n">
        <x:v>96.79</x:v>
      </x:c>
      <x:c r="I68" s="5" t="n">
        <x:v>0.88</x:v>
      </x:c>
      <x:c r="J68" s="5" t="n">
        <x:v>1.14</x:v>
      </x:c>
      <x:c r="K68" s="5" t="n">
        <x:v>1.81</x:v>
      </x:c>
      <x:c r="L68" s="5" t="n">
        <x:v>336</x:v>
      </x:c>
      <x:c r="M68" s="5" t="n">
        <x:v>357</x:v>
      </x:c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 t="n">
        <x:v>7480</x:v>
      </x:c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 t="n">
        <x:v>8.09</x:v>
      </x:c>
      <x:c r="AR68" s="5" t="n">
        <x:v>1.88</x:v>
      </x:c>
      <x:c r="AS68" s="5" t="n">
        <x:v>2.19</x:v>
      </x:c>
      <x:c r="AT68" s="5" t="n">
        <x:v>2.63</x:v>
      </x:c>
      <x:c r="AU68" s="5"/>
      <x:c r="AV68" s="5"/>
      <x:c r="AW68" s="5"/>
      <x:c r="AX68" s="5"/>
      <x:c r="AY68" s="5"/>
      <x:c r="AZ68" s="5" t="n">
        <x:v>739</x:v>
      </x:c>
      <x:c r="BA68" s="5" t="n">
        <x:v>1401</x:v>
      </x:c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</x:row>
    <x:row r="69">
      <x:c r="A69" s="5" t="n">
        <x:v>64</x:v>
      </x:c>
      <x:c r="B69" s="5" t="str">
        <x:v>2-戊酮a</x:v>
      </x:c>
      <x:c r="C69" s="5" t="str">
        <x:v>107-87-9</x:v>
      </x:c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 t="n">
        <x:v>15780</x:v>
      </x:c>
      <x:c r="AI69" s="5" t="n">
        <x:v>92960</x:v>
      </x:c>
      <x:c r="AJ69" s="5" t="n">
        <x:v>65650</x:v>
      </x:c>
      <x:c r="AK69" s="5"/>
      <x:c r="AL69" s="5"/>
      <x:c r="AM69" s="5"/>
      <x:c r="AN69" s="5"/>
      <x:c r="AO69" s="5"/>
      <x:c r="AP69" s="5"/>
      <x:c r="AQ69" s="5"/>
      <x:c r="AR69" s="5"/>
      <x:c r="AS69" s="5" t="n">
        <x:v>49.3</x:v>
      </x:c>
      <x:c r="AT69" s="5" t="n">
        <x:v>66.67</x:v>
      </x:c>
      <x:c r="AU69" s="5"/>
      <x:c r="AV69" s="5"/>
      <x:c r="AW69" s="5"/>
      <x:c r="AX69" s="5"/>
      <x:c r="AY69" s="5"/>
      <x:c r="AZ69" s="5" t="n">
        <x:v>267</x:v>
      </x:c>
      <x:c r="BA69" s="5" t="n">
        <x:v>409</x:v>
      </x:c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 t="n">
        <x:v>4.6</x:v>
      </x:c>
      <x:c r="CA69" s="5" t="n">
        <x:v>7.905</x:v>
      </x:c>
      <x:c r="CB69" s="5" t="n">
        <x:v>11.93</x:v>
      </x:c>
      <x:c r="CC69" s="5" t="n">
        <x:v>130.43</x:v>
      </x:c>
      <x:c r="CD69" s="5" t="n">
        <x:v>88.35</x:v>
      </x:c>
      <x:c r="CE69" s="5" t="n">
        <x:v>54</x:v>
      </x:c>
      <x:c r="CF69" s="5" t="n">
        <x:v>17.67</x:v>
      </x:c>
      <x:c r="CG69" s="5" t="n">
        <x:v>52.15</x:v>
      </x:c>
      <x:c r="CH69" s="5" t="n">
        <x:v>30.87</x:v>
      </x:c>
      <x:c r="CI69" s="5" t="n">
        <x:v>317.1</x:v>
      </x:c>
      <x:c r="CJ69" s="5" t="n">
        <x:v>37.04</x:v>
      </x:c>
      <x:c r="CK69" s="5" t="n">
        <x:v>16.52</x:v>
      </x:c>
      <x:c r="CL69" s="5" t="n">
        <x:v>20.89</x:v>
      </x:c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</x:row>
    <x:row r="70">
      <x:c r="A70" s="5" t="n">
        <x:v>65</x:v>
      </x:c>
      <x:c r="B70" s="5" t="str">
        <x:v>丁酸</x:v>
      </x:c>
      <x:c r="C70" s="5" t="str">
        <x:v>107-92-6</x:v>
      </x:c>
      <x:c r="D70" s="5" t="n">
        <x:v>965</x:v>
      </x:c>
      <x:c r="E70" s="5" t="n">
        <x:v>78618</x:v>
      </x:c>
      <x:c r="F70" s="5" t="n">
        <x:v>295816</x:v>
      </x:c>
      <x:c r="G70" s="5" t="n">
        <x:v>4.16</x:v>
      </x:c>
      <x:c r="H70" s="5" t="n">
        <x:v>17.58</x:v>
      </x:c>
      <x:c r="I70" s="5" t="n">
        <x:v>8.31</x:v>
      </x:c>
      <x:c r="J70" s="5" t="n">
        <x:v>9.4</x:v>
      </x:c>
      <x:c r="K70" s="5" t="n">
        <x:v>8.06</x:v>
      </x:c>
      <x:c r="L70" s="5" t="n">
        <x:v>128673</x:v>
      </x:c>
      <x:c r="M70" s="5" t="n">
        <x:v>81517</x:v>
      </x:c>
      <x:c r="N70" s="5" t="n">
        <x:v>1048</x:v>
      </x:c>
      <x:c r="O70" s="5" t="n">
        <x:v>650</x:v>
      </x:c>
      <x:c r="P70" s="5" t="n">
        <x:v>3162</x:v>
      </x:c>
      <x:c r="Q70" s="5" t="n">
        <x:v>4010</x:v>
      </x:c>
      <x:c r="R70" s="5" t="n">
        <x:v>2852</x:v>
      </x:c>
      <x:c r="S70" s="5"/>
      <x:c r="T70" s="5" t="n">
        <x:v>194</x:v>
      </x:c>
      <x:c r="U70" s="5" t="n">
        <x:v>212</x:v>
      </x:c>
      <x:c r="V70" s="5"/>
      <x:c r="W70" s="5"/>
      <x:c r="X70" s="5"/>
      <x:c r="Y70" s="5"/>
      <x:c r="Z70" s="5"/>
      <x:c r="AA70" s="5"/>
      <x:c r="AB70" s="5" t="n">
        <x:v>651</x:v>
      </x:c>
      <x:c r="AC70" s="5" t="n">
        <x:v>516</x:v>
      </x:c>
      <x:c r="AD70" s="5" t="n">
        <x:v>956</x:v>
      </x:c>
      <x:c r="AE70" s="5" t="n">
        <x:v>41650</x:v>
      </x:c>
      <x:c r="AF70" s="5" t="n">
        <x:v>34420</x:v>
      </x:c>
      <x:c r="AG70" s="5" t="n">
        <x:v>21680</x:v>
      </x:c>
      <x:c r="AH70" s="5" t="n">
        <x:v>30</x:v>
      </x:c>
      <x:c r="AI70" s="5" t="n">
        <x:v>30</x:v>
      </x:c>
      <x:c r="AJ70" s="5" t="n">
        <x:v>40</x:v>
      </x:c>
      <x:c r="AK70" s="5" t="n">
        <x:v>13460</x:v>
      </x:c>
      <x:c r="AL70" s="5" t="n">
        <x:v>14620</x:v>
      </x:c>
      <x:c r="AM70" s="5"/>
      <x:c r="AN70" s="5"/>
      <x:c r="AO70" s="5"/>
      <x:c r="AP70" s="5"/>
      <x:c r="AQ70" s="5" t="n">
        <x:v>75.69</x:v>
      </x:c>
      <x:c r="AR70" s="5" t="n">
        <x:v>47.64</x:v>
      </x:c>
      <x:c r="AS70" s="5" t="n">
        <x:v>86.29</x:v>
      </x:c>
      <x:c r="AT70" s="5" t="n">
        <x:v>86.78</x:v>
      </x:c>
      <x:c r="AU70" s="5"/>
      <x:c r="AV70" s="5" t="n">
        <x:v>36838</x:v>
      </x:c>
      <x:c r="AW70" s="5" t="n">
        <x:v>24</x:v>
      </x:c>
      <x:c r="AX70" s="5" t="n">
        <x:v>35136.5</x:v>
      </x:c>
      <x:c r="AY70" s="5" t="n">
        <x:v>86800</x:v>
      </x:c>
      <x:c r="AZ70" s="5"/>
      <x:c r="BA70" s="5"/>
      <x:c r="BB70" s="5"/>
      <x:c r="BC70" s="5"/>
      <x:c r="BD70" s="5" t="n">
        <x:v>87.34</x:v>
      </x:c>
      <x:c r="BE70" s="5" t="n">
        <x:v>117.31</x:v>
      </x:c>
      <x:c r="BF70" s="5" t="n">
        <x:v>107.42</x:v>
      </x:c>
      <x:c r="BG70" s="5" t="n">
        <x:v>90.64</x:v>
      </x:c>
      <x:c r="BH70" s="5"/>
      <x:c r="BI70" s="5" t="n">
        <x:v>87.96</x:v>
      </x:c>
      <x:c r="BJ70" s="5"/>
      <x:c r="BK70" s="5" t="n">
        <x:v>138.92</x:v>
      </x:c>
      <x:c r="BL70" s="5" t="n">
        <x:v>111.44</x:v>
      </x:c>
      <x:c r="BM70" s="5" t="n">
        <x:v>156.52</x:v>
      </x:c>
      <x:c r="BN70" s="5" t="n">
        <x:v>108.78</x:v>
      </x:c>
      <x:c r="BO70" s="5" t="n">
        <x:v>122.82</x:v>
      </x:c>
      <x:c r="BP70" s="5"/>
      <x:c r="BQ70" s="5" t="n">
        <x:v>133900</x:v>
      </x:c>
      <x:c r="BR70" s="5" t="n">
        <x:v>154500</x:v>
      </x:c>
      <x:c r="BS70" s="5" t="n">
        <x:v>156100</x:v>
      </x:c>
      <x:c r="BT70" s="5" t="n">
        <x:v>45500</x:v>
      </x:c>
      <x:c r="BU70" s="5" t="n">
        <x:v>75100</x:v>
      </x:c>
      <x:c r="BV70" s="5" t="n">
        <x:v>59900</x:v>
      </x:c>
      <x:c r="BW70" s="5" t="n">
        <x:v>178400</x:v>
      </x:c>
      <x:c r="BX70" s="5" t="n">
        <x:v>74800</x:v>
      </x:c>
      <x:c r="BY70" s="5" t="n">
        <x:v>203700</x:v>
      </x:c>
      <x:c r="BZ70" s="5" t="n">
        <x:v>83.1133</x:v>
      </x:c>
      <x:c r="CA70" s="5" t="n">
        <x:v>98.7767</x:v>
      </x:c>
      <x:c r="CB70" s="5" t="n">
        <x:v>78.35</x:v>
      </x:c>
      <x:c r="CC70" s="5" t="n">
        <x:v>139.39</x:v>
      </x:c>
      <x:c r="CD70" s="5" t="n">
        <x:v>136.43</x:v>
      </x:c>
      <x:c r="CE70" s="5" t="n">
        <x:v>98.73</x:v>
      </x:c>
      <x:c r="CF70" s="5" t="n">
        <x:v>102.04</x:v>
      </x:c>
      <x:c r="CG70" s="5" t="n">
        <x:v>26.02</x:v>
      </x:c>
      <x:c r="CH70" s="5" t="n">
        <x:v>31.97</x:v>
      </x:c>
      <x:c r="CI70" s="5" t="n">
        <x:v>173.37</x:v>
      </x:c>
      <x:c r="CJ70" s="5" t="n">
        <x:v>190.29</x:v>
      </x:c>
      <x:c r="CK70" s="5" t="n">
        <x:v>177.22</x:v>
      </x:c>
      <x:c r="CL70" s="5" t="n">
        <x:v>233.1</x:v>
      </x:c>
      <x:c r="CM70" s="5" t="n">
        <x:v>123.99</x:v>
      </x:c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 t="n">
        <x:v>101120.53</x:v>
      </x:c>
      <x:c r="CY70" s="5" t="n">
        <x:v>150425.51</x:v>
      </x:c>
      <x:c r="CZ70" s="5" t="n">
        <x:v>87318.22</x:v>
      </x:c>
      <x:c r="DA70" s="5" t="n">
        <x:v>123541.9</x:v>
      </x:c>
      <x:c r="DB70" s="5" t="n">
        <x:v>151195.9</x:v>
      </x:c>
      <x:c r="DC70" s="5" t="n">
        <x:v>122681.55</x:v>
      </x:c>
      <x:c r="DD70" s="5" t="n">
        <x:v>147859.34</x:v>
      </x:c>
      <x:c r="DE70" s="5" t="n">
        <x:v>130492.23</x:v>
      </x:c>
      <x:c r="DF70" s="5" t="n">
        <x:v>98998.62</x:v>
      </x:c>
      <x:c r="DG70" s="5" t="n">
        <x:v>115066.84</x:v>
      </x:c>
      <x:c r="DH70" s="5" t="n">
        <x:v>92622.6</x:v>
      </x:c>
      <x:c r="DI70" s="5" t="n">
        <x:v>78188.8</x:v>
      </x:c>
      <x:c r="DJ70" s="5" t="n">
        <x:v>81732.6</x:v>
      </x:c>
      <x:c r="DK70" s="5" t="n">
        <x:v>90176.71</x:v>
      </x:c>
      <x:c r="DL70" s="5" t="n">
        <x:v>96215.35</x:v>
      </x:c>
      <x:c r="DM70" s="5" t="n">
        <x:v>88720.19</x:v>
      </x:c>
    </x:row>
    <x:row r="71">
      <x:c r="A71" s="5" t="n">
        <x:v>66</x:v>
      </x:c>
      <x:c r="B71" s="5" t="str">
        <x:v>γ-戊内酯</x:v>
      </x:c>
      <x:c r="C71" s="5" t="str">
        <x:v>108-29-2</x:v>
      </x:c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  <x:c r="BA71" s="5"/>
      <x:c r="BB71" s="5"/>
      <x:c r="BC71" s="5"/>
      <x:c r="BD71" s="5"/>
      <x:c r="BE71" s="5"/>
      <x:c r="BF71" s="5"/>
      <x:c r="BG71" s="5"/>
      <x:c r="BH71" s="5"/>
      <x:c r="BI71" s="5"/>
      <x:c r="BJ71" s="5"/>
      <x:c r="BK71" s="5"/>
      <x:c r="BL71" s="5"/>
      <x:c r="BM71" s="5"/>
      <x:c r="BN71" s="5"/>
      <x:c r="BO71" s="5"/>
      <x:c r="BP71" s="5"/>
      <x:c r="BQ71" s="5"/>
      <x:c r="BR71" s="5"/>
      <x:c r="BS71" s="5"/>
      <x:c r="BT71" s="5"/>
      <x:c r="BU71" s="5"/>
      <x:c r="BV71" s="5"/>
      <x:c r="BW71" s="5"/>
      <x:c r="BX71" s="5"/>
      <x:c r="BY71" s="5"/>
      <x:c r="BZ71" s="5"/>
      <x:c r="CA71" s="5"/>
      <x:c r="CB71" s="5"/>
      <x:c r="CC71" s="5"/>
      <x:c r="CD71" s="5"/>
      <x:c r="CE71" s="5"/>
      <x:c r="CF71" s="5"/>
      <x:c r="CG71" s="5"/>
      <x:c r="CH71" s="5"/>
      <x:c r="CI71" s="5"/>
      <x:c r="CJ71" s="5"/>
      <x:c r="CK71" s="5"/>
      <x:c r="CL71" s="5"/>
      <x:c r="CM71" s="5"/>
      <x:c r="CN71" s="5"/>
      <x:c r="CO71" s="5"/>
      <x:c r="CP71" s="5"/>
      <x:c r="CQ71" s="5"/>
      <x:c r="CR71" s="5"/>
      <x:c r="CS71" s="5"/>
      <x:c r="CT71" s="5"/>
      <x:c r="CU71" s="5"/>
      <x:c r="CV71" s="5"/>
      <x:c r="CW71" s="5"/>
      <x:c r="CX71" s="5" t="n">
        <x:v>2.24</x:v>
      </x:c>
      <x:c r="CY71" s="5" t="n">
        <x:v>6.93</x:v>
      </x:c>
      <x:c r="CZ71" s="5" t="n">
        <x:v>12.69</x:v>
      </x:c>
      <x:c r="DA71" s="5"/>
      <x:c r="DB71" s="5" t="n">
        <x:v>6.93</x:v>
      </x:c>
      <x:c r="DC71" s="5" t="n">
        <x:v>6.43</x:v>
      </x:c>
      <x:c r="DD71" s="5" t="n">
        <x:v>12.27</x:v>
      </x:c>
      <x:c r="DE71" s="5" t="n">
        <x:v>4.01</x:v>
      </x:c>
      <x:c r="DF71" s="5" t="n">
        <x:v>7.97</x:v>
      </x:c>
      <x:c r="DG71" s="5"/>
      <x:c r="DH71" s="5" t="n">
        <x:v>8.06</x:v>
      </x:c>
      <x:c r="DI71" s="5" t="n">
        <x:v>6.35</x:v>
      </x:c>
      <x:c r="DJ71" s="5" t="n">
        <x:v>6.61</x:v>
      </x:c>
      <x:c r="DK71" s="5"/>
      <x:c r="DL71" s="5" t="n">
        <x:v>6.94</x:v>
      </x:c>
      <x:c r="DM71" s="5"/>
    </x:row>
    <x:row r="72">
      <x:c r="A72" s="5" t="n">
        <x:v>67</x:v>
      </x:c>
      <x:c r="B72" s="5"/>
      <x:c r="C72" s="5" t="str">
        <x:v>108-39-4</x:v>
      </x:c>
      <x:c r="D72" s="5"/>
      <x:c r="E72" s="5"/>
      <x:c r="F72" s="5"/>
      <x:c r="G72" s="5" t="n">
        <x:v>3.12</x:v>
      </x:c>
      <x:c r="H72" s="5" t="n">
        <x:v>138.28</x:v>
      </x:c>
      <x:c r="I72" s="5"/>
      <x:c r="J72" s="5" t="n">
        <x:v>0.13</x:v>
      </x:c>
      <x:c r="K72" s="5" t="n">
        <x:v>0.08</x:v>
      </x:c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</x:row>
    <x:row r="73">
      <x:c r="A73" s="5" t="n">
        <x:v>68</x:v>
      </x:c>
      <x:c r="B73" s="5" t="str">
        <x:v>2,6-二甲基吡嗪</x:v>
      </x:c>
      <x:c r="C73" s="5" t="str">
        <x:v>108-50-9</x:v>
      </x:c>
      <x:c r="D73" s="5" t="n">
        <x:v>791</x:v>
      </x:c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 t="n">
        <x:v>469.245</x:v>
      </x:c>
      <x:c r="CA73" s="5" t="n">
        <x:v>517.2</x:v>
      </x:c>
      <x:c r="CB73" s="5"/>
      <x:c r="CC73" s="5"/>
      <x:c r="CD73" s="5" t="n">
        <x:v>917.02</x:v>
      </x:c>
      <x:c r="CE73" s="5" t="n">
        <x:v>1416.58</x:v>
      </x:c>
      <x:c r="CF73" s="5" t="n">
        <x:v>866.95</x:v>
      </x:c>
      <x:c r="CG73" s="5" t="n">
        <x:v>1086.32</x:v>
      </x:c>
      <x:c r="CH73" s="5" t="n">
        <x:v>1264.62</x:v>
      </x:c>
      <x:c r="CI73" s="5" t="n">
        <x:v>1819.97</x:v>
      </x:c>
      <x:c r="CJ73" s="5" t="n">
        <x:v>2387.5</x:v>
      </x:c>
      <x:c r="CK73" s="5" t="n">
        <x:v>1291.51</x:v>
      </x:c>
      <x:c r="CL73" s="5" t="n">
        <x:v>1699.63</x:v>
      </x:c>
      <x:c r="CM73" s="5" t="n">
        <x:v>950.4</x:v>
      </x:c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 t="n">
        <x:v>21.68</x:v>
      </x:c>
      <x:c r="CY73" s="5" t="n">
        <x:v>314.53</x:v>
      </x:c>
      <x:c r="CZ73" s="5" t="n">
        <x:v>233.46</x:v>
      </x:c>
      <x:c r="DA73" s="5" t="n">
        <x:v>22.53</x:v>
      </x:c>
      <x:c r="DB73" s="5" t="n">
        <x:v>71.11</x:v>
      </x:c>
      <x:c r="DC73" s="5" t="n">
        <x:v>28.16</x:v>
      </x:c>
      <x:c r="DD73" s="5" t="n">
        <x:v>183.01</x:v>
      </x:c>
      <x:c r="DE73" s="5" t="n">
        <x:v>28.81</x:v>
      </x:c>
      <x:c r="DF73" s="5" t="n">
        <x:v>786.65</x:v>
      </x:c>
      <x:c r="DG73" s="5" t="n">
        <x:v>57.98</x:v>
      </x:c>
      <x:c r="DH73" s="5" t="n">
        <x:v>693.79</x:v>
      </x:c>
      <x:c r="DI73" s="5" t="n">
        <x:v>38.04</x:v>
      </x:c>
      <x:c r="DJ73" s="5" t="n">
        <x:v>883.83</x:v>
      </x:c>
      <x:c r="DK73" s="5" t="n">
        <x:v>52.49</x:v>
      </x:c>
      <x:c r="DL73" s="5" t="n">
        <x:v>233.78</x:v>
      </x:c>
      <x:c r="DM73" s="5" t="n">
        <x:v>68.93</x:v>
      </x:c>
    </x:row>
    <x:row r="74">
      <x:c r="A74" s="5" t="n">
        <x:v>69</x:v>
      </x:c>
      <x:c r="B74" s="5" t="str">
        <x:v>异戊酸乙酯（3-甲基丁酸乙酯）</x:v>
      </x:c>
      <x:c r="C74" s="5" t="str">
        <x:v>108-64-5</x:v>
      </x:c>
      <x:c r="D74" s="5" t="n">
        <x:v>6.89</x:v>
      </x:c>
      <x:c r="E74" s="5" t="n">
        <x:v>2783</x:v>
      </x:c>
      <x:c r="F74" s="5" t="n">
        <x:v>1847</x:v>
      </x:c>
      <x:c r="G74" s="5" t="n">
        <x:v>5.98</x:v>
      </x:c>
      <x:c r="H74" s="5" t="n">
        <x:v>10.69</x:v>
      </x:c>
      <x:c r="I74" s="5" t="n">
        <x:v>3842.22</x:v>
      </x:c>
      <x:c r="J74" s="5" t="n">
        <x:v>23.36</x:v>
      </x:c>
      <x:c r="K74" s="5" t="n">
        <x:v>13.13</x:v>
      </x:c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 t="n">
        <x:v>780</x:v>
      </x:c>
      <x:c r="AI74" s="5" t="n">
        <x:v>1020</x:v>
      </x:c>
      <x:c r="AJ74" s="5" t="n">
        <x:v>1650</x:v>
      </x:c>
      <x:c r="AK74" s="5"/>
      <x:c r="AL74" s="5"/>
      <x:c r="AM74" s="5"/>
      <x:c r="AN74" s="5"/>
      <x:c r="AO74" s="5"/>
      <x:c r="AP74" s="5"/>
      <x:c r="AQ74" s="5" t="n">
        <x:v>8.72</x:v>
      </x:c>
      <x:c r="AR74" s="5" t="n">
        <x:v>3.13</x:v>
      </x:c>
      <x:c r="AS74" s="5" t="n">
        <x:v>4.1</x:v>
      </x:c>
      <x:c r="AT74" s="5" t="n">
        <x:v>5.73</x:v>
      </x:c>
      <x:c r="AU74" s="5"/>
      <x:c r="AV74" s="5"/>
      <x:c r="AW74" s="5"/>
      <x:c r="AX74" s="5"/>
      <x:c r="AY74" s="5"/>
      <x:c r="AZ74" s="5" t="n">
        <x:v>540</x:v>
      </x:c>
      <x:c r="BA74" s="5" t="n">
        <x:v>553</x:v>
      </x:c>
      <x:c r="BB74" s="5"/>
      <x:c r="BC74" s="5"/>
      <x:c r="BD74" s="5"/>
      <x:c r="BE74" s="5"/>
      <x:c r="BF74" s="5"/>
      <x:c r="BG74" s="5"/>
      <x:c r="BH74" s="5"/>
      <x:c r="BI74" s="5"/>
      <x:c r="BJ74" s="5"/>
      <x:c r="BK74" s="5"/>
      <x:c r="BL74" s="5"/>
      <x:c r="BM74" s="5"/>
      <x:c r="BN74" s="5"/>
      <x:c r="BO74" s="5"/>
      <x:c r="BP74" s="5"/>
      <x:c r="BQ74" s="5"/>
      <x:c r="BR74" s="5"/>
      <x:c r="BS74" s="5"/>
      <x:c r="BT74" s="5"/>
      <x:c r="BU74" s="5"/>
      <x:c r="BV74" s="5"/>
      <x:c r="BW74" s="5"/>
      <x:c r="BX74" s="5"/>
      <x:c r="BY74" s="5"/>
      <x:c r="BZ74" s="5" t="n">
        <x:v>151.1867</x:v>
      </x:c>
      <x:c r="CA74" s="5" t="n">
        <x:v>92.9867</x:v>
      </x:c>
      <x:c r="CB74" s="5" t="n">
        <x:v>9.99</x:v>
      </x:c>
      <x:c r="CC74" s="5" t="n">
        <x:v>6.13</x:v>
      </x:c>
      <x:c r="CD74" s="5" t="n">
        <x:v>7.94</x:v>
      </x:c>
      <x:c r="CE74" s="5" t="n">
        <x:v>3.37</x:v>
      </x:c>
      <x:c r="CF74" s="5" t="n">
        <x:v>1.48</x:v>
      </x:c>
      <x:c r="CG74" s="5" t="n">
        <x:v>2.2</x:v>
      </x:c>
      <x:c r="CH74" s="5" t="n">
        <x:v>1.19</x:v>
      </x:c>
      <x:c r="CI74" s="5" t="n">
        <x:v>3.06</x:v>
      </x:c>
      <x:c r="CJ74" s="5" t="n">
        <x:v>1.66</x:v>
      </x:c>
      <x:c r="CK74" s="5" t="n">
        <x:v>1.72</x:v>
      </x:c>
      <x:c r="CL74" s="5" t="n">
        <x:v>0.83</x:v>
      </x:c>
      <x:c r="CM74" s="5"/>
      <x:c r="CN74" s="5"/>
      <x:c r="CO74" s="5"/>
      <x:c r="CP74" s="5"/>
      <x:c r="CQ74" s="5"/>
      <x:c r="CR74" s="5"/>
      <x:c r="CS74" s="5"/>
      <x:c r="CT74" s="5"/>
      <x:c r="CU74" s="5"/>
      <x:c r="CV74" s="5"/>
      <x:c r="CW74" s="5"/>
      <x:c r="CX74" s="5" t="n">
        <x:v>5018.14</x:v>
      </x:c>
      <x:c r="CY74" s="5" t="n">
        <x:v>3096.3</x:v>
      </x:c>
      <x:c r="CZ74" s="5" t="n">
        <x:v>1795.31</x:v>
      </x:c>
      <x:c r="DA74" s="5" t="n">
        <x:v>5998.61</x:v>
      </x:c>
      <x:c r="DB74" s="5" t="n">
        <x:v>913.35</x:v>
      </x:c>
      <x:c r="DC74" s="5" t="n">
        <x:v>1628.04</x:v>
      </x:c>
      <x:c r="DD74" s="5" t="n">
        <x:v>2592.19</x:v>
      </x:c>
      <x:c r="DE74" s="5" t="n">
        <x:v>5839.25</x:v>
      </x:c>
      <x:c r="DF74" s="5" t="n">
        <x:v>6146.97</x:v>
      </x:c>
      <x:c r="DG74" s="5" t="n">
        <x:v>2287.57</x:v>
      </x:c>
      <x:c r="DH74" s="5" t="n">
        <x:v>7749.03</x:v>
      </x:c>
      <x:c r="DI74" s="5" t="n">
        <x:v>2573.61</x:v>
      </x:c>
      <x:c r="DJ74" s="5" t="n">
        <x:v>12022.2</x:v>
      </x:c>
      <x:c r="DK74" s="5" t="n">
        <x:v>2385.52</x:v>
      </x:c>
      <x:c r="DL74" s="5" t="n">
        <x:v>3404.72</x:v>
      </x:c>
      <x:c r="DM74" s="5" t="n">
        <x:v>2156.71</x:v>
      </x:c>
    </x:row>
    <x:row r="75">
      <x:c r="A75" s="5" t="n">
        <x:v>70</x:v>
      </x:c>
      <x:c r="B75" s="5" t="str">
        <x:v>2,6-二甲基-4-庚醇</x:v>
      </x:c>
      <x:c r="C75" s="5" t="str">
        <x:v>108-82-7</x:v>
      </x:c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 t="n">
        <x:v>5.78</x:v>
      </x:c>
      <x:c r="AR75" s="5" t="n">
        <x:v>20.01</x:v>
      </x:c>
      <x:c r="AS75" s="5" t="n">
        <x:v>13.88</x:v>
      </x:c>
      <x:c r="AT75" s="5" t="n">
        <x:v>15.56</x:v>
      </x:c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</x:row>
    <x:row r="76">
      <x:c r="A76" s="5" t="n">
        <x:v>71</x:v>
      </x:c>
      <x:c r="B76" s="5" t="str">
        <x:v>苯酚</x:v>
      </x:c>
      <x:c r="C76" s="5" t="str">
        <x:v>108-95-2</x:v>
      </x:c>
      <x:c r="D76" s="5" t="n">
        <x:v>40000</x:v>
      </x:c>
      <x:c r="E76" s="5"/>
      <x:c r="F76" s="5"/>
      <x:c r="G76" s="5"/>
      <x:c r="H76" s="5" t="n">
        <x:v>0.08</x:v>
      </x:c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 t="n">
        <x:v>2050</x:v>
      </x:c>
      <x:c r="X76" s="5" t="n">
        <x:v>4730</x:v>
      </x:c>
      <x:c r="Y76" s="5" t="n">
        <x:v>7540</x:v>
      </x:c>
      <x:c r="Z76" s="5" t="n">
        <x:v>11300</x:v>
      </x:c>
      <x:c r="AA76" s="5" t="n">
        <x:v>21000</x:v>
      </x:c>
      <x:c r="AB76" s="5" t="n">
        <x:v>29100</x:v>
      </x:c>
      <x:c r="AC76" s="5" t="n">
        <x:v>33500</x:v>
      </x:c>
      <x:c r="AD76" s="5" t="n">
        <x:v>29600</x:v>
      </x:c>
      <x:c r="AE76" s="5" t="n">
        <x:v>520</x:v>
      </x:c>
      <x:c r="AF76" s="5"/>
      <x:c r="AG76" s="5"/>
      <x:c r="AH76" s="5"/>
      <x:c r="AI76" s="5"/>
      <x:c r="AJ76" s="5"/>
      <x:c r="AK76" s="5"/>
      <x:c r="AL76" s="5"/>
      <x:c r="AM76" s="5"/>
      <x:c r="AN76" s="5"/>
      <x:c r="AO76" s="5"/>
      <x:c r="AP76" s="5"/>
      <x:c r="AQ76" s="5"/>
      <x:c r="AR76" s="5" t="n">
        <x:v>11.64</x:v>
      </x:c>
      <x:c r="AS76" s="5" t="n">
        <x:v>8.34</x:v>
      </x:c>
      <x:c r="AT76" s="5" t="n">
        <x:v>9.3</x:v>
      </x:c>
      <x:c r="AU76" s="5"/>
      <x:c r="AV76" s="5"/>
      <x:c r="AW76" s="5"/>
      <x:c r="AX76" s="5"/>
      <x:c r="AY76" s="5"/>
      <x:c r="AZ76" s="5"/>
      <x:c r="BA76" s="5" t="n">
        <x:v>34</x:v>
      </x:c>
      <x:c r="BB76" s="5"/>
      <x:c r="BC76" s="5"/>
      <x:c r="BD76" s="5" t="n">
        <x:v>442.21</x:v>
      </x:c>
      <x:c r="BE76" s="5" t="n">
        <x:v>1588.99</x:v>
      </x:c>
      <x:c r="BF76" s="5" t="n">
        <x:v>1178.12</x:v>
      </x:c>
      <x:c r="BG76" s="5" t="n">
        <x:v>351.32</x:v>
      </x:c>
      <x:c r="BH76" s="5"/>
      <x:c r="BI76" s="5" t="n">
        <x:v>383.1</x:v>
      </x:c>
      <x:c r="BJ76" s="5"/>
      <x:c r="BK76" s="5" t="n">
        <x:v>2367.93</x:v>
      </x:c>
      <x:c r="BL76" s="5" t="n">
        <x:v>4447.34</x:v>
      </x:c>
      <x:c r="BM76" s="5" t="n">
        <x:v>3191</x:v>
      </x:c>
      <x:c r="BN76" s="5" t="n">
        <x:v>2834.83</x:v>
      </x:c>
      <x:c r="BO76" s="5" t="n">
        <x:v>5132.43</x:v>
      </x:c>
      <x:c r="BP76" s="5"/>
      <x:c r="BQ76" s="5"/>
      <x:c r="BR76" s="5"/>
      <x:c r="BS76" s="5"/>
      <x:c r="BT76" s="5"/>
      <x:c r="BU76" s="5"/>
      <x:c r="BV76" s="5"/>
      <x:c r="BW76" s="5"/>
      <x:c r="BX76" s="5"/>
      <x:c r="BY76" s="5"/>
      <x:c r="BZ76" s="5" t="n">
        <x:v>142.005</x:v>
      </x:c>
      <x:c r="CA76" s="5" t="n">
        <x:v>141.52</x:v>
      </x:c>
      <x:c r="CB76" s="5" t="n">
        <x:v>166.85</x:v>
      </x:c>
      <x:c r="CC76" s="5" t="n">
        <x:v>354.19</x:v>
      </x:c>
      <x:c r="CD76" s="5" t="n">
        <x:v>581.75</x:v>
      </x:c>
      <x:c r="CE76" s="5" t="n">
        <x:v>341.53</x:v>
      </x:c>
      <x:c r="CF76" s="5" t="n">
        <x:v>443.97</x:v>
      </x:c>
      <x:c r="CG76" s="5" t="n">
        <x:v>237.02</x:v>
      </x:c>
      <x:c r="CH76" s="5" t="n">
        <x:v>335.81</x:v>
      </x:c>
      <x:c r="CI76" s="5" t="n">
        <x:v>1083.73</x:v>
      </x:c>
      <x:c r="CJ76" s="5" t="n">
        <x:v>2343.33</x:v>
      </x:c>
      <x:c r="CK76" s="5" t="n">
        <x:v>2491.42</x:v>
      </x:c>
      <x:c r="CL76" s="5" t="n">
        <x:v>531.7</x:v>
      </x:c>
      <x:c r="CM76" s="5" t="n">
        <x:v>702.21</x:v>
      </x:c>
      <x:c r="CN76" s="5"/>
      <x:c r="CO76" s="5"/>
      <x:c r="CP76" s="5"/>
      <x:c r="CQ76" s="5"/>
      <x:c r="CR76" s="5" t="n">
        <x:v>244.43</x:v>
      </x:c>
      <x:c r="CS76" s="5" t="n">
        <x:v>155.95</x:v>
      </x:c>
      <x:c r="CT76" s="5"/>
      <x:c r="CU76" s="5"/>
      <x:c r="CV76" s="5"/>
      <x:c r="CW76" s="5"/>
      <x:c r="CX76" s="5"/>
      <x:c r="CY76" s="5"/>
      <x:c r="CZ76" s="5"/>
      <x:c r="DA76" s="5"/>
      <x:c r="DB76" s="5"/>
      <x:c r="DC76" s="5"/>
      <x:c r="DD76" s="5"/>
      <x:c r="DE76" s="5"/>
      <x:c r="DF76" s="5"/>
      <x:c r="DG76" s="5"/>
      <x:c r="DH76" s="5"/>
      <x:c r="DI76" s="5"/>
      <x:c r="DJ76" s="5"/>
      <x:c r="DK76" s="5"/>
      <x:c r="DL76" s="5"/>
      <x:c r="DM76" s="5"/>
    </x:row>
    <x:row r="77">
      <x:c r="A77" s="5" t="n">
        <x:v>72</x:v>
      </x:c>
      <x:c r="B77" s="5" t="str">
        <x:v>2-甲基吡嗪</x:v>
      </x:c>
      <x:c r="C77" s="5" t="str">
        <x:v>109-08-0</x:v>
      </x:c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  <x:c r="BA77" s="5"/>
      <x:c r="BB77" s="5"/>
      <x:c r="BC77" s="5"/>
      <x:c r="BD77" s="5"/>
      <x:c r="BE77" s="5"/>
      <x:c r="BF77" s="5"/>
      <x:c r="BG77" s="5"/>
      <x:c r="BH77" s="5"/>
      <x:c r="BI77" s="5"/>
      <x:c r="BJ77" s="5"/>
      <x:c r="BK77" s="5"/>
      <x:c r="BL77" s="5"/>
      <x:c r="BM77" s="5"/>
      <x:c r="BN77" s="5"/>
      <x:c r="BO77" s="5"/>
      <x:c r="BP77" s="5"/>
      <x:c r="BQ77" s="5"/>
      <x:c r="BR77" s="5"/>
      <x:c r="BS77" s="5"/>
      <x:c r="BT77" s="5"/>
      <x:c r="BU77" s="5"/>
      <x:c r="BV77" s="5"/>
      <x:c r="BW77" s="5"/>
      <x:c r="BX77" s="5"/>
      <x:c r="BY77" s="5"/>
      <x:c r="BZ77" s="5"/>
      <x:c r="CA77" s="5"/>
      <x:c r="CB77" s="5"/>
      <x:c r="CC77" s="5"/>
      <x:c r="CD77" s="5"/>
      <x:c r="CE77" s="5"/>
      <x:c r="CF77" s="5"/>
      <x:c r="CG77" s="5"/>
      <x:c r="CH77" s="5"/>
      <x:c r="CI77" s="5"/>
      <x:c r="CJ77" s="5"/>
      <x:c r="CK77" s="5"/>
      <x:c r="CL77" s="5"/>
      <x:c r="CM77" s="5"/>
      <x:c r="CN77" s="5"/>
      <x:c r="CO77" s="5"/>
      <x:c r="CP77" s="5"/>
      <x:c r="CQ77" s="5"/>
      <x:c r="CR77" s="5"/>
      <x:c r="CS77" s="5"/>
      <x:c r="CT77" s="5"/>
      <x:c r="CU77" s="5"/>
      <x:c r="CV77" s="5"/>
      <x:c r="CW77" s="5"/>
      <x:c r="CX77" s="5" t="n">
        <x:v>409.77</x:v>
      </x:c>
      <x:c r="CY77" s="5" t="n">
        <x:v>967.9</x:v>
      </x:c>
      <x:c r="CZ77" s="5" t="n">
        <x:v>829.89</x:v>
      </x:c>
      <x:c r="DA77" s="5" t="n">
        <x:v>359.62</x:v>
      </x:c>
      <x:c r="DB77" s="5" t="n">
        <x:v>914.51</x:v>
      </x:c>
      <x:c r="DC77" s="5" t="n">
        <x:v>638.43</x:v>
      </x:c>
      <x:c r="DD77" s="5" t="n">
        <x:v>829.41</x:v>
      </x:c>
      <x:c r="DE77" s="5" t="n">
        <x:v>489.25</x:v>
      </x:c>
      <x:c r="DF77" s="5" t="n">
        <x:v>959.06</x:v>
      </x:c>
      <x:c r="DG77" s="5" t="n">
        <x:v>327.68</x:v>
      </x:c>
      <x:c r="DH77" s="5" t="n">
        <x:v>1067.55</x:v>
      </x:c>
      <x:c r="DI77" s="5" t="n">
        <x:v>518.56</x:v>
      </x:c>
      <x:c r="DJ77" s="5" t="n">
        <x:v>1020.46</x:v>
      </x:c>
      <x:c r="DK77" s="5" t="n">
        <x:v>470.34</x:v>
      </x:c>
      <x:c r="DL77" s="5" t="n">
        <x:v>1026.57</x:v>
      </x:c>
      <x:c r="DM77" s="5" t="n">
        <x:v>584.2</x:v>
      </x:c>
    </x:row>
    <x:row r="78">
      <x:c r="A78" s="5" t="n">
        <x:v>73</x:v>
      </x:c>
      <x:c r="B78" s="5"/>
      <x:c r="C78" s="5" t="str">
        <x:v>109-20-6</x:v>
      </x:c>
      <x:c r="D78" s="5"/>
      <x:c r="E78" s="5"/>
      <x:c r="F78" s="5"/>
      <x:c r="G78" s="5"/>
      <x:c r="H78" s="5"/>
      <x:c r="I78" s="5"/>
      <x:c r="J78" s="5"/>
      <x:c r="K78" s="5" t="n">
        <x:v>0.08</x:v>
      </x:c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5"/>
      <x:c r="AM78" s="5"/>
      <x:c r="AN78" s="5"/>
      <x:c r="AO78" s="5"/>
      <x:c r="AP78" s="5"/>
      <x:c r="AQ78" s="5"/>
      <x:c r="AR78" s="5"/>
      <x:c r="AS78" s="5"/>
      <x:c r="AT78" s="5"/>
      <x:c r="AU78" s="5"/>
      <x:c r="AV78" s="5"/>
      <x:c r="AW78" s="5"/>
      <x:c r="AX78" s="5"/>
      <x:c r="AY78" s="5"/>
      <x:c r="AZ78" s="5"/>
      <x:c r="BA78" s="5"/>
      <x:c r="BB78" s="5"/>
      <x:c r="BC78" s="5"/>
      <x:c r="BD78" s="5"/>
      <x:c r="BE78" s="5"/>
      <x:c r="BF78" s="5"/>
      <x:c r="BG78" s="5"/>
      <x:c r="BH78" s="5"/>
      <x:c r="BI78" s="5"/>
      <x:c r="BJ78" s="5"/>
      <x:c r="BK78" s="5"/>
      <x:c r="BL78" s="5"/>
      <x:c r="BM78" s="5"/>
      <x:c r="BN78" s="5"/>
      <x:c r="BO78" s="5"/>
      <x:c r="BP78" s="5"/>
      <x:c r="BQ78" s="5"/>
      <x:c r="BR78" s="5"/>
      <x:c r="BS78" s="5"/>
      <x:c r="BT78" s="5"/>
      <x:c r="BU78" s="5"/>
      <x:c r="BV78" s="5"/>
      <x:c r="BW78" s="5"/>
      <x:c r="BX78" s="5"/>
      <x:c r="BY78" s="5"/>
      <x:c r="BZ78" s="5"/>
      <x:c r="CA78" s="5"/>
      <x:c r="CB78" s="5"/>
      <x:c r="CC78" s="5"/>
      <x:c r="CD78" s="5"/>
      <x:c r="CE78" s="5"/>
      <x:c r="CF78" s="5"/>
      <x:c r="CG78" s="5"/>
      <x:c r="CH78" s="5"/>
      <x:c r="CI78" s="5"/>
      <x:c r="CJ78" s="5"/>
      <x:c r="CK78" s="5"/>
      <x:c r="CL78" s="5"/>
      <x:c r="CM78" s="5"/>
      <x:c r="CN78" s="5"/>
      <x:c r="CO78" s="5"/>
      <x:c r="CP78" s="5"/>
      <x:c r="CQ78" s="5"/>
      <x:c r="CR78" s="5"/>
      <x:c r="CS78" s="5"/>
      <x:c r="CT78" s="5"/>
      <x:c r="CU78" s="5"/>
      <x:c r="CV78" s="5"/>
      <x:c r="CW78" s="5"/>
      <x:c r="CX78" s="5"/>
      <x:c r="CY78" s="5"/>
      <x:c r="CZ78" s="5"/>
      <x:c r="DA78" s="5"/>
      <x:c r="DB78" s="5"/>
      <x:c r="DC78" s="5"/>
      <x:c r="DD78" s="5"/>
      <x:c r="DE78" s="5"/>
      <x:c r="DF78" s="5"/>
      <x:c r="DG78" s="5"/>
      <x:c r="DH78" s="5"/>
      <x:c r="DI78" s="5"/>
      <x:c r="DJ78" s="5"/>
      <x:c r="DK78" s="5"/>
      <x:c r="DL78" s="5"/>
      <x:c r="DM78" s="5"/>
    </x:row>
    <x:row r="79">
      <x:c r="A79" s="5" t="n">
        <x:v>74</x:v>
      </x:c>
      <x:c r="B79" s="5" t="str">
        <x:v>丁酸丁酯</x:v>
      </x:c>
      <x:c r="C79" s="5" t="str">
        <x:v>109-21-7</x:v>
      </x:c>
      <x:c r="D79" s="5" t="n">
        <x:v>1385.19</x:v>
      </x:c>
      <x:c r="E79" s="5"/>
      <x:c r="F79" s="5"/>
      <x:c r="G79" s="5" t="n">
        <x:v>3.79</x:v>
      </x:c>
      <x:c r="H79" s="5" t="n">
        <x:v>9.03</x:v>
      </x:c>
      <x:c r="I79" s="5" t="n">
        <x:v>2.35</x:v>
      </x:c>
      <x:c r="J79" s="5" t="n">
        <x:v>7.09</x:v>
      </x:c>
      <x:c r="K79" s="5" t="n">
        <x:v>0.95</x:v>
      </x:c>
      <x:c r="L79" s="5"/>
      <x:c r="M79" s="5"/>
      <x:c r="N79" s="5"/>
      <x:c r="O79" s="5"/>
      <x:c r="P79" s="5"/>
      <x:c r="Q79" s="5"/>
      <x:c r="R79" s="5"/>
      <x:c r="S79" s="5"/>
      <x:c r="T79" s="5" t="n">
        <x:v>0</x:v>
      </x:c>
      <x:c r="U79" s="5" t="n">
        <x:v>0</x:v>
      </x:c>
      <x:c r="V79" s="5"/>
      <x:c r="W79" s="5"/>
      <x:c r="X79" s="5"/>
      <x:c r="Y79" s="5"/>
      <x:c r="Z79" s="5"/>
      <x:c r="AA79" s="5"/>
      <x:c r="AB79" s="5"/>
      <x:c r="AC79" s="5"/>
      <x:c r="AD79" s="5"/>
      <x:c r="AE79" s="5" t="n">
        <x:v>23950</x:v>
      </x:c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 t="n">
        <x:v>340</x:v>
      </x:c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  <x:c r="BA79" s="5"/>
      <x:c r="BB79" s="5"/>
      <x:c r="BC79" s="5"/>
      <x:c r="BD79" s="5"/>
      <x:c r="BE79" s="5"/>
      <x:c r="BF79" s="5"/>
      <x:c r="BG79" s="5"/>
      <x:c r="BH79" s="5"/>
      <x:c r="BI79" s="5"/>
      <x:c r="BJ79" s="5"/>
      <x:c r="BK79" s="5"/>
      <x:c r="BL79" s="5"/>
      <x:c r="BM79" s="5"/>
      <x:c r="BN79" s="5"/>
      <x:c r="BO79" s="5"/>
      <x:c r="BP79" s="5"/>
      <x:c r="BQ79" s="5"/>
      <x:c r="BR79" s="5"/>
      <x:c r="BS79" s="5"/>
      <x:c r="BT79" s="5"/>
      <x:c r="BU79" s="5"/>
      <x:c r="BV79" s="5"/>
      <x:c r="BW79" s="5"/>
      <x:c r="BX79" s="5"/>
      <x:c r="BY79" s="5"/>
      <x:c r="BZ79" s="5"/>
      <x:c r="CA79" s="5"/>
      <x:c r="CB79" s="5"/>
      <x:c r="CC79" s="5"/>
      <x:c r="CD79" s="5"/>
      <x:c r="CE79" s="5"/>
      <x:c r="CF79" s="5"/>
      <x:c r="CG79" s="5"/>
      <x:c r="CH79" s="5"/>
      <x:c r="CI79" s="5"/>
      <x:c r="CJ79" s="5"/>
      <x:c r="CK79" s="5"/>
      <x:c r="CL79" s="5"/>
      <x:c r="CM79" s="5"/>
      <x:c r="CN79" s="5"/>
      <x:c r="CO79" s="5"/>
      <x:c r="CP79" s="5"/>
      <x:c r="CQ79" s="5"/>
      <x:c r="CR79" s="5"/>
      <x:c r="CS79" s="5"/>
      <x:c r="CT79" s="5"/>
      <x:c r="CU79" s="5"/>
      <x:c r="CV79" s="5"/>
      <x:c r="CW79" s="5"/>
      <x:c r="CX79" s="5"/>
      <x:c r="CY79" s="5"/>
      <x:c r="CZ79" s="5"/>
      <x:c r="DA79" s="5"/>
      <x:c r="DB79" s="5"/>
      <x:c r="DC79" s="5"/>
      <x:c r="DD79" s="5"/>
      <x:c r="DE79" s="5"/>
      <x:c r="DF79" s="5"/>
      <x:c r="DG79" s="5"/>
      <x:c r="DH79" s="5"/>
      <x:c r="DI79" s="5"/>
      <x:c r="DJ79" s="5"/>
      <x:c r="DK79" s="5"/>
      <x:c r="DL79" s="5"/>
      <x:c r="DM79" s="5"/>
    </x:row>
    <x:row r="80">
      <x:c r="A80" s="5" t="n">
        <x:v>75</x:v>
      </x:c>
      <x:c r="B80" s="5" t="str">
        <x:v>戊酸</x:v>
      </x:c>
      <x:c r="C80" s="5" t="str">
        <x:v>109-52-4</x:v>
      </x:c>
      <x:c r="D80" s="5" t="n">
        <x:v>389</x:v>
      </x:c>
      <x:c r="E80" s="5" t="n">
        <x:v>13732</x:v>
      </x:c>
      <x:c r="F80" s="5" t="n">
        <x:v>56841</x:v>
      </x:c>
      <x:c r="G80" s="5" t="n">
        <x:v>7.6</x:v>
      </x:c>
      <x:c r="H80" s="5" t="n">
        <x:v>124.88</x:v>
      </x:c>
      <x:c r="I80" s="5" t="n">
        <x:v>3</x:v>
      </x:c>
      <x:c r="J80" s="5" t="n">
        <x:v>8.1</x:v>
      </x:c>
      <x:c r="K80" s="5" t="n">
        <x:v>2.12</x:v>
      </x:c>
      <x:c r="L80" s="5" t="n">
        <x:v>49388</x:v>
      </x:c>
      <x:c r="M80" s="5" t="n">
        <x:v>57055</x:v>
      </x:c>
      <x:c r="N80" s="5" t="n">
        <x:v>1858</x:v>
      </x:c>
      <x:c r="O80" s="5" t="n">
        <x:v>2419</x:v>
      </x:c>
      <x:c r="P80" s="5" t="n">
        <x:v>2566</x:v>
      </x:c>
      <x:c r="Q80" s="5" t="n">
        <x:v>2831</x:v>
      </x:c>
      <x:c r="R80" s="5" t="n">
        <x:v>2417</x:v>
      </x:c>
      <x:c r="S80" s="5" t="n">
        <x:v>2380</x:v>
      </x:c>
      <x:c r="T80" s="5" t="n">
        <x:v>20</x:v>
      </x:c>
      <x:c r="U80" s="5" t="n">
        <x:v>36</x:v>
      </x:c>
      <x:c r="V80" s="5" t="n">
        <x:v>1.75</x:v>
      </x:c>
      <x:c r="W80" s="5" t="n">
        <x:v>2010</x:v>
      </x:c>
      <x:c r="X80" s="5" t="n">
        <x:v>1900</x:v>
      </x:c>
      <x:c r="Y80" s="5" t="n">
        <x:v>3380</x:v>
      </x:c>
      <x:c r="Z80" s="5" t="n">
        <x:v>5520</x:v>
      </x:c>
      <x:c r="AA80" s="5" t="n">
        <x:v>6730</x:v>
      </x:c>
      <x:c r="AB80" s="5" t="n">
        <x:v>13000</x:v>
      </x:c>
      <x:c r="AC80" s="5" t="n">
        <x:v>16500</x:v>
      </x:c>
      <x:c r="AD80" s="5" t="n">
        <x:v>18800</x:v>
      </x:c>
      <x:c r="AE80" s="5" t="n">
        <x:v>10670</x:v>
      </x:c>
      <x:c r="AF80" s="5" t="n">
        <x:v>8170</x:v>
      </x:c>
      <x:c r="AG80" s="5" t="n">
        <x:v>8420</x:v>
      </x:c>
      <x:c r="AH80" s="5"/>
      <x:c r="AI80" s="5"/>
      <x:c r="AJ80" s="5"/>
      <x:c r="AK80" s="5" t="n">
        <x:v>9160</x:v>
      </x:c>
      <x:c r="AL80" s="5" t="n">
        <x:v>12810</x:v>
      </x:c>
      <x:c r="AM80" s="5"/>
      <x:c r="AN80" s="5"/>
      <x:c r="AO80" s="5"/>
      <x:c r="AP80" s="5"/>
      <x:c r="AQ80" s="5" t="n">
        <x:v>22.91</x:v>
      </x:c>
      <x:c r="AR80" s="5" t="n">
        <x:v>22.01</x:v>
      </x:c>
      <x:c r="AS80" s="5" t="n">
        <x:v>28.25</x:v>
      </x:c>
      <x:c r="AT80" s="5" t="n">
        <x:v>30.54</x:v>
      </x:c>
      <x:c r="AU80" s="5" t="n">
        <x:v>301.76</x:v>
      </x:c>
      <x:c r="AV80" s="5" t="n">
        <x:v>4662</x:v>
      </x:c>
      <x:c r="AW80" s="5" t="n">
        <x:v>24</x:v>
      </x:c>
      <x:c r="AX80" s="5" t="n">
        <x:v>9073.5</x:v>
      </x:c>
      <x:c r="AY80" s="5" t="n">
        <x:v>0</x:v>
      </x:c>
      <x:c r="AZ80" s="5" t="n">
        <x:v>305</x:v>
      </x:c>
      <x:c r="BA80" s="5" t="n">
        <x:v>408</x:v>
      </x:c>
      <x:c r="BB80" s="5"/>
      <x:c r="BC80" s="5"/>
      <x:c r="BD80" s="5" t="n">
        <x:v>20.52</x:v>
      </x:c>
      <x:c r="BE80" s="5" t="n">
        <x:v>31.29</x:v>
      </x:c>
      <x:c r="BF80" s="5" t="n">
        <x:v>26.75</x:v>
      </x:c>
      <x:c r="BG80" s="5" t="n">
        <x:v>18.65</x:v>
      </x:c>
      <x:c r="BH80" s="5"/>
      <x:c r="BI80" s="5" t="n">
        <x:v>19.67</x:v>
      </x:c>
      <x:c r="BJ80" s="5"/>
      <x:c r="BK80" s="5" t="n">
        <x:v>30.82</x:v>
      </x:c>
      <x:c r="BL80" s="5" t="n">
        <x:v>25.52</x:v>
      </x:c>
      <x:c r="BM80" s="5" t="n">
        <x:v>29.13</x:v>
      </x:c>
      <x:c r="BN80" s="5" t="n">
        <x:v>18.56</x:v>
      </x:c>
      <x:c r="BO80" s="5" t="n">
        <x:v>27.73</x:v>
      </x:c>
      <x:c r="BP80" s="5"/>
      <x:c r="BQ80" s="5" t="n">
        <x:v>20900</x:v>
      </x:c>
      <x:c r="BR80" s="5" t="n">
        <x:v>62700</x:v>
      </x:c>
      <x:c r="BS80" s="5" t="n">
        <x:v>18600</x:v>
      </x:c>
      <x:c r="BT80" s="5" t="n">
        <x:v>18700</x:v>
      </x:c>
      <x:c r="BU80" s="5" t="n">
        <x:v>43400</x:v>
      </x:c>
      <x:c r="BV80" s="5" t="n">
        <x:v>8600</x:v>
      </x:c>
      <x:c r="BW80" s="5" t="n">
        <x:v>52800</x:v>
      </x:c>
      <x:c r="BX80" s="5" t="n">
        <x:v>28500</x:v>
      </x:c>
      <x:c r="BY80" s="5" t="n">
        <x:v>52700</x:v>
      </x:c>
      <x:c r="BZ80" s="5" t="n">
        <x:v>86.8</x:v>
      </x:c>
      <x:c r="CA80" s="5" t="n">
        <x:v>90.79</x:v>
      </x:c>
      <x:c r="CB80" s="5" t="n">
        <x:v>52.85</x:v>
      </x:c>
      <x:c r="CC80" s="5" t="n">
        <x:v>59.78</x:v>
      </x:c>
      <x:c r="CD80" s="5" t="n">
        <x:v>59.32</x:v>
      </x:c>
      <x:c r="CE80" s="5" t="n">
        <x:v>60.54</x:v>
      </x:c>
      <x:c r="CF80" s="5" t="n">
        <x:v>49.05</x:v>
      </x:c>
      <x:c r="CG80" s="5" t="n">
        <x:v>36.69</x:v>
      </x:c>
      <x:c r="CH80" s="5" t="n">
        <x:v>38.63</x:v>
      </x:c>
      <x:c r="CI80" s="5" t="n">
        <x:v>65.52</x:v>
      </x:c>
      <x:c r="CJ80" s="5" t="n">
        <x:v>68.83</x:v>
      </x:c>
      <x:c r="CK80" s="5" t="n">
        <x:v>67.96</x:v>
      </x:c>
      <x:c r="CL80" s="5" t="n">
        <x:v>77.57</x:v>
      </x:c>
      <x:c r="CM80" s="5" t="n">
        <x:v>50.57</x:v>
      </x:c>
      <x:c r="CN80" s="5"/>
      <x:c r="CO80" s="5"/>
      <x:c r="CP80" s="5"/>
      <x:c r="CQ80" s="5"/>
      <x:c r="CR80" s="5"/>
      <x:c r="CS80" s="5"/>
      <x:c r="CT80" s="5"/>
      <x:c r="CU80" s="5"/>
      <x:c r="CV80" s="5"/>
      <x:c r="CW80" s="5"/>
      <x:c r="CX80" s="5" t="n">
        <x:v>33944.38</x:v>
      </x:c>
      <x:c r="CY80" s="5" t="n">
        <x:v>24823.53</x:v>
      </x:c>
      <x:c r="CZ80" s="5" t="n">
        <x:v>23277.24</x:v>
      </x:c>
      <x:c r="DA80" s="5" t="n">
        <x:v>36241.48</x:v>
      </x:c>
      <x:c r="DB80" s="5" t="n">
        <x:v>18576.5</x:v>
      </x:c>
      <x:c r="DC80" s="5" t="n">
        <x:v>39842.94</x:v>
      </x:c>
      <x:c r="DD80" s="5" t="n">
        <x:v>23648.44</x:v>
      </x:c>
      <x:c r="DE80" s="5" t="n">
        <x:v>34922.02</x:v>
      </x:c>
      <x:c r="DF80" s="5" t="n">
        <x:v>26447.1</x:v>
      </x:c>
      <x:c r="DG80" s="5" t="n">
        <x:v>32264.9</x:v>
      </x:c>
      <x:c r="DH80" s="5" t="n">
        <x:v>29425.25</x:v>
      </x:c>
      <x:c r="DI80" s="5" t="n">
        <x:v>33063.25</x:v>
      </x:c>
      <x:c r="DJ80" s="5" t="n">
        <x:v>29405.25</x:v>
      </x:c>
      <x:c r="DK80" s="5" t="n">
        <x:v>28036.23</x:v>
      </x:c>
      <x:c r="DL80" s="5" t="n">
        <x:v>32652.23</x:v>
      </x:c>
      <x:c r="DM80" s="5" t="n">
        <x:v>21290.44</x:v>
      </x:c>
    </x:row>
    <x:row r="81">
      <x:c r="A81" s="5" t="n">
        <x:v>76</x:v>
      </x:c>
      <x:c r="B81" s="5" t="str">
        <x:v>乙酸丙酯</x:v>
      </x:c>
      <x:c r="C81" s="5" t="str">
        <x:v>109-60-4</x:v>
      </x:c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  <x:c r="AJ81" s="5"/>
      <x:c r="AK81" s="5"/>
      <x:c r="AL81" s="5"/>
      <x:c r="AM81" s="5"/>
      <x:c r="AN81" s="5"/>
      <x:c r="AO81" s="5"/>
      <x:c r="AP81" s="5"/>
      <x:c r="AQ81" s="5"/>
      <x:c r="AR81" s="5"/>
      <x:c r="AS81" s="5"/>
      <x:c r="AT81" s="5"/>
      <x:c r="AU81" s="5"/>
      <x:c r="AV81" s="5"/>
      <x:c r="AW81" s="5"/>
      <x:c r="AX81" s="5"/>
      <x:c r="AY81" s="5"/>
      <x:c r="AZ81" s="5" t="n">
        <x:v>274</x:v>
      </x:c>
      <x:c r="BA81" s="5" t="n">
        <x:v>928</x:v>
      </x:c>
      <x:c r="BB81" s="5"/>
      <x:c r="BC81" s="5"/>
      <x:c r="BD81" s="5"/>
      <x:c r="BE81" s="5"/>
      <x:c r="BF81" s="5"/>
      <x:c r="BG81" s="5"/>
      <x:c r="BH81" s="5"/>
      <x:c r="BI81" s="5"/>
      <x:c r="BJ81" s="5"/>
      <x:c r="BK81" s="5"/>
      <x:c r="BL81" s="5"/>
      <x:c r="BM81" s="5"/>
      <x:c r="BN81" s="5"/>
      <x:c r="BO81" s="5"/>
      <x:c r="BP81" s="5"/>
      <x:c r="BQ81" s="5"/>
      <x:c r="BR81" s="5"/>
      <x:c r="BS81" s="5"/>
      <x:c r="BT81" s="5"/>
      <x:c r="BU81" s="5"/>
      <x:c r="BV81" s="5"/>
      <x:c r="BW81" s="5"/>
      <x:c r="BX81" s="5"/>
      <x:c r="BY81" s="5"/>
      <x:c r="BZ81" s="5"/>
      <x:c r="CA81" s="5"/>
      <x:c r="CB81" s="5"/>
      <x:c r="CC81" s="5"/>
      <x:c r="CD81" s="5"/>
      <x:c r="CE81" s="5"/>
      <x:c r="CF81" s="5"/>
      <x:c r="CG81" s="5"/>
      <x:c r="CH81" s="5"/>
      <x:c r="CI81" s="5"/>
      <x:c r="CJ81" s="5"/>
      <x:c r="CK81" s="5"/>
      <x:c r="CL81" s="5"/>
      <x:c r="CM81" s="5"/>
      <x:c r="CN81" s="5"/>
      <x:c r="CO81" s="5"/>
      <x:c r="CP81" s="5"/>
      <x:c r="CQ81" s="5"/>
      <x:c r="CR81" s="5"/>
      <x:c r="CS81" s="5"/>
      <x:c r="CT81" s="5"/>
      <x:c r="CU81" s="5"/>
      <x:c r="CV81" s="5"/>
      <x:c r="CW81" s="5"/>
      <x:c r="CX81" s="5"/>
      <x:c r="CY81" s="5"/>
      <x:c r="CZ81" s="5"/>
      <x:c r="DA81" s="5"/>
      <x:c r="DB81" s="5"/>
      <x:c r="DC81" s="5"/>
      <x:c r="DD81" s="5"/>
      <x:c r="DE81" s="5"/>
      <x:c r="DF81" s="5"/>
      <x:c r="DG81" s="5"/>
      <x:c r="DH81" s="5"/>
      <x:c r="DI81" s="5"/>
      <x:c r="DJ81" s="5"/>
      <x:c r="DK81" s="5"/>
      <x:c r="DL81" s="5"/>
      <x:c r="DM81" s="5"/>
    </x:row>
    <x:row r="82">
      <x:c r="A82" s="5" t="n">
        <x:v>77</x:v>
      </x:c>
      <x:c r="B82" s="5" t="str">
        <x:v>甲酸乙酯</x:v>
      </x:c>
      <x:c r="C82" s="5" t="str">
        <x:v>109-94-4</x:v>
      </x:c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 t="n">
        <x:v>372</x:v>
      </x:c>
      <x:c r="O82" s="5" t="n">
        <x:v>172</x:v>
      </x:c>
      <x:c r="P82" s="5" t="n">
        <x:v>619</x:v>
      </x:c>
      <x:c r="Q82" s="5" t="n">
        <x:v>471</x:v>
      </x:c>
      <x:c r="R82" s="5" t="n">
        <x:v>507</x:v>
      </x:c>
      <x:c r="S82" s="5" t="n">
        <x:v>209</x:v>
      </x:c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 t="n">
        <x:v>8.49</x:v>
      </x:c>
      <x:c r="AR82" s="5" t="n">
        <x:v>2.76</x:v>
      </x:c>
      <x:c r="AS82" s="5" t="n">
        <x:v>6.57</x:v>
      </x:c>
      <x:c r="AT82" s="5" t="n">
        <x:v>6.1</x:v>
      </x:c>
      <x:c r="AU82" s="5" t="n">
        <x:v>14.56</x:v>
      </x:c>
      <x:c r="AV82" s="5"/>
      <x:c r="AW82" s="5"/>
      <x:c r="AX82" s="5"/>
      <x:c r="AY82" s="5"/>
      <x:c r="AZ82" s="5" t="n">
        <x:v>11</x:v>
      </x:c>
      <x:c r="BA82" s="5" t="n">
        <x:v>39</x:v>
      </x:c>
      <x:c r="BB82" s="5"/>
      <x:c r="BC82" s="5"/>
      <x:c r="BD82" s="5"/>
      <x:c r="BE82" s="5"/>
      <x:c r="BF82" s="5"/>
      <x:c r="BG82" s="5"/>
      <x:c r="BH82" s="5"/>
      <x:c r="BI82" s="5"/>
      <x:c r="BJ82" s="5"/>
      <x:c r="BK82" s="5"/>
      <x:c r="BL82" s="5"/>
      <x:c r="BM82" s="5"/>
      <x:c r="BN82" s="5"/>
      <x:c r="BO82" s="5"/>
      <x:c r="BP82" s="5"/>
      <x:c r="BQ82" s="5"/>
      <x:c r="BR82" s="5"/>
      <x:c r="BS82" s="5"/>
      <x:c r="BT82" s="5"/>
      <x:c r="BU82" s="5"/>
      <x:c r="BV82" s="5"/>
      <x:c r="BW82" s="5"/>
      <x:c r="BX82" s="5"/>
      <x:c r="BY82" s="5"/>
      <x:c r="BZ82" s="5"/>
      <x:c r="CA82" s="5"/>
      <x:c r="CB82" s="5"/>
      <x:c r="CC82" s="5"/>
      <x:c r="CD82" s="5"/>
      <x:c r="CE82" s="5"/>
      <x:c r="CF82" s="5"/>
      <x:c r="CG82" s="5"/>
      <x:c r="CH82" s="5"/>
      <x:c r="CI82" s="5"/>
      <x:c r="CJ82" s="5"/>
      <x:c r="CK82" s="5"/>
      <x:c r="CL82" s="5"/>
      <x:c r="CM82" s="5"/>
      <x:c r="CN82" s="5"/>
      <x:c r="CO82" s="5"/>
      <x:c r="CP82" s="5"/>
      <x:c r="CQ82" s="5"/>
      <x:c r="CR82" s="5"/>
      <x:c r="CS82" s="5"/>
      <x:c r="CT82" s="5"/>
      <x:c r="CU82" s="5"/>
      <x:c r="CV82" s="5"/>
      <x:c r="CW82" s="5"/>
      <x:c r="CX82" s="5"/>
      <x:c r="CY82" s="5"/>
      <x:c r="CZ82" s="5"/>
      <x:c r="DA82" s="5"/>
      <x:c r="DB82" s="5"/>
      <x:c r="DC82" s="5"/>
      <x:c r="DD82" s="5"/>
      <x:c r="DE82" s="5"/>
      <x:c r="DF82" s="5"/>
      <x:c r="DG82" s="5"/>
      <x:c r="DH82" s="5"/>
      <x:c r="DI82" s="5"/>
      <x:c r="DJ82" s="5"/>
      <x:c r="DK82" s="5"/>
      <x:c r="DL82" s="5"/>
      <x:c r="DM82" s="5"/>
    </x:row>
    <x:row r="83">
      <x:c r="A83" s="5" t="n">
        <x:v>78</x:v>
      </x:c>
      <x:c r="B83" s="5" t="str">
        <x:v>乙酸异丁酯</x:v>
      </x:c>
      <x:c r="C83" s="5" t="str">
        <x:v>110-19-0</x:v>
      </x:c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 t="n">
        <x:v>55190</x:v>
      </x:c>
      <x:c r="AL83" s="5" t="n">
        <x:v>78360</x:v>
      </x:c>
      <x:c r="AM83" s="5"/>
      <x:c r="AN83" s="5"/>
      <x:c r="AO83" s="5"/>
      <x:c r="AP83" s="5"/>
      <x:c r="AQ83" s="5" t="n">
        <x:v>6.29</x:v>
      </x:c>
      <x:c r="AR83" s="5"/>
      <x:c r="AS83" s="5"/>
      <x:c r="AT83" s="5"/>
      <x:c r="AU83" s="5"/>
      <x:c r="AV83" s="5"/>
      <x:c r="AW83" s="5"/>
      <x:c r="AX83" s="5"/>
      <x:c r="AY83" s="5"/>
      <x:c r="AZ83" s="5" t="n">
        <x:v>288</x:v>
      </x:c>
      <x:c r="BA83" s="5" t="n">
        <x:v>571</x:v>
      </x:c>
      <x:c r="BB83" s="5"/>
      <x:c r="BC83" s="5"/>
      <x:c r="BD83" s="5"/>
      <x:c r="BE83" s="5"/>
      <x:c r="BF83" s="5"/>
      <x:c r="BG83" s="5"/>
      <x:c r="BH83" s="5"/>
      <x:c r="BI83" s="5"/>
      <x:c r="BJ83" s="5"/>
      <x:c r="BK83" s="5"/>
      <x:c r="BL83" s="5"/>
      <x:c r="BM83" s="5"/>
      <x:c r="BN83" s="5"/>
      <x:c r="BO83" s="5"/>
      <x:c r="BP83" s="5"/>
      <x:c r="BQ83" s="5"/>
      <x:c r="BR83" s="5"/>
      <x:c r="BS83" s="5"/>
      <x:c r="BT83" s="5"/>
      <x:c r="BU83" s="5"/>
      <x:c r="BV83" s="5"/>
      <x:c r="BW83" s="5"/>
      <x:c r="BX83" s="5"/>
      <x:c r="BY83" s="5"/>
      <x:c r="BZ83" s="5"/>
      <x:c r="CA83" s="5"/>
      <x:c r="CB83" s="5"/>
      <x:c r="CC83" s="5"/>
      <x:c r="CD83" s="5"/>
      <x:c r="CE83" s="5"/>
      <x:c r="CF83" s="5"/>
      <x:c r="CG83" s="5"/>
      <x:c r="CH83" s="5"/>
      <x:c r="CI83" s="5"/>
      <x:c r="CJ83" s="5"/>
      <x:c r="CK83" s="5"/>
      <x:c r="CL83" s="5"/>
      <x:c r="CM83" s="5"/>
      <x:c r="CN83" s="5"/>
      <x:c r="CO83" s="5"/>
      <x:c r="CP83" s="5"/>
      <x:c r="CQ83" s="5"/>
      <x:c r="CR83" s="5"/>
      <x:c r="CS83" s="5"/>
      <x:c r="CT83" s="5"/>
      <x:c r="CU83" s="5"/>
      <x:c r="CV83" s="5"/>
      <x:c r="CW83" s="5"/>
      <x:c r="CX83" s="5" t="n">
        <x:v>284.4</x:v>
      </x:c>
      <x:c r="CY83" s="5" t="n">
        <x:v>2072.89</x:v>
      </x:c>
      <x:c r="CZ83" s="5" t="n">
        <x:v>1038.24</x:v>
      </x:c>
      <x:c r="DA83" s="5" t="n">
        <x:v>187.15</x:v>
      </x:c>
      <x:c r="DB83" s="5" t="n">
        <x:v>1889.57</x:v>
      </x:c>
      <x:c r="DC83" s="5" t="n">
        <x:v>250.5</x:v>
      </x:c>
      <x:c r="DD83" s="5" t="n">
        <x:v>1384.94</x:v>
      </x:c>
      <x:c r="DE83" s="5" t="n">
        <x:v>392.77</x:v>
      </x:c>
      <x:c r="DF83" s="5" t="n">
        <x:v>5019.1</x:v>
      </x:c>
      <x:c r="DG83" s="5" t="n">
        <x:v>857.63</x:v>
      </x:c>
      <x:c r="DH83" s="5" t="n">
        <x:v>1919.28</x:v>
      </x:c>
      <x:c r="DI83" s="5" t="n">
        <x:v>740.81</x:v>
      </x:c>
      <x:c r="DJ83" s="5" t="n">
        <x:v>3067.62</x:v>
      </x:c>
      <x:c r="DK83" s="5" t="n">
        <x:v>540.96</x:v>
      </x:c>
      <x:c r="DL83" s="5" t="n">
        <x:v>993.95</x:v>
      </x:c>
      <x:c r="DM83" s="5" t="n">
        <x:v>759.29</x:v>
      </x:c>
    </x:row>
    <x:row r="84">
      <x:c r="A84" s="5" t="n">
        <x:v>79</x:v>
      </x:c>
      <x:c r="B84" s="5" t="str">
        <x:v>癸酸乙酯</x:v>
      </x:c>
      <x:c r="C84" s="5" t="str">
        <x:v>110-38-3</x:v>
      </x:c>
      <x:c r="D84" s="5" t="n">
        <x:v>1120</x:v>
      </x:c>
      <x:c r="E84" s="5" t="n">
        <x:v>13</x:v>
      </x:c>
      <x:c r="F84" s="5" t="n">
        <x:v>839</x:v>
      </x:c>
      <x:c r="G84" s="5" t="n">
        <x:v>10.44</x:v>
      </x:c>
      <x:c r="H84" s="5" t="n">
        <x:v>14.36</x:v>
      </x:c>
      <x:c r="I84" s="5" t="n">
        <x:v>9.38</x:v>
      </x:c>
      <x:c r="J84" s="5" t="n">
        <x:v>19.31</x:v>
      </x:c>
      <x:c r="K84" s="5" t="n">
        <x:v>7.47</x:v>
      </x:c>
      <x:c r="L84" s="5"/>
      <x:c r="M84" s="5"/>
      <x:c r="N84" s="5" t="n">
        <x:v>56115</x:v>
      </x:c>
      <x:c r="O84" s="5" t="n">
        <x:v>47867</x:v>
      </x:c>
      <x:c r="P84" s="5" t="n">
        <x:v>44538</x:v>
      </x:c>
      <x:c r="Q84" s="5" t="n">
        <x:v>33791</x:v>
      </x:c>
      <x:c r="R84" s="5" t="n">
        <x:v>42831</x:v>
      </x:c>
      <x:c r="S84" s="5" t="n">
        <x:v>45291</x:v>
      </x:c>
      <x:c r="T84" s="5" t="n">
        <x:v>6</x:v>
      </x:c>
      <x:c r="U84" s="5" t="n">
        <x:v>0</x:v>
      </x:c>
      <x:c r="V84" s="5"/>
      <x:c r="W84" s="5" t="n">
        <x:v>22</x:v>
      </x:c>
      <x:c r="X84" s="5" t="n">
        <x:v>720</x:v>
      </x:c>
      <x:c r="Y84" s="5" t="n">
        <x:v>1200</x:v>
      </x:c>
      <x:c r="Z84" s="5" t="n">
        <x:v>1400</x:v>
      </x:c>
      <x:c r="AA84" s="5" t="n">
        <x:v>629</x:v>
      </x:c>
      <x:c r="AB84" s="5"/>
      <x:c r="AC84" s="5"/>
      <x:c r="AD84" s="5"/>
      <x:c r="AE84" s="5"/>
      <x:c r="AF84" s="5"/>
      <x:c r="AG84" s="5"/>
      <x:c r="AH84" s="5" t="n">
        <x:v>170</x:v>
      </x:c>
      <x:c r="AI84" s="5" t="n">
        <x:v>120</x:v>
      </x:c>
      <x:c r="AJ84" s="5" t="n">
        <x:v>200</x:v>
      </x:c>
      <x:c r="AK84" s="5" t="n">
        <x:v>3550</x:v>
      </x:c>
      <x:c r="AL84" s="5" t="n">
        <x:v>1830</x:v>
      </x:c>
      <x:c r="AM84" s="5" t="n">
        <x:v>10270</x:v>
      </x:c>
      <x:c r="AN84" s="5" t="n">
        <x:v>1770</x:v>
      </x:c>
      <x:c r="AO84" s="5" t="n">
        <x:v>2270</x:v>
      </x:c>
      <x:c r="AP84" s="5" t="n">
        <x:v>8410</x:v>
      </x:c>
      <x:c r="AQ84" s="5" t="n">
        <x:v>3.58</x:v>
      </x:c>
      <x:c r="AR84" s="5" t="n">
        <x:v>2.54</x:v>
      </x:c>
      <x:c r="AS84" s="5" t="n">
        <x:v>1.83</x:v>
      </x:c>
      <x:c r="AT84" s="5" t="n">
        <x:v>1.75</x:v>
      </x:c>
      <x:c r="AU84" s="5" t="n">
        <x:v>6.7</x:v>
      </x:c>
      <x:c r="AV84" s="5"/>
      <x:c r="AW84" s="5"/>
      <x:c r="AX84" s="5"/>
      <x:c r="AY84" s="5"/>
      <x:c r="AZ84" s="5"/>
      <x:c r="BA84" s="5"/>
      <x:c r="BB84" s="5" t="n">
        <x:v>1213.98</x:v>
      </x:c>
      <x:c r="BC84" s="5" t="n">
        <x:v>2</x:v>
      </x:c>
      <x:c r="BD84" s="5" t="n">
        <x:v>528.34</x:v>
      </x:c>
      <x:c r="BE84" s="5" t="n">
        <x:v>846.46</x:v>
      </x:c>
      <x:c r="BF84" s="5" t="n">
        <x:v>737.565</x:v>
      </x:c>
      <x:c r="BG84" s="5" t="n">
        <x:v>329.62</x:v>
      </x:c>
      <x:c r="BH84" s="5" t="n">
        <x:v>3587</x:v>
      </x:c>
      <x:c r="BI84" s="5" t="n">
        <x:v>288.21</x:v>
      </x:c>
      <x:c r="BJ84" s="5" t="n">
        <x:v>950.81</x:v>
      </x:c>
      <x:c r="BK84" s="5" t="n">
        <x:v>3197</x:v>
      </x:c>
      <x:c r="BL84" s="5" t="n">
        <x:v>3174</x:v>
      </x:c>
      <x:c r="BM84" s="5" t="n">
        <x:v>3584</x:v>
      </x:c>
      <x:c r="BN84" s="5" t="n">
        <x:v>2487</x:v>
      </x:c>
      <x:c r="BO84" s="5" t="n">
        <x:v>4750.12</x:v>
      </x:c>
      <x:c r="BP84" s="5" t="n">
        <x:v>1258</x:v>
      </x:c>
      <x:c r="BQ84" s="5"/>
      <x:c r="BR84" s="5"/>
      <x:c r="BS84" s="5"/>
      <x:c r="BT84" s="5"/>
      <x:c r="BU84" s="5"/>
      <x:c r="BV84" s="5"/>
      <x:c r="BW84" s="5"/>
      <x:c r="BX84" s="5"/>
      <x:c r="BY84" s="5"/>
      <x:c r="BZ84" s="5" t="n">
        <x:v>1288.255</x:v>
      </x:c>
      <x:c r="CA84" s="5" t="n">
        <x:v>1209.15</x:v>
      </x:c>
      <x:c r="CB84" s="5" t="n">
        <x:v>1742.03</x:v>
      </x:c>
      <x:c r="CC84" s="5" t="n">
        <x:v>2045.9</x:v>
      </x:c>
      <x:c r="CD84" s="5" t="n">
        <x:v>3220.45</x:v>
      </x:c>
      <x:c r="CE84" s="5" t="n">
        <x:v>1767.93</x:v>
      </x:c>
      <x:c r="CF84" s="5" t="n">
        <x:v>2451.99</x:v>
      </x:c>
      <x:c r="CG84" s="5" t="n">
        <x:v>1056.35</x:v>
      </x:c>
      <x:c r="CH84" s="5" t="n">
        <x:v>826.02</x:v>
      </x:c>
      <x:c r="CI84" s="5" t="n">
        <x:v>4272.18</x:v>
      </x:c>
      <x:c r="CJ84" s="5" t="n">
        <x:v>2800.07</x:v>
      </x:c>
      <x:c r="CK84" s="5" t="n">
        <x:v>4040.5</x:v>
      </x:c>
      <x:c r="CL84" s="5" t="n">
        <x:v>2607.96</x:v>
      </x:c>
      <x:c r="CM84" s="5" t="n">
        <x:v>2508.26</x:v>
      </x:c>
      <x:c r="CN84" s="5" t="n">
        <x:v>1685</x:v>
      </x:c>
      <x:c r="CO84" s="5" t="n">
        <x:v>1640</x:v>
      </x:c>
      <x:c r="CP84" s="5" t="n">
        <x:v>1043</x:v>
      </x:c>
      <x:c r="CQ84" s="5" t="n">
        <x:v>1472</x:v>
      </x:c>
      <x:c r="CR84" s="5" t="n">
        <x:v>995.32</x:v>
      </x:c>
      <x:c r="CS84" s="5" t="n">
        <x:v>3556.22</x:v>
      </x:c>
      <x:c r="CT84" s="5" t="n">
        <x:v>274.32</x:v>
      </x:c>
      <x:c r="CU84" s="5" t="n">
        <x:v>205.21</x:v>
      </x:c>
      <x:c r="CV84" s="5" t="n">
        <x:v>310.46</x:v>
      </x:c>
      <x:c r="CW84" s="5" t="n">
        <x:v>238.29</x:v>
      </x:c>
      <x:c r="CX84" s="5" t="n">
        <x:v>1470.77</x:v>
      </x:c>
      <x:c r="CY84" s="5" t="n">
        <x:v>1083.74</x:v>
      </x:c>
      <x:c r="CZ84" s="5" t="n">
        <x:v>678.28</x:v>
      </x:c>
      <x:c r="DA84" s="5" t="n">
        <x:v>3069.57</x:v>
      </x:c>
      <x:c r="DB84" s="5" t="n">
        <x:v>591.57</x:v>
      </x:c>
      <x:c r="DC84" s="5" t="n">
        <x:v>5121.45</x:v>
      </x:c>
      <x:c r="DD84" s="5" t="n">
        <x:v>6788.87</x:v>
      </x:c>
      <x:c r="DE84" s="5" t="n">
        <x:v>4219.75</x:v>
      </x:c>
      <x:c r="DF84" s="5" t="n">
        <x:v>3601.52</x:v>
      </x:c>
      <x:c r="DG84" s="5" t="n">
        <x:v>6257.95</x:v>
      </x:c>
      <x:c r="DH84" s="5" t="n">
        <x:v>2035.68</x:v>
      </x:c>
      <x:c r="DI84" s="5" t="n">
        <x:v>1142.51</x:v>
      </x:c>
      <x:c r="DJ84" s="5" t="n">
        <x:v>1852.44</x:v>
      </x:c>
      <x:c r="DK84" s="5" t="n">
        <x:v>3326.87</x:v>
      </x:c>
      <x:c r="DL84" s="5" t="n">
        <x:v>2105.87</x:v>
      </x:c>
      <x:c r="DM84" s="5" t="n">
        <x:v>906.75</x:v>
      </x:c>
    </x:row>
    <x:row r="85">
      <x:c r="A85" s="5" t="n">
        <x:v>80</x:v>
      </x:c>
      <x:c r="B85" s="5"/>
      <x:c r="C85" s="5" t="str">
        <x:v>110-39-4</x:v>
      </x:c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 t="n">
        <x:v>373</x:v>
      </x:c>
      <x:c r="O85" s="5" t="n">
        <x:v>458</x:v>
      </x:c>
      <x:c r="P85" s="5" t="n">
        <x:v>457</x:v>
      </x:c>
      <x:c r="Q85" s="5" t="n">
        <x:v>357</x:v>
      </x:c>
      <x:c r="R85" s="5" t="n">
        <x:v>373</x:v>
      </x:c>
      <x:c r="S85" s="5" t="n">
        <x:v>367</x:v>
      </x:c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  <x:c r="BA85" s="5"/>
      <x:c r="BB85" s="5"/>
      <x:c r="BC85" s="5"/>
      <x:c r="BD85" s="5"/>
      <x:c r="BE85" s="5"/>
      <x:c r="BF85" s="5"/>
      <x:c r="BG85" s="5"/>
      <x:c r="BH85" s="5"/>
      <x:c r="BI85" s="5"/>
      <x:c r="BJ85" s="5"/>
      <x:c r="BK85" s="5"/>
      <x:c r="BL85" s="5"/>
      <x:c r="BM85" s="5"/>
      <x:c r="BN85" s="5"/>
      <x:c r="BO85" s="5"/>
      <x:c r="BP85" s="5"/>
      <x:c r="BQ85" s="5"/>
      <x:c r="BR85" s="5"/>
      <x:c r="BS85" s="5"/>
      <x:c r="BT85" s="5"/>
      <x:c r="BU85" s="5"/>
      <x:c r="BV85" s="5"/>
      <x:c r="BW85" s="5"/>
      <x:c r="BX85" s="5"/>
      <x:c r="BY85" s="5"/>
      <x:c r="BZ85" s="5"/>
      <x:c r="CA85" s="5"/>
      <x:c r="CB85" s="5"/>
      <x:c r="CC85" s="5"/>
      <x:c r="CD85" s="5"/>
      <x:c r="CE85" s="5"/>
      <x:c r="CF85" s="5"/>
      <x:c r="CG85" s="5"/>
      <x:c r="CH85" s="5"/>
      <x:c r="CI85" s="5"/>
      <x:c r="CJ85" s="5"/>
      <x:c r="CK85" s="5"/>
      <x:c r="CL85" s="5"/>
      <x:c r="CM85" s="5"/>
      <x:c r="CN85" s="5"/>
      <x:c r="CO85" s="5"/>
      <x:c r="CP85" s="5"/>
      <x:c r="CQ85" s="5"/>
      <x:c r="CR85" s="5"/>
      <x:c r="CS85" s="5"/>
      <x:c r="CT85" s="5"/>
      <x:c r="CU85" s="5"/>
      <x:c r="CV85" s="5"/>
      <x:c r="CW85" s="5"/>
      <x:c r="CX85" s="5"/>
      <x:c r="CY85" s="5"/>
      <x:c r="CZ85" s="5"/>
      <x:c r="DA85" s="5"/>
      <x:c r="DB85" s="5"/>
      <x:c r="DC85" s="5"/>
      <x:c r="DD85" s="5"/>
      <x:c r="DE85" s="5"/>
      <x:c r="DF85" s="5"/>
      <x:c r="DG85" s="5"/>
      <x:c r="DH85" s="5"/>
      <x:c r="DI85" s="5"/>
      <x:c r="DJ85" s="5"/>
      <x:c r="DK85" s="5"/>
      <x:c r="DL85" s="5"/>
      <x:c r="DM85" s="5"/>
    </x:row>
    <x:row r="86">
      <x:c r="A86" s="5" t="n">
        <x:v>81</x:v>
      </x:c>
      <x:c r="B86" s="5" t="str">
        <x:v>2-庚酮</x:v>
      </x:c>
      <x:c r="C86" s="5" t="str">
        <x:v>110-43-0</x:v>
      </x:c>
      <x:c r="D86" s="5"/>
      <x:c r="E86" s="5"/>
      <x:c r="F86" s="5"/>
      <x:c r="G86" s="5"/>
      <x:c r="H86" s="5"/>
      <x:c r="I86" s="5" t="n">
        <x:v>0.5</x:v>
      </x:c>
      <x:c r="J86" s="5"/>
      <x:c r="K86" s="5" t="n">
        <x:v>0.13</x:v>
      </x:c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 t="n">
        <x:v>386</x:v>
      </x:c>
      <x:c r="BA86" s="5" t="n">
        <x:v>577</x:v>
      </x:c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</x:row>
    <x:row r="87">
      <x:c r="A87" s="5" t="n">
        <x:v>82</x:v>
      </x:c>
      <x:c r="B87" s="5" t="str">
        <x:v>戊醛</x:v>
      </x:c>
      <x:c r="C87" s="5" t="str">
        <x:v>110-62-3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  <x:c r="BA87" s="5"/>
      <x:c r="BB87" s="5"/>
      <x:c r="BC87" s="5"/>
      <x:c r="BD87" s="5"/>
      <x:c r="BE87" s="5"/>
      <x:c r="BF87" s="5"/>
      <x:c r="BG87" s="5"/>
      <x:c r="BH87" s="5"/>
      <x:c r="BI87" s="5"/>
      <x:c r="BJ87" s="5"/>
      <x:c r="BK87" s="5"/>
      <x:c r="BL87" s="5"/>
      <x:c r="BM87" s="5"/>
      <x:c r="BN87" s="5"/>
      <x:c r="BO87" s="5"/>
      <x:c r="BP87" s="5"/>
      <x:c r="BQ87" s="5"/>
      <x:c r="BR87" s="5"/>
      <x:c r="BS87" s="5"/>
      <x:c r="BT87" s="5"/>
      <x:c r="BU87" s="5"/>
      <x:c r="BV87" s="5"/>
      <x:c r="BW87" s="5"/>
      <x:c r="BX87" s="5"/>
      <x:c r="BY87" s="5"/>
      <x:c r="BZ87" s="5"/>
      <x:c r="CA87" s="5"/>
      <x:c r="CB87" s="5"/>
      <x:c r="CC87" s="5"/>
      <x:c r="CD87" s="5"/>
      <x:c r="CE87" s="5"/>
      <x:c r="CF87" s="5"/>
      <x:c r="CG87" s="5"/>
      <x:c r="CH87" s="5"/>
      <x:c r="CI87" s="5"/>
      <x:c r="CJ87" s="5"/>
      <x:c r="CK87" s="5"/>
      <x:c r="CL87" s="5"/>
      <x:c r="CM87" s="5"/>
      <x:c r="CN87" s="5"/>
      <x:c r="CO87" s="5"/>
      <x:c r="CP87" s="5"/>
      <x:c r="CQ87" s="5"/>
      <x:c r="CR87" s="5"/>
      <x:c r="CS87" s="5"/>
      <x:c r="CT87" s="5"/>
      <x:c r="CU87" s="5"/>
      <x:c r="CV87" s="5"/>
      <x:c r="CW87" s="5"/>
      <x:c r="CX87" s="5" t="n">
        <x:v>1.46</x:v>
      </x:c>
      <x:c r="CY87" s="5" t="n">
        <x:v>44.24</x:v>
      </x:c>
      <x:c r="CZ87" s="5" t="n">
        <x:v>40.88</x:v>
      </x:c>
      <x:c r="DA87" s="5"/>
      <x:c r="DB87" s="5" t="n">
        <x:v>81.62</x:v>
      </x:c>
      <x:c r="DC87" s="5"/>
      <x:c r="DD87" s="5" t="n">
        <x:v>42.58</x:v>
      </x:c>
      <x:c r="DE87" s="5" t="n">
        <x:v>5.65</x:v>
      </x:c>
      <x:c r="DF87" s="5" t="n">
        <x:v>439.61</x:v>
      </x:c>
      <x:c r="DG87" s="5" t="n">
        <x:v>7.96</x:v>
      </x:c>
      <x:c r="DH87" s="5" t="n">
        <x:v>256.97</x:v>
      </x:c>
      <x:c r="DI87" s="5" t="n">
        <x:v>13.06</x:v>
      </x:c>
      <x:c r="DJ87" s="5" t="n">
        <x:v>504.91</x:v>
      </x:c>
      <x:c r="DK87" s="5" t="n">
        <x:v>7.58</x:v>
      </x:c>
      <x:c r="DL87" s="5" t="n">
        <x:v>261.78</x:v>
      </x:c>
      <x:c r="DM87" s="5" t="n">
        <x:v>12.01</x:v>
      </x:c>
    </x:row>
    <x:row r="88">
      <x:c r="A88" s="5" t="n">
        <x:v>83</x:v>
      </x:c>
      <x:c r="B88" s="5" t="str">
        <x:v>2-辛酮</x:v>
      </x:c>
      <x:c r="C88" s="5" t="str">
        <x:v>111-13-7</x:v>
      </x:c>
      <x:c r="D88" s="5" t="n">
        <x:v>250</x:v>
      </x:c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 t="n">
        <x:v>303.95</x:v>
      </x:c>
      <x:c r="CA88" s="5" t="n">
        <x:v>297.55</x:v>
      </x:c>
      <x:c r="CB88" s="5" t="n">
        <x:v>649.61</x:v>
      </x:c>
      <x:c r="CC88" s="5" t="n">
        <x:v>680.09</x:v>
      </x:c>
      <x:c r="CD88" s="5" t="n">
        <x:v>680.87</x:v>
      </x:c>
      <x:c r="CE88" s="5" t="n">
        <x:v>725.89</x:v>
      </x:c>
      <x:c r="CF88" s="5" t="n">
        <x:v>708.29</x:v>
      </x:c>
      <x:c r="CG88" s="5" t="n">
        <x:v>621.7</x:v>
      </x:c>
      <x:c r="CH88" s="5" t="n">
        <x:v>572.09</x:v>
      </x:c>
      <x:c r="CI88" s="5" t="n">
        <x:v>758.45</x:v>
      </x:c>
      <x:c r="CJ88" s="5" t="n">
        <x:v>696.25</x:v>
      </x:c>
      <x:c r="CK88" s="5" t="n">
        <x:v>656.44</x:v>
      </x:c>
      <x:c r="CL88" s="5" t="n">
        <x:v>678.33</x:v>
      </x:c>
      <x:c r="CM88" s="5"/>
      <x:c r="CN88" s="5"/>
      <x:c r="CO88" s="5"/>
      <x:c r="CP88" s="5"/>
      <x:c r="CQ88" s="5"/>
      <x:c r="CR88" s="5" t="n">
        <x:v>571.95</x:v>
      </x:c>
      <x:c r="CS88" s="5" t="n">
        <x:v>1017.03</x:v>
      </x:c>
      <x:c r="CT88" s="5"/>
      <x:c r="CU88" s="5"/>
      <x:c r="CV88" s="5"/>
      <x:c r="CW88" s="5"/>
      <x:c r="CX88" s="5" t="n">
        <x:v>3.76</x:v>
      </x:c>
      <x:c r="CY88" s="5" t="n">
        <x:v>26.85</x:v>
      </x:c>
      <x:c r="CZ88" s="5" t="n">
        <x:v>15.06</x:v>
      </x:c>
      <x:c r="DA88" s="5" t="n">
        <x:v>4.52</x:v>
      </x:c>
      <x:c r="DB88" s="5"/>
      <x:c r="DC88" s="5"/>
      <x:c r="DD88" s="5" t="n">
        <x:v>58.85</x:v>
      </x:c>
      <x:c r="DE88" s="5" t="n">
        <x:v>5.35</x:v>
      </x:c>
      <x:c r="DF88" s="5" t="n">
        <x:v>12.39</x:v>
      </x:c>
      <x:c r="DG88" s="5"/>
      <x:c r="DH88" s="5" t="n">
        <x:v>27.64</x:v>
      </x:c>
      <x:c r="DI88" s="5"/>
      <x:c r="DJ88" s="5" t="n">
        <x:v>13.79</x:v>
      </x:c>
      <x:c r="DK88" s="5"/>
      <x:c r="DL88" s="5" t="n">
        <x:v>27.72</x:v>
      </x:c>
      <x:c r="DM88" s="5" t="n">
        <x:v>2.25</x:v>
      </x:c>
    </x:row>
    <x:row r="89">
      <x:c r="A89" s="5" t="n">
        <x:v>84</x:v>
      </x:c>
      <x:c r="B89" s="5" t="str">
        <x:v>庚酸</x:v>
      </x:c>
      <x:c r="C89" s="5" t="str">
        <x:v>111-14-8</x:v>
      </x:c>
      <x:c r="D89" s="5"/>
      <x:c r="E89" s="5" t="n">
        <x:v>5382</x:v>
      </x:c>
      <x:c r="F89" s="5" t="n">
        <x:v>23926</x:v>
      </x:c>
      <x:c r="G89" s="5"/>
      <x:c r="H89" s="5" t="n">
        <x:v>53.31</x:v>
      </x:c>
      <x:c r="I89" s="5" t="n">
        <x:v>6.1</x:v>
      </x:c>
      <x:c r="J89" s="5" t="n">
        <x:v>4.67</x:v>
      </x:c>
      <x:c r="K89" s="5" t="n">
        <x:v>3.09</x:v>
      </x:c>
      <x:c r="L89" s="5"/>
      <x:c r="M89" s="5"/>
      <x:c r="N89" s="5"/>
      <x:c r="O89" s="5"/>
      <x:c r="P89" s="5"/>
      <x:c r="Q89" s="5"/>
      <x:c r="R89" s="5"/>
      <x:c r="S89" s="5"/>
      <x:c r="T89" s="5" t="n">
        <x:v>1</x:v>
      </x:c>
      <x:c r="U89" s="5" t="n">
        <x:v>0</x:v>
      </x:c>
      <x:c r="V89" s="5" t="n">
        <x:v>2.25</x:v>
      </x:c>
      <x:c r="W89" s="5"/>
      <x:c r="X89" s="5" t="n">
        <x:v>502</x:v>
      </x:c>
      <x:c r="Y89" s="5" t="n">
        <x:v>327</x:v>
      </x:c>
      <x:c r="Z89" s="5" t="n">
        <x:v>1130</x:v>
      </x:c>
      <x:c r="AA89" s="5" t="n">
        <x:v>2460</x:v>
      </x:c>
      <x:c r="AB89" s="5" t="n">
        <x:v>3040</x:v>
      </x:c>
      <x:c r="AC89" s="5" t="n">
        <x:v>6000</x:v>
      </x:c>
      <x:c r="AD89" s="5" t="n">
        <x:v>5570</x:v>
      </x:c>
      <x:c r="AE89" s="5" t="n">
        <x:v>4010</x:v>
      </x:c>
      <x:c r="AF89" s="5" t="n">
        <x:v>680</x:v>
      </x:c>
      <x:c r="AG89" s="5" t="n">
        <x:v>1115</x:v>
      </x:c>
      <x:c r="AH89" s="5"/>
      <x:c r="AI89" s="5"/>
      <x:c r="AJ89" s="5"/>
      <x:c r="AK89" s="5" t="n">
        <x:v>1340</x:v>
      </x:c>
      <x:c r="AL89" s="5" t="n">
        <x:v>1100</x:v>
      </x:c>
      <x:c r="AM89" s="5"/>
      <x:c r="AN89" s="5"/>
      <x:c r="AO89" s="5"/>
      <x:c r="AP89" s="5"/>
      <x:c r="AQ89" s="5" t="n">
        <x:v>10.63</x:v>
      </x:c>
      <x:c r="AR89" s="5" t="n">
        <x:v>12.82</x:v>
      </x:c>
      <x:c r="AS89" s="5" t="n">
        <x:v>16.09</x:v>
      </x:c>
      <x:c r="AT89" s="5" t="n">
        <x:v>14.09</x:v>
      </x:c>
      <x:c r="AU89" s="5" t="n">
        <x:v>677.87</x:v>
      </x:c>
      <x:c r="AV89" s="5" t="n">
        <x:v>4200.5</x:v>
      </x:c>
      <x:c r="AW89" s="5" t="n">
        <x:v>1</x:v>
      </x:c>
      <x:c r="AX89" s="5" t="n">
        <x:v>8150.5</x:v>
      </x:c>
      <x:c r="AY89" s="5" t="n">
        <x:v>0</x:v>
      </x:c>
      <x:c r="AZ89" s="5"/>
      <x:c r="BA89" s="5" t="n">
        <x:v>496</x:v>
      </x:c>
      <x:c r="BB89" s="5"/>
      <x:c r="BC89" s="5"/>
      <x:c r="BD89" s="5" t="n">
        <x:v>7.17</x:v>
      </x:c>
      <x:c r="BE89" s="5" t="n">
        <x:v>12.96</x:v>
      </x:c>
      <x:c r="BF89" s="5" t="n">
        <x:v>9.13</x:v>
      </x:c>
      <x:c r="BG89" s="5" t="n">
        <x:v>6.61</x:v>
      </x:c>
      <x:c r="BH89" s="5"/>
      <x:c r="BI89" s="5" t="n">
        <x:v>6.64</x:v>
      </x:c>
      <x:c r="BJ89" s="5"/>
      <x:c r="BK89" s="5" t="n">
        <x:v>12.31</x:v>
      </x:c>
      <x:c r="BL89" s="5" t="n">
        <x:v>7.18</x:v>
      </x:c>
      <x:c r="BM89" s="5" t="n">
        <x:v>8.85</x:v>
      </x:c>
      <x:c r="BN89" s="5" t="n">
        <x:v>5.56</x:v>
      </x:c>
      <x:c r="BO89" s="5" t="n">
        <x:v>12.06</x:v>
      </x:c>
      <x:c r="BP89" s="5"/>
      <x:c r="BQ89" s="5" t="n">
        <x:v>8500</x:v>
      </x:c>
      <x:c r="BR89" s="5" t="n">
        <x:v>17400</x:v>
      </x:c>
      <x:c r="BS89" s="5" t="n">
        <x:v>6100</x:v>
      </x:c>
      <x:c r="BT89" s="5" t="n">
        <x:v>6200</x:v>
      </x:c>
      <x:c r="BU89" s="5" t="n">
        <x:v>11600</x:v>
      </x:c>
      <x:c r="BV89" s="5" t="n">
        <x:v>9300</x:v>
      </x:c>
      <x:c r="BW89" s="5" t="n">
        <x:v>15400</x:v>
      </x:c>
      <x:c r="BX89" s="5" t="n">
        <x:v>8000</x:v>
      </x:c>
      <x:c r="BY89" s="5" t="n">
        <x:v>16000</x:v>
      </x:c>
      <x:c r="BZ89" s="5" t="n">
        <x:v>7.49</x:v>
      </x:c>
      <x:c r="CA89" s="5" t="n">
        <x:v>7.57</x:v>
      </x:c>
      <x:c r="CB89" s="5" t="n">
        <x:v>17.73</x:v>
      </x:c>
      <x:c r="CC89" s="5" t="n">
        <x:v>20.38</x:v>
      </x:c>
      <x:c r="CD89" s="5" t="n">
        <x:v>22.37</x:v>
      </x:c>
      <x:c r="CE89" s="5" t="n">
        <x:v>24.71</x:v>
      </x:c>
      <x:c r="CF89" s="5" t="n">
        <x:v>19.96</x:v>
      </x:c>
      <x:c r="CG89" s="5" t="n">
        <x:v>11.03</x:v>
      </x:c>
      <x:c r="CH89" s="5" t="n">
        <x:v>11.55</x:v>
      </x:c>
      <x:c r="CI89" s="5" t="n">
        <x:v>21.92</x:v>
      </x:c>
      <x:c r="CJ89" s="5" t="n">
        <x:v>24.94</x:v>
      </x:c>
      <x:c r="CK89" s="5" t="n">
        <x:v>28.2</x:v>
      </x:c>
      <x:c r="CL89" s="5" t="n">
        <x:v>31.08</x:v>
      </x:c>
      <x:c r="CM89" s="5" t="n">
        <x:v>21.04</x:v>
      </x:c>
      <x:c r="CN89" s="5"/>
      <x:c r="CO89" s="5"/>
      <x:c r="CP89" s="5"/>
      <x:c r="CQ89" s="5"/>
      <x:c r="CR89" s="5"/>
      <x:c r="CS89" s="5"/>
      <x:c r="CT89" s="5"/>
      <x:c r="CU89" s="5"/>
      <x:c r="CV89" s="5"/>
      <x:c r="CW89" s="5"/>
      <x:c r="CX89" s="5" t="n">
        <x:v>30151.43</x:v>
      </x:c>
      <x:c r="CY89" s="5" t="n">
        <x:v>9685.02</x:v>
      </x:c>
      <x:c r="CZ89" s="5" t="n">
        <x:v>13095.33</x:v>
      </x:c>
      <x:c r="DA89" s="5" t="n">
        <x:v>27002.27</x:v>
      </x:c>
      <x:c r="DB89" s="5" t="n">
        <x:v>5494.86</x:v>
      </x:c>
      <x:c r="DC89" s="5" t="n">
        <x:v>28082.37</x:v>
      </x:c>
      <x:c r="DD89" s="5" t="n">
        <x:v>13439.12</x:v>
      </x:c>
      <x:c r="DE89" s="5" t="n">
        <x:v>39284.8</x:v>
      </x:c>
      <x:c r="DF89" s="5" t="n">
        <x:v>10627.89</x:v>
      </x:c>
      <x:c r="DG89" s="5" t="n">
        <x:v>22961.16</x:v>
      </x:c>
      <x:c r="DH89" s="5" t="n">
        <x:v>10973.54</x:v>
      </x:c>
      <x:c r="DI89" s="5" t="n">
        <x:v>19656.92</x:v>
      </x:c>
      <x:c r="DJ89" s="5" t="n">
        <x:v>13755.47</x:v>
      </x:c>
      <x:c r="DK89" s="5" t="n">
        <x:v>23047.09</x:v>
      </x:c>
      <x:c r="DL89" s="5" t="n">
        <x:v>13800.35</x:v>
      </x:c>
      <x:c r="DM89" s="5" t="n">
        <x:v>4591.36</x:v>
      </x:c>
    </x:row>
    <x:row r="90">
      <x:c r="A90" s="5" t="n">
        <x:v>85</x:v>
      </x:c>
      <x:c r="B90" s="5" t="str">
        <x:v>1-己醇</x:v>
      </x:c>
      <x:c r="C90" s="5" t="str">
        <x:v>111-27-3</x:v>
      </x:c>
      <x:c r="D90" s="5" t="n">
        <x:v>5370</x:v>
      </x:c>
      <x:c r="E90" s="5" t="n">
        <x:v>30025</x:v>
      </x:c>
      <x:c r="F90" s="5" t="n">
        <x:v>97718</x:v>
      </x:c>
      <x:c r="G90" s="5" t="n">
        <x:v>213.01</x:v>
      </x:c>
      <x:c r="H90" s="5" t="n">
        <x:v>45.58</x:v>
      </x:c>
      <x:c r="I90" s="5" t="n">
        <x:v>37.5</x:v>
      </x:c>
      <x:c r="J90" s="5" t="n">
        <x:v>245.76</x:v>
      </x:c>
      <x:c r="K90" s="5" t="n">
        <x:v>21.15</x:v>
      </x:c>
      <x:c r="L90" s="5" t="n">
        <x:v>20155</x:v>
      </x:c>
      <x:c r="M90" s="5" t="n">
        <x:v>15678</x:v>
      </x:c>
      <x:c r="N90" s="5"/>
      <x:c r="O90" s="5"/>
      <x:c r="P90" s="5"/>
      <x:c r="Q90" s="5"/>
      <x:c r="R90" s="5"/>
      <x:c r="S90" s="5"/>
      <x:c r="T90" s="5" t="n">
        <x:v>0</x:v>
      </x:c>
      <x:c r="U90" s="5" t="n">
        <x:v>5</x:v>
      </x:c>
      <x:c r="V90" s="5"/>
      <x:c r="W90" s="5" t="n">
        <x:v>1159000</x:v>
      </x:c>
      <x:c r="X90" s="5" t="n">
        <x:v>869000</x:v>
      </x:c>
      <x:c r="Y90" s="5" t="n">
        <x:v>1151000</x:v>
      </x:c>
      <x:c r="Z90" s="5" t="n">
        <x:v>1519000</x:v>
      </x:c>
      <x:c r="AA90" s="5" t="n">
        <x:v>1543000</x:v>
      </x:c>
      <x:c r="AB90" s="5" t="n">
        <x:v>1869000</x:v>
      </x:c>
      <x:c r="AC90" s="5" t="n">
        <x:v>1655000</x:v>
      </x:c>
      <x:c r="AD90" s="5" t="n">
        <x:v>1585000</x:v>
      </x:c>
      <x:c r="AE90" s="5" t="n">
        <x:v>208580</x:v>
      </x:c>
      <x:c r="AF90" s="5" t="n">
        <x:v>196640</x:v>
      </x:c>
      <x:c r="AG90" s="5" t="n">
        <x:v>94585</x:v>
      </x:c>
      <x:c r="AH90" s="5" t="n">
        <x:v>3950</x:v>
      </x:c>
      <x:c r="AI90" s="5" t="n">
        <x:v>3900</x:v>
      </x:c>
      <x:c r="AJ90" s="5" t="n">
        <x:v>4950</x:v>
      </x:c>
      <x:c r="AK90" s="5" t="n">
        <x:v>120100</x:v>
      </x:c>
      <x:c r="AL90" s="5" t="n">
        <x:v>185670</x:v>
      </x:c>
      <x:c r="AM90" s="5"/>
      <x:c r="AN90" s="5"/>
      <x:c r="AO90" s="5"/>
      <x:c r="AP90" s="5"/>
      <x:c r="AQ90" s="5" t="n">
        <x:v>213.39</x:v>
      </x:c>
      <x:c r="AR90" s="5" t="n">
        <x:v>191.87</x:v>
      </x:c>
      <x:c r="AS90" s="5" t="n">
        <x:v>154.5</x:v>
      </x:c>
      <x:c r="AT90" s="5" t="n">
        <x:v>129.69</x:v>
      </x:c>
      <x:c r="AU90" s="5" t="n">
        <x:v>8.91</x:v>
      </x:c>
      <x:c r="AV90" s="5" t="n">
        <x:v>0</x:v>
      </x:c>
      <x:c r="AW90" s="5" t="n">
        <x:v>17</x:v>
      </x:c>
      <x:c r="AX90" s="5" t="n">
        <x:v>18803.5</x:v>
      </x:c>
      <x:c r="AY90" s="5" t="n">
        <x:v>0</x:v>
      </x:c>
      <x:c r="AZ90" s="5"/>
      <x:c r="BA90" s="5"/>
      <x:c r="BB90" s="5" t="n">
        <x:v>22.78</x:v>
      </x:c>
      <x:c r="BC90" s="5"/>
      <x:c r="BD90" s="5" t="n">
        <x:v>19.06</x:v>
      </x:c>
      <x:c r="BE90" s="5" t="n">
        <x:v>26.18</x:v>
      </x:c>
      <x:c r="BF90" s="5" t="n">
        <x:v>30.79</x:v>
      </x:c>
      <x:c r="BG90" s="5" t="n">
        <x:v>17.41</x:v>
      </x:c>
      <x:c r="BH90" s="5" t="n">
        <x:v>42.71</x:v>
      </x:c>
      <x:c r="BI90" s="5" t="n">
        <x:v>19.3</x:v>
      </x:c>
      <x:c r="BJ90" s="5" t="n">
        <x:v>23.55</x:v>
      </x:c>
      <x:c r="BK90" s="5" t="n">
        <x:v>44.48</x:v>
      </x:c>
      <x:c r="BL90" s="5" t="n">
        <x:v>74.69</x:v>
      </x:c>
      <x:c r="BM90" s="5" t="n">
        <x:v>79.34</x:v>
      </x:c>
      <x:c r="BN90" s="5" t="n">
        <x:v>62.07</x:v>
      </x:c>
      <x:c r="BO90" s="5" t="n">
        <x:v>102.81</x:v>
      </x:c>
      <x:c r="BP90" s="5" t="n">
        <x:v>39.94</x:v>
      </x:c>
      <x:c r="BQ90" s="5" t="n">
        <x:v>29200</x:v>
      </x:c>
      <x:c r="BR90" s="5" t="n">
        <x:v>198800</x:v>
      </x:c>
      <x:c r="BS90" s="5" t="n">
        <x:v>311200</x:v>
      </x:c>
      <x:c r="BT90" s="5" t="n">
        <x:v>221100</x:v>
      </x:c>
      <x:c r="BU90" s="5" t="n">
        <x:v>220000</x:v>
      </x:c>
      <x:c r="BV90" s="5" t="n">
        <x:v>46000</x:v>
      </x:c>
      <x:c r="BW90" s="5" t="n">
        <x:v>40400</x:v>
      </x:c>
      <x:c r="BX90" s="5" t="n">
        <x:v>57300</x:v>
      </x:c>
      <x:c r="BY90" s="5" t="n">
        <x:v>39300</x:v>
      </x:c>
      <x:c r="BZ90" s="5" t="n">
        <x:v>15.75</x:v>
      </x:c>
      <x:c r="CA90" s="5" t="n">
        <x:v>16.505</x:v>
      </x:c>
      <x:c r="CB90" s="5" t="n">
        <x:v>92.01</x:v>
      </x:c>
      <x:c r="CC90" s="5" t="n">
        <x:v>32.08</x:v>
      </x:c>
      <x:c r="CD90" s="5" t="n">
        <x:v>182.99</x:v>
      </x:c>
      <x:c r="CE90" s="5" t="n">
        <x:v>47.37</x:v>
      </x:c>
      <x:c r="CF90" s="5" t="n">
        <x:v>34.28</x:v>
      </x:c>
      <x:c r="CG90" s="5" t="n">
        <x:v>7.33</x:v>
      </x:c>
      <x:c r="CH90" s="5" t="n">
        <x:v>5.43</x:v>
      </x:c>
      <x:c r="CI90" s="5" t="n">
        <x:v>40.89</x:v>
      </x:c>
      <x:c r="CJ90" s="5" t="n">
        <x:v>233.18</x:v>
      </x:c>
      <x:c r="CK90" s="5" t="n">
        <x:v>63.74</x:v>
      </x:c>
      <x:c r="CL90" s="5" t="n">
        <x:v>36.76</x:v>
      </x:c>
      <x:c r="CM90" s="5" t="n">
        <x:v>60.03</x:v>
      </x:c>
      <x:c r="CN90" s="5"/>
      <x:c r="CO90" s="5"/>
      <x:c r="CP90" s="5"/>
      <x:c r="CQ90" s="5"/>
      <x:c r="CR90" s="5" t="n">
        <x:v>39250.11</x:v>
      </x:c>
      <x:c r="CS90" s="5" t="n">
        <x:v>35960.6</x:v>
      </x:c>
      <x:c r="CT90" s="5" t="n">
        <x:v>1554.5</x:v>
      </x:c>
      <x:c r="CU90" s="5" t="n">
        <x:v>881.09</x:v>
      </x:c>
      <x:c r="CV90" s="5" t="n">
        <x:v>2010.19</x:v>
      </x:c>
      <x:c r="CW90" s="5" t="n">
        <x:v>1306.97</x:v>
      </x:c>
      <x:c r="CX90" s="5" t="n">
        <x:v>50904.61</x:v>
      </x:c>
      <x:c r="CY90" s="5" t="n">
        <x:v>53309.48</x:v>
      </x:c>
      <x:c r="CZ90" s="5" t="n">
        <x:v>51424.04</x:v>
      </x:c>
      <x:c r="DA90" s="5" t="n">
        <x:v>49033.45</x:v>
      </x:c>
      <x:c r="DB90" s="5" t="n">
        <x:v>53351.55</x:v>
      </x:c>
      <x:c r="DC90" s="5" t="n">
        <x:v>44204.19</x:v>
      </x:c>
      <x:c r="DD90" s="5" t="n">
        <x:v>21437.41</x:v>
      </x:c>
      <x:c r="DE90" s="5" t="n">
        <x:v>50815.67</x:v>
      </x:c>
      <x:c r="DF90" s="5" t="n">
        <x:v>95044.82</x:v>
      </x:c>
      <x:c r="DG90" s="5" t="n">
        <x:v>55703.02</x:v>
      </x:c>
      <x:c r="DH90" s="5" t="n">
        <x:v>92342.42</x:v>
      </x:c>
      <x:c r="DI90" s="5" t="n">
        <x:v>52462.56</x:v>
      </x:c>
      <x:c r="DJ90" s="5" t="n">
        <x:v>97036.68</x:v>
      </x:c>
      <x:c r="DK90" s="5" t="n">
        <x:v>52267.16</x:v>
      </x:c>
      <x:c r="DL90" s="5" t="n">
        <x:v>92085.29</x:v>
      </x:c>
      <x:c r="DM90" s="5" t="n">
        <x:v>56041.85</x:v>
      </x:c>
    </x:row>
    <x:row r="91">
      <x:c r="A91" s="5" t="n">
        <x:v>86</x:v>
      </x:c>
      <x:c r="B91" s="5" t="str">
        <x:v>硬脂酸乙酯</x:v>
      </x:c>
      <x:c r="C91" s="5" t="str">
        <x:v>111-61-5</x:v>
      </x:c>
      <x:c r="D91" s="5"/>
      <x:c r="E91" s="5"/>
      <x:c r="F91" s="5"/>
      <x:c r="G91" s="5" t="n">
        <x:v>1.26</x:v>
      </x:c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 t="n">
        <x:v>0.4</x:v>
      </x:c>
      <x:c r="AJ91" s="5" t="n">
        <x:v>5</x:v>
      </x:c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  <x:c r="BA91" s="5"/>
      <x:c r="BB91" s="5"/>
      <x:c r="BC91" s="5"/>
      <x:c r="BD91" s="5"/>
      <x:c r="BE91" s="5"/>
      <x:c r="BF91" s="5"/>
      <x:c r="BG91" s="5"/>
      <x:c r="BH91" s="5"/>
      <x:c r="BI91" s="5"/>
      <x:c r="BJ91" s="5"/>
      <x:c r="BK91" s="5"/>
      <x:c r="BL91" s="5"/>
      <x:c r="BM91" s="5"/>
      <x:c r="BN91" s="5"/>
      <x:c r="BO91" s="5"/>
      <x:c r="BP91" s="5"/>
      <x:c r="BQ91" s="5"/>
      <x:c r="BR91" s="5"/>
      <x:c r="BS91" s="5"/>
      <x:c r="BT91" s="5"/>
      <x:c r="BU91" s="5"/>
      <x:c r="BV91" s="5"/>
      <x:c r="BW91" s="5"/>
      <x:c r="BX91" s="5"/>
      <x:c r="BY91" s="5"/>
      <x:c r="BZ91" s="5"/>
      <x:c r="CA91" s="5"/>
      <x:c r="CB91" s="5"/>
      <x:c r="CC91" s="5"/>
      <x:c r="CD91" s="5"/>
      <x:c r="CE91" s="5"/>
      <x:c r="CF91" s="5"/>
      <x:c r="CG91" s="5"/>
      <x:c r="CH91" s="5"/>
      <x:c r="CI91" s="5"/>
      <x:c r="CJ91" s="5"/>
      <x:c r="CK91" s="5"/>
      <x:c r="CL91" s="5"/>
      <x:c r="CM91" s="5"/>
      <x:c r="CN91" s="5"/>
      <x:c r="CO91" s="5"/>
      <x:c r="CP91" s="5"/>
      <x:c r="CQ91" s="5"/>
      <x:c r="CR91" s="5"/>
      <x:c r="CS91" s="5"/>
      <x:c r="CT91" s="5"/>
      <x:c r="CU91" s="5"/>
      <x:c r="CV91" s="5"/>
      <x:c r="CW91" s="5"/>
      <x:c r="CX91" s="5"/>
      <x:c r="CY91" s="5"/>
      <x:c r="CZ91" s="5"/>
      <x:c r="DA91" s="5"/>
      <x:c r="DB91" s="5"/>
      <x:c r="DC91" s="5"/>
      <x:c r="DD91" s="5"/>
      <x:c r="DE91" s="5"/>
      <x:c r="DF91" s="5"/>
      <x:c r="DG91" s="5"/>
      <x:c r="DH91" s="5"/>
      <x:c r="DI91" s="5"/>
      <x:c r="DJ91" s="5"/>
      <x:c r="DK91" s="5"/>
      <x:c r="DL91" s="5"/>
      <x:c r="DM91" s="5"/>
    </x:row>
    <x:row r="92">
      <x:c r="A92" s="5" t="n">
        <x:v>87</x:v>
      </x:c>
      <x:c r="B92" s="5" t="str">
        <x:v>油酸乙酯</x:v>
      </x:c>
      <x:c r="C92" s="5" t="str">
        <x:v>111-62-6</x:v>
      </x:c>
      <x:c r="D92" s="5"/>
      <x:c r="E92" s="5"/>
      <x:c r="F92" s="5"/>
      <x:c r="G92" s="5" t="n">
        <x:v>7.22</x:v>
      </x:c>
      <x:c r="H92" s="5" t="n">
        <x:v>26.62</x:v>
      </x:c>
      <x:c r="I92" s="5" t="n">
        <x:v>5.99</x:v>
      </x:c>
      <x:c r="J92" s="5" t="n">
        <x:v>5.52</x:v>
      </x:c>
      <x:c r="K92" s="5" t="n">
        <x:v>1.77</x:v>
      </x:c>
      <x:c r="L92" s="5"/>
      <x:c r="M92" s="5"/>
      <x:c r="N92" s="5" t="n">
        <x:v>28083</x:v>
      </x:c>
      <x:c r="O92" s="5" t="n">
        <x:v>13586</x:v>
      </x:c>
      <x:c r="P92" s="5" t="n">
        <x:v>14314</x:v>
      </x:c>
      <x:c r="Q92" s="5" t="n">
        <x:v>13952</x:v>
      </x:c>
      <x:c r="R92" s="5" t="n">
        <x:v>15010</x:v>
      </x:c>
      <x:c r="S92" s="5" t="n">
        <x:v>14786</x:v>
      </x:c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  <x:c r="BA92" s="5"/>
      <x:c r="BB92" s="5"/>
      <x:c r="BC92" s="5"/>
      <x:c r="BD92" s="5"/>
      <x:c r="BE92" s="5"/>
      <x:c r="BF92" s="5"/>
      <x:c r="BG92" s="5"/>
      <x:c r="BH92" s="5"/>
      <x:c r="BI92" s="5"/>
      <x:c r="BJ92" s="5"/>
      <x:c r="BK92" s="5"/>
      <x:c r="BL92" s="5"/>
      <x:c r="BM92" s="5"/>
      <x:c r="BN92" s="5"/>
      <x:c r="BO92" s="5"/>
      <x:c r="BP92" s="5"/>
      <x:c r="BQ92" s="5"/>
      <x:c r="BR92" s="5"/>
      <x:c r="BS92" s="5"/>
      <x:c r="BT92" s="5"/>
      <x:c r="BU92" s="5"/>
      <x:c r="BV92" s="5"/>
      <x:c r="BW92" s="5"/>
      <x:c r="BX92" s="5"/>
      <x:c r="BY92" s="5"/>
      <x:c r="BZ92" s="5"/>
      <x:c r="CA92" s="5"/>
      <x:c r="CB92" s="5"/>
      <x:c r="CC92" s="5"/>
      <x:c r="CD92" s="5"/>
      <x:c r="CE92" s="5"/>
      <x:c r="CF92" s="5"/>
      <x:c r="CG92" s="5"/>
      <x:c r="CH92" s="5"/>
      <x:c r="CI92" s="5"/>
      <x:c r="CJ92" s="5"/>
      <x:c r="CK92" s="5"/>
      <x:c r="CL92" s="5"/>
      <x:c r="CM92" s="5"/>
      <x:c r="CN92" s="5"/>
      <x:c r="CO92" s="5"/>
      <x:c r="CP92" s="5"/>
      <x:c r="CQ92" s="5"/>
      <x:c r="CR92" s="5"/>
      <x:c r="CS92" s="5"/>
      <x:c r="CT92" s="5"/>
      <x:c r="CU92" s="5"/>
      <x:c r="CV92" s="5"/>
      <x:c r="CW92" s="5"/>
      <x:c r="CX92" s="5"/>
      <x:c r="CY92" s="5"/>
      <x:c r="CZ92" s="5"/>
      <x:c r="DA92" s="5"/>
      <x:c r="DB92" s="5"/>
      <x:c r="DC92" s="5"/>
      <x:c r="DD92" s="5"/>
      <x:c r="DE92" s="5"/>
      <x:c r="DF92" s="5"/>
      <x:c r="DG92" s="5"/>
      <x:c r="DH92" s="5"/>
      <x:c r="DI92" s="5"/>
      <x:c r="DJ92" s="5"/>
      <x:c r="DK92" s="5"/>
      <x:c r="DL92" s="5"/>
      <x:c r="DM92" s="5"/>
    </x:row>
    <x:row r="93">
      <x:c r="A93" s="5" t="n">
        <x:v>88</x:v>
      </x:c>
      <x:c r="B93" s="5" t="str">
        <x:v>庚醇</x:v>
      </x:c>
      <x:c r="C93" s="5" t="str">
        <x:v>111-70-6</x:v>
      </x:c>
      <x:c r="D93" s="5" t="n">
        <x:v>26600</x:v>
      </x:c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 t="n">
        <x:v>6790</x:v>
      </x:c>
      <x:c r="AF93" s="5" t="n">
        <x:v>6810</x:v>
      </x:c>
      <x:c r="AG93" s="5"/>
      <x:c r="AH93" s="5"/>
      <x:c r="AI93" s="5"/>
      <x:c r="AJ93" s="5"/>
      <x:c r="AK93" s="5" t="n">
        <x:v>23210</x:v>
      </x:c>
      <x:c r="AL93" s="5" t="n">
        <x:v>20820</x:v>
      </x:c>
      <x:c r="AM93" s="5"/>
      <x:c r="AN93" s="5"/>
      <x:c r="AO93" s="5"/>
      <x:c r="AP93" s="5"/>
      <x:c r="AQ93" s="5" t="n">
        <x:v>7.06</x:v>
      </x:c>
      <x:c r="AR93" s="5" t="n">
        <x:v>6.16</x:v>
      </x:c>
      <x:c r="AS93" s="5" t="n">
        <x:v>7.73</x:v>
      </x:c>
      <x:c r="AT93" s="5" t="n">
        <x:v>9.03</x:v>
      </x:c>
      <x:c r="AU93" s="5"/>
      <x:c r="AV93" s="5"/>
      <x:c r="AW93" s="5"/>
      <x:c r="AX93" s="5"/>
      <x:c r="AY93" s="5"/>
      <x:c r="AZ93" s="5"/>
      <x:c r="BA93" s="5"/>
      <x:c r="BB93" s="5"/>
      <x:c r="BC93" s="5"/>
      <x:c r="BD93" s="5"/>
      <x:c r="BE93" s="5"/>
      <x:c r="BF93" s="5"/>
      <x:c r="BG93" s="5"/>
      <x:c r="BH93" s="5"/>
      <x:c r="BI93" s="5"/>
      <x:c r="BJ93" s="5"/>
      <x:c r="BK93" s="5"/>
      <x:c r="BL93" s="5"/>
      <x:c r="BM93" s="5"/>
      <x:c r="BN93" s="5"/>
      <x:c r="BO93" s="5"/>
      <x:c r="BP93" s="5"/>
      <x:c r="BQ93" s="5"/>
      <x:c r="BR93" s="5"/>
      <x:c r="BS93" s="5"/>
      <x:c r="BT93" s="5"/>
      <x:c r="BU93" s="5"/>
      <x:c r="BV93" s="5"/>
      <x:c r="BW93" s="5"/>
      <x:c r="BX93" s="5"/>
      <x:c r="BY93" s="5"/>
      <x:c r="BZ93" s="5"/>
      <x:c r="CA93" s="5"/>
      <x:c r="CB93" s="5"/>
      <x:c r="CC93" s="5"/>
      <x:c r="CD93" s="5"/>
      <x:c r="CE93" s="5"/>
      <x:c r="CF93" s="5"/>
      <x:c r="CG93" s="5"/>
      <x:c r="CH93" s="5"/>
      <x:c r="CI93" s="5"/>
      <x:c r="CJ93" s="5"/>
      <x:c r="CK93" s="5"/>
      <x:c r="CL93" s="5"/>
      <x:c r="CM93" s="5"/>
      <x:c r="CN93" s="5"/>
      <x:c r="CO93" s="5"/>
      <x:c r="CP93" s="5"/>
      <x:c r="CQ93" s="5"/>
      <x:c r="CR93" s="5"/>
      <x:c r="CS93" s="5"/>
      <x:c r="CT93" s="5"/>
      <x:c r="CU93" s="5"/>
      <x:c r="CV93" s="5"/>
      <x:c r="CW93" s="5"/>
      <x:c r="CX93" s="5" t="n">
        <x:v>833.95</x:v>
      </x:c>
      <x:c r="CY93" s="5" t="n">
        <x:v>1214.25</x:v>
      </x:c>
      <x:c r="CZ93" s="5" t="n">
        <x:v>1109.24</x:v>
      </x:c>
      <x:c r="DA93" s="5" t="n">
        <x:v>62.48</x:v>
      </x:c>
      <x:c r="DB93" s="5" t="n">
        <x:v>1339.59</x:v>
      </x:c>
      <x:c r="DC93" s="5" t="n">
        <x:v>446.81</x:v>
      </x:c>
      <x:c r="DD93" s="5" t="n">
        <x:v>1896.55</x:v>
      </x:c>
      <x:c r="DE93" s="5" t="n">
        <x:v>1394.02</x:v>
      </x:c>
      <x:c r="DF93" s="5" t="n">
        <x:v>3422.95</x:v>
      </x:c>
      <x:c r="DG93" s="5" t="n">
        <x:v>702.5</x:v>
      </x:c>
      <x:c r="DH93" s="5" t="n">
        <x:v>4116.04</x:v>
      </x:c>
      <x:c r="DI93" s="5" t="n">
        <x:v>2322.29</x:v>
      </x:c>
      <x:c r="DJ93" s="5" t="n">
        <x:v>3293.16</x:v>
      </x:c>
      <x:c r="DK93" s="5" t="n">
        <x:v>1188.7</x:v>
      </x:c>
      <x:c r="DL93" s="5" t="n">
        <x:v>2911.25</x:v>
      </x:c>
      <x:c r="DM93" s="5" t="n">
        <x:v>1859.51</x:v>
      </x:c>
    </x:row>
    <x:row r="94">
      <x:c r="A94" s="5" t="n">
        <x:v>89</x:v>
      </x:c>
      <x:c r="B94" s="5"/>
      <x:c r="C94" s="5" t="str">
        <x:v>111-71-7</x:v>
      </x:c>
      <x:c r="D94" s="5"/>
      <x:c r="E94" s="5"/>
      <x:c r="F94" s="5"/>
      <x:c r="G94" s="5"/>
      <x:c r="H94" s="5"/>
      <x:c r="I94" s="5"/>
      <x:c r="J94" s="5"/>
      <x:c r="K94" s="5" t="n">
        <x:v>0.2</x:v>
      </x:c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</x:row>
    <x:row r="95">
      <x:c r="A95" s="5" t="n">
        <x:v>90</x:v>
      </x:c>
      <x:c r="B95" s="5" t="str">
        <x:v>1-辛醇</x:v>
      </x:c>
      <x:c r="C95" s="5" t="str">
        <x:v>111-87-5</x:v>
      </x:c>
      <x:c r="D95" s="5" t="n">
        <x:v>1100</x:v>
      </x:c>
      <x:c r="E95" s="5" t="n">
        <x:v>439</x:v>
      </x:c>
      <x:c r="F95" s="5" t="n">
        <x:v>2101</x:v>
      </x:c>
      <x:c r="G95" s="5"/>
      <x:c r="H95" s="5"/>
      <x:c r="I95" s="5"/>
      <x:c r="J95" s="5"/>
      <x:c r="K95" s="5" t="n">
        <x:v>0.4</x:v>
      </x:c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 t="n">
        <x:v>1.54</x:v>
      </x:c>
      <x:c r="AR95" s="5" t="n">
        <x:v>2.01</x:v>
      </x:c>
      <x:c r="AS95" s="5" t="n">
        <x:v>1.14</x:v>
      </x:c>
      <x:c r="AT95" s="5" t="n">
        <x:v>1.18</x:v>
      </x:c>
      <x:c r="AU95" s="5"/>
      <x:c r="AV95" s="5"/>
      <x:c r="AW95" s="5"/>
      <x:c r="AX95" s="5"/>
      <x:c r="AY95" s="5"/>
      <x:c r="AZ95" s="5"/>
      <x:c r="BA95" s="5"/>
      <x:c r="BB95" s="5" t="n">
        <x:v>2089</x:v>
      </x:c>
      <x:c r="BC95" s="5"/>
      <x:c r="BD95" s="5" t="n">
        <x:v>3850</x:v>
      </x:c>
      <x:c r="BE95" s="5" t="n">
        <x:v>4474.12</x:v>
      </x:c>
      <x:c r="BF95" s="5" t="n">
        <x:v>5401.21</x:v>
      </x:c>
      <x:c r="BG95" s="5" t="n">
        <x:v>3505.32</x:v>
      </x:c>
      <x:c r="BH95" s="5" t="n">
        <x:v>3952.17</x:v>
      </x:c>
      <x:c r="BI95" s="5" t="n">
        <x:v>3643.21</x:v>
      </x:c>
      <x:c r="BJ95" s="5" t="n">
        <x:v>1990.18</x:v>
      </x:c>
      <x:c r="BK95" s="5" t="n">
        <x:v>7.22</x:v>
      </x:c>
      <x:c r="BL95" s="5" t="n">
        <x:v>5.63</x:v>
      </x:c>
      <x:c r="BM95" s="5" t="n">
        <x:v>12.87</x:v>
      </x:c>
      <x:c r="BN95" s="5" t="n">
        <x:v>5.4</x:v>
      </x:c>
      <x:c r="BO95" s="5" t="n">
        <x:v>10.4</x:v>
      </x:c>
      <x:c r="BP95" s="5" t="n">
        <x:v>2363.29</x:v>
      </x:c>
      <x:c r="BQ95" s="5"/>
      <x:c r="BR95" s="5"/>
      <x:c r="BS95" s="5"/>
      <x:c r="BT95" s="5"/>
      <x:c r="BU95" s="5"/>
      <x:c r="BV95" s="5"/>
      <x:c r="BW95" s="5"/>
      <x:c r="BX95" s="5"/>
      <x:c r="BY95" s="5"/>
      <x:c r="BZ95" s="5" t="n">
        <x:v>666.755</x:v>
      </x:c>
      <x:c r="CA95" s="5" t="n">
        <x:v>700.16</x:v>
      </x:c>
      <x:c r="CB95" s="5" t="n">
        <x:v>4151.36</x:v>
      </x:c>
      <x:c r="CC95" s="5" t="n">
        <x:v>2387.79</x:v>
      </x:c>
      <x:c r="CD95" s="5" t="n">
        <x:v>25642.45</x:v>
      </x:c>
      <x:c r="CE95" s="5" t="n">
        <x:v>3596.26</x:v>
      </x:c>
      <x:c r="CF95" s="5" t="n">
        <x:v>2021.28</x:v>
      </x:c>
      <x:c r="CG95" s="5" t="n">
        <x:v>338.15</x:v>
      </x:c>
      <x:c r="CH95" s="5" t="n">
        <x:v>222.64</x:v>
      </x:c>
      <x:c r="CI95" s="5" t="n">
        <x:v>8783.43</x:v>
      </x:c>
      <x:c r="CJ95" s="5" t="n">
        <x:v>6427.46</x:v>
      </x:c>
      <x:c r="CK95" s="5" t="n">
        <x:v>6962.59</x:v>
      </x:c>
      <x:c r="CL95" s="5" t="n">
        <x:v>2944.46</x:v>
      </x:c>
      <x:c r="CM95" s="5" t="n">
        <x:v>5139.59</x:v>
      </x:c>
      <x:c r="CN95" s="5"/>
      <x:c r="CO95" s="5"/>
      <x:c r="CP95" s="5"/>
      <x:c r="CQ95" s="5"/>
      <x:c r="CR95" s="5" t="n">
        <x:v>359.5</x:v>
      </x:c>
      <x:c r="CS95" s="5" t="n">
        <x:v>445.34</x:v>
      </x:c>
      <x:c r="CT95" s="5"/>
      <x:c r="CU95" s="5"/>
      <x:c r="CV95" s="5"/>
      <x:c r="CW95" s="5"/>
      <x:c r="CX95" s="5" t="n">
        <x:v>1232.25</x:v>
      </x:c>
      <x:c r="CY95" s="5" t="n">
        <x:v>744.65</x:v>
      </x:c>
      <x:c r="CZ95" s="5" t="n">
        <x:v>365.37</x:v>
      </x:c>
      <x:c r="DA95" s="5" t="n">
        <x:v>232.19</x:v>
      </x:c>
      <x:c r="DB95" s="5" t="n">
        <x:v>401.06</x:v>
      </x:c>
      <x:c r="DC95" s="5" t="n">
        <x:v>2568.54</x:v>
      </x:c>
      <x:c r="DD95" s="5" t="n">
        <x:v>1395.36</x:v>
      </x:c>
      <x:c r="DE95" s="5" t="n">
        <x:v>1736.29</x:v>
      </x:c>
      <x:c r="DF95" s="5" t="n">
        <x:v>462.73</x:v>
      </x:c>
      <x:c r="DG95" s="5" t="n">
        <x:v>1391.3</x:v>
      </x:c>
      <x:c r="DH95" s="5" t="n">
        <x:v>454.05</x:v>
      </x:c>
      <x:c r="DI95" s="5" t="n">
        <x:v>1374.43</x:v>
      </x:c>
      <x:c r="DJ95" s="5" t="n">
        <x:v>560.85</x:v>
      </x:c>
      <x:c r="DK95" s="5" t="n">
        <x:v>1387.77</x:v>
      </x:c>
      <x:c r="DL95" s="5" t="n">
        <x:v>485.97</x:v>
      </x:c>
      <x:c r="DM95" s="5" t="n">
        <x:v>390.42</x:v>
      </x:c>
    </x:row>
    <x:row r="96">
      <x:c r="A96" s="5" t="n">
        <x:v>91</x:v>
      </x:c>
      <x:c r="B96" s="5" t="str">
        <x:v>壬酸</x:v>
      </x:c>
      <x:c r="C96" s="5" t="str">
        <x:v>112-05-0</x:v>
      </x:c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 t="n">
        <x:v>7760</x:v>
      </x:c>
      <x:c r="O96" s="5" t="n">
        <x:v>239</x:v>
      </x:c>
      <x:c r="P96" s="5" t="n">
        <x:v>59</x:v>
      </x:c>
      <x:c r="Q96" s="5" t="n">
        <x:v>145</x:v>
      </x:c>
      <x:c r="R96" s="5" t="n">
        <x:v>21191</x:v>
      </x:c>
      <x:c r="S96" s="5" t="n">
        <x:v>176</x:v>
      </x:c>
      <x:c r="T96" s="5" t="n">
        <x:v>0</x:v>
      </x:c>
      <x:c r="U96" s="5" t="n">
        <x:v>2</x:v>
      </x:c>
      <x:c r="V96" s="5" t="n">
        <x:v>1.5</x:v>
      </x:c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  <x:c r="BA96" s="5"/>
      <x:c r="BB96" s="5"/>
      <x:c r="BC96" s="5"/>
      <x:c r="BD96" s="5"/>
      <x:c r="BE96" s="5"/>
      <x:c r="BF96" s="5"/>
      <x:c r="BG96" s="5"/>
      <x:c r="BH96" s="5"/>
      <x:c r="BI96" s="5"/>
      <x:c r="BJ96" s="5"/>
      <x:c r="BK96" s="5"/>
      <x:c r="BL96" s="5"/>
      <x:c r="BM96" s="5"/>
      <x:c r="BN96" s="5"/>
      <x:c r="BO96" s="5"/>
      <x:c r="BP96" s="5"/>
      <x:c r="BQ96" s="5"/>
      <x:c r="BR96" s="5"/>
      <x:c r="BS96" s="5"/>
      <x:c r="BT96" s="5"/>
      <x:c r="BU96" s="5"/>
      <x:c r="BV96" s="5"/>
      <x:c r="BW96" s="5"/>
      <x:c r="BX96" s="5"/>
      <x:c r="BY96" s="5"/>
      <x:c r="BZ96" s="5" t="n">
        <x:v>711.01</x:v>
      </x:c>
      <x:c r="CA96" s="5" t="n">
        <x:v>741.66</x:v>
      </x:c>
      <x:c r="CB96" s="5" t="n">
        <x:v>1600.27</x:v>
      </x:c>
      <x:c r="CC96" s="5" t="n">
        <x:v>1947.38</x:v>
      </x:c>
      <x:c r="CD96" s="5" t="n">
        <x:v>1907.21</x:v>
      </x:c>
      <x:c r="CE96" s="5" t="n">
        <x:v>4307.64</x:v>
      </x:c>
      <x:c r="CF96" s="5" t="n">
        <x:v>2465.41</x:v>
      </x:c>
      <x:c r="CG96" s="5" t="n">
        <x:v>1071.39</x:v>
      </x:c>
      <x:c r="CH96" s="5" t="n">
        <x:v>1071.39</x:v>
      </x:c>
      <x:c r="CI96" s="5" t="n">
        <x:v>1775.42</x:v>
      </x:c>
      <x:c r="CJ96" s="5" t="n">
        <x:v>1981.85</x:v>
      </x:c>
      <x:c r="CK96" s="5" t="n">
        <x:v>5818.11</x:v>
      </x:c>
      <x:c r="CL96" s="5" t="n">
        <x:v>4579.53</x:v>
      </x:c>
      <x:c r="CM96" s="5" t="n">
        <x:v>2754.77</x:v>
      </x:c>
      <x:c r="CN96" s="5"/>
      <x:c r="CO96" s="5"/>
      <x:c r="CP96" s="5"/>
      <x:c r="CQ96" s="5"/>
      <x:c r="CR96" s="5"/>
      <x:c r="CS96" s="5"/>
      <x:c r="CT96" s="5"/>
      <x:c r="CU96" s="5"/>
      <x:c r="CV96" s="5"/>
      <x:c r="CW96" s="5"/>
      <x:c r="CX96" s="5" t="n">
        <x:v>2115.3</x:v>
      </x:c>
      <x:c r="CY96" s="5" t="n">
        <x:v>253.39</x:v>
      </x:c>
      <x:c r="CZ96" s="5" t="n">
        <x:v>247.08</x:v>
      </x:c>
      <x:c r="DA96" s="5" t="n">
        <x:v>997.93</x:v>
      </x:c>
      <x:c r="DB96" s="5" t="n">
        <x:v>1151.86</x:v>
      </x:c>
      <x:c r="DC96" s="5" t="n">
        <x:v>922.83</x:v>
      </x:c>
      <x:c r="DD96" s="5" t="n">
        <x:v>814.37</x:v>
      </x:c>
      <x:c r="DE96" s="5" t="n">
        <x:v>1422.55</x:v>
      </x:c>
      <x:c r="DF96" s="5" t="n">
        <x:v>805.86</x:v>
      </x:c>
      <x:c r="DG96" s="5" t="n">
        <x:v>196.77</x:v>
      </x:c>
      <x:c r="DH96" s="5" t="n">
        <x:v>1293.72</x:v>
      </x:c>
      <x:c r="DI96" s="5" t="n">
        <x:v>689.76</x:v>
      </x:c>
      <x:c r="DJ96" s="5" t="n">
        <x:v>1144.3</x:v>
      </x:c>
      <x:c r="DK96" s="5" t="n">
        <x:v>619.89</x:v>
      </x:c>
      <x:c r="DL96" s="5" t="n">
        <x:v>1181.54</x:v>
      </x:c>
      <x:c r="DM96" s="5" t="n">
        <x:v>944.14</x:v>
      </x:c>
    </x:row>
    <x:row r="97">
      <x:c r="A97" s="5" t="n">
        <x:v>92</x:v>
      </x:c>
      <x:c r="B97" s="5"/>
      <x:c r="C97" s="5" t="str">
        <x:v>112-05-9</x:v>
      </x:c>
      <x:c r="D97" s="5"/>
      <x:c r="E97" s="5"/>
      <x:c r="F97" s="5"/>
      <x:c r="G97" s="5"/>
      <x:c r="H97" s="5"/>
      <x:c r="I97" s="5" t="n">
        <x:v>20.39</x:v>
      </x:c>
      <x:c r="J97" s="5" t="n">
        <x:v>27.26</x:v>
      </x:c>
      <x:c r="K97" s="5" t="n">
        <x:v>6</x:v>
      </x:c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  <x:c r="BA97" s="5"/>
      <x:c r="BB97" s="5"/>
      <x:c r="BC97" s="5"/>
      <x:c r="BD97" s="5"/>
      <x:c r="BE97" s="5"/>
      <x:c r="BF97" s="5"/>
      <x:c r="BG97" s="5"/>
      <x:c r="BH97" s="5"/>
      <x:c r="BI97" s="5"/>
      <x:c r="BJ97" s="5"/>
      <x:c r="BK97" s="5"/>
      <x:c r="BL97" s="5"/>
      <x:c r="BM97" s="5"/>
      <x:c r="BN97" s="5"/>
      <x:c r="BO97" s="5"/>
      <x:c r="BP97" s="5"/>
      <x:c r="BQ97" s="5"/>
      <x:c r="BR97" s="5"/>
      <x:c r="BS97" s="5"/>
      <x:c r="BT97" s="5"/>
      <x:c r="BU97" s="5"/>
      <x:c r="BV97" s="5"/>
      <x:c r="BW97" s="5"/>
      <x:c r="BX97" s="5"/>
      <x:c r="BY97" s="5"/>
      <x:c r="BZ97" s="5"/>
      <x:c r="CA97" s="5"/>
      <x:c r="CB97" s="5"/>
      <x:c r="CC97" s="5"/>
      <x:c r="CD97" s="5"/>
      <x:c r="CE97" s="5"/>
      <x:c r="CF97" s="5"/>
      <x:c r="CG97" s="5"/>
      <x:c r="CH97" s="5"/>
      <x:c r="CI97" s="5"/>
      <x:c r="CJ97" s="5"/>
      <x:c r="CK97" s="5"/>
      <x:c r="CL97" s="5"/>
      <x:c r="CM97" s="5"/>
      <x:c r="CN97" s="5"/>
      <x:c r="CO97" s="5"/>
      <x:c r="CP97" s="5"/>
      <x:c r="CQ97" s="5"/>
      <x:c r="CR97" s="5"/>
      <x:c r="CS97" s="5"/>
      <x:c r="CT97" s="5"/>
      <x:c r="CU97" s="5"/>
      <x:c r="CV97" s="5"/>
      <x:c r="CW97" s="5"/>
      <x:c r="CX97" s="5"/>
      <x:c r="CY97" s="5"/>
      <x:c r="CZ97" s="5"/>
      <x:c r="DA97" s="5"/>
      <x:c r="DB97" s="5"/>
      <x:c r="DC97" s="5"/>
      <x:c r="DD97" s="5"/>
      <x:c r="DE97" s="5"/>
      <x:c r="DF97" s="5"/>
      <x:c r="DG97" s="5"/>
      <x:c r="DH97" s="5"/>
      <x:c r="DI97" s="5"/>
      <x:c r="DJ97" s="5"/>
      <x:c r="DK97" s="5"/>
      <x:c r="DL97" s="5"/>
      <x:c r="DM97" s="5"/>
    </x:row>
    <x:row r="98">
      <x:c r="A98" s="5" t="n">
        <x:v>93</x:v>
      </x:c>
      <x:c r="B98" s="5" t="str">
        <x:v>乙酸庚酯</x:v>
      </x:c>
      <x:c r="C98" s="5" t="str">
        <x:v>112-06-1</x:v>
      </x:c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 t="n">
        <x:v>333</x:v>
      </x:c>
      <x:c r="O98" s="5"/>
      <x:c r="P98" s="5"/>
      <x:c r="Q98" s="5" t="n">
        <x:v>189</x:v>
      </x:c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 t="n">
        <x:v>1.18</x:v>
      </x:c>
      <x:c r="AR98" s="5"/>
      <x:c r="AS98" s="5"/>
      <x:c r="AT98" s="5"/>
      <x:c r="AU98" s="5"/>
      <x:c r="AV98" s="5"/>
      <x:c r="AW98" s="5"/>
      <x:c r="AX98" s="5"/>
      <x:c r="AY98" s="5"/>
      <x:c r="AZ98" s="5" t="n">
        <x:v>92</x:v>
      </x:c>
      <x:c r="BA98" s="5" t="n">
        <x:v>116</x:v>
      </x:c>
      <x:c r="BB98" s="5"/>
      <x:c r="BC98" s="5"/>
      <x:c r="BD98" s="5"/>
      <x:c r="BE98" s="5"/>
      <x:c r="BF98" s="5"/>
      <x:c r="BG98" s="5"/>
      <x:c r="BH98" s="5"/>
      <x:c r="BI98" s="5"/>
      <x:c r="BJ98" s="5"/>
      <x:c r="BK98" s="5"/>
      <x:c r="BL98" s="5"/>
      <x:c r="BM98" s="5"/>
      <x:c r="BN98" s="5"/>
      <x:c r="BO98" s="5"/>
      <x:c r="BP98" s="5"/>
      <x:c r="BQ98" s="5"/>
      <x:c r="BR98" s="5"/>
      <x:c r="BS98" s="5"/>
      <x:c r="BT98" s="5"/>
      <x:c r="BU98" s="5"/>
      <x:c r="BV98" s="5"/>
      <x:c r="BW98" s="5"/>
      <x:c r="BX98" s="5"/>
      <x:c r="BY98" s="5"/>
      <x:c r="BZ98" s="5"/>
      <x:c r="CA98" s="5"/>
      <x:c r="CB98" s="5"/>
      <x:c r="CC98" s="5"/>
      <x:c r="CD98" s="5"/>
      <x:c r="CE98" s="5"/>
      <x:c r="CF98" s="5"/>
      <x:c r="CG98" s="5"/>
      <x:c r="CH98" s="5"/>
      <x:c r="CI98" s="5"/>
      <x:c r="CJ98" s="5"/>
      <x:c r="CK98" s="5"/>
      <x:c r="CL98" s="5"/>
      <x:c r="CM98" s="5"/>
      <x:c r="CN98" s="5"/>
      <x:c r="CO98" s="5"/>
      <x:c r="CP98" s="5"/>
      <x:c r="CQ98" s="5"/>
      <x:c r="CR98" s="5"/>
      <x:c r="CS98" s="5"/>
      <x:c r="CT98" s="5"/>
      <x:c r="CU98" s="5"/>
      <x:c r="CV98" s="5"/>
      <x:c r="CW98" s="5"/>
      <x:c r="CX98" s="5"/>
      <x:c r="CY98" s="5"/>
      <x:c r="CZ98" s="5"/>
      <x:c r="DA98" s="5"/>
      <x:c r="DB98" s="5"/>
      <x:c r="DC98" s="5"/>
      <x:c r="DD98" s="5"/>
      <x:c r="DE98" s="5"/>
      <x:c r="DF98" s="5"/>
      <x:c r="DG98" s="5"/>
      <x:c r="DH98" s="5"/>
      <x:c r="DI98" s="5"/>
      <x:c r="DJ98" s="5"/>
      <x:c r="DK98" s="5"/>
      <x:c r="DL98" s="5"/>
      <x:c r="DM98" s="5"/>
    </x:row>
    <x:row r="99">
      <x:c r="A99" s="5" t="n">
        <x:v>94</x:v>
      </x:c>
      <x:c r="B99" s="5" t="str">
        <x:v>2-十一酮</x:v>
      </x:c>
      <x:c r="C99" s="5" t="str">
        <x:v>112-12-9</x:v>
      </x:c>
      <x:c r="D99" s="5"/>
      <x:c r="E99" s="5"/>
      <x:c r="F99" s="5"/>
      <x:c r="G99" s="5"/>
      <x:c r="H99" s="5"/>
      <x:c r="I99" s="5"/>
      <x:c r="J99" s="5"/>
      <x:c r="K99" s="5" t="n">
        <x:v>0.36</x:v>
      </x:c>
      <x:c r="L99" s="5"/>
      <x:c r="M99" s="5"/>
      <x:c r="N99" s="5" t="n">
        <x:v>828</x:v>
      </x:c>
      <x:c r="O99" s="5" t="n">
        <x:v>682</x:v>
      </x:c>
      <x:c r="P99" s="5" t="n">
        <x:v>723</x:v>
      </x:c>
      <x:c r="Q99" s="5" t="n">
        <x:v>512</x:v>
      </x:c>
      <x:c r="R99" s="5" t="n">
        <x:v>587</x:v>
      </x:c>
      <x:c r="S99" s="5" t="n">
        <x:v>649</x:v>
      </x:c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  <x:c r="BA99" s="5"/>
      <x:c r="BB99" s="5"/>
      <x:c r="BC99" s="5"/>
      <x:c r="BD99" s="5"/>
      <x:c r="BE99" s="5"/>
      <x:c r="BF99" s="5"/>
      <x:c r="BG99" s="5"/>
      <x:c r="BH99" s="5"/>
      <x:c r="BI99" s="5"/>
      <x:c r="BJ99" s="5"/>
      <x:c r="BK99" s="5"/>
      <x:c r="BL99" s="5"/>
      <x:c r="BM99" s="5"/>
      <x:c r="BN99" s="5"/>
      <x:c r="BO99" s="5"/>
      <x:c r="BP99" s="5"/>
      <x:c r="BQ99" s="5"/>
      <x:c r="BR99" s="5"/>
      <x:c r="BS99" s="5"/>
      <x:c r="BT99" s="5"/>
      <x:c r="BU99" s="5"/>
      <x:c r="BV99" s="5"/>
      <x:c r="BW99" s="5"/>
      <x:c r="BX99" s="5"/>
      <x:c r="BY99" s="5"/>
      <x:c r="BZ99" s="5" t="n">
        <x:v>6.12</x:v>
      </x:c>
      <x:c r="CA99" s="5" t="n">
        <x:v>6.11</x:v>
      </x:c>
      <x:c r="CB99" s="5" t="n">
        <x:v>14.31</x:v>
      </x:c>
      <x:c r="CC99" s="5" t="n">
        <x:v>7.4</x:v>
      </x:c>
      <x:c r="CD99" s="5" t="n">
        <x:v>8.82</x:v>
      </x:c>
      <x:c r="CE99" s="5" t="n">
        <x:v>11.62</x:v>
      </x:c>
      <x:c r="CF99" s="5" t="n">
        <x:v>11.13</x:v>
      </x:c>
      <x:c r="CG99" s="5" t="n">
        <x:v>33.97</x:v>
      </x:c>
      <x:c r="CH99" s="5" t="n">
        <x:v>22.26</x:v>
      </x:c>
      <x:c r="CI99" s="5" t="n">
        <x:v>11.98</x:v>
      </x:c>
      <x:c r="CJ99" s="5" t="n">
        <x:v>11.6</x:v>
      </x:c>
      <x:c r="CK99" s="5" t="n">
        <x:v>29.76</x:v>
      </x:c>
      <x:c r="CL99" s="5" t="n">
        <x:v>12.11</x:v>
      </x:c>
      <x:c r="CM99" s="5"/>
      <x:c r="CN99" s="5"/>
      <x:c r="CO99" s="5"/>
      <x:c r="CP99" s="5"/>
      <x:c r="CQ99" s="5"/>
      <x:c r="CR99" s="5"/>
      <x:c r="CS99" s="5"/>
      <x:c r="CT99" s="5"/>
      <x:c r="CU99" s="5"/>
      <x:c r="CV99" s="5"/>
      <x:c r="CW99" s="5"/>
      <x:c r="CX99" s="5"/>
      <x:c r="CY99" s="5"/>
      <x:c r="CZ99" s="5"/>
      <x:c r="DA99" s="5"/>
      <x:c r="DB99" s="5"/>
      <x:c r="DC99" s="5"/>
      <x:c r="DD99" s="5"/>
      <x:c r="DE99" s="5"/>
      <x:c r="DF99" s="5"/>
      <x:c r="DG99" s="5"/>
      <x:c r="DH99" s="5"/>
      <x:c r="DI99" s="5"/>
      <x:c r="DJ99" s="5"/>
      <x:c r="DK99" s="5"/>
      <x:c r="DL99" s="5"/>
      <x:c r="DM99" s="5"/>
    </x:row>
    <x:row r="100">
      <x:c r="A100" s="5" t="n">
        <x:v>95</x:v>
      </x:c>
      <x:c r="B100" s="5"/>
      <x:c r="C100" s="5" t="str">
        <x:v>112-23-2</x:v>
      </x:c>
      <x:c r="D100" s="5"/>
      <x:c r="E100" s="5"/>
      <x:c r="F100" s="5"/>
      <x:c r="G100" s="5"/>
      <x:c r="H100" s="5"/>
      <x:c r="I100" s="5" t="n">
        <x:v>2.55</x:v>
      </x:c>
      <x:c r="J100" s="5"/>
      <x:c r="K100" s="5" t="n">
        <x:v>2.16</x:v>
      </x:c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  <x:c r="BA100" s="5"/>
      <x:c r="BB100" s="5"/>
      <x:c r="BC100" s="5"/>
      <x:c r="BD100" s="5"/>
      <x:c r="BE100" s="5"/>
      <x:c r="BF100" s="5"/>
      <x:c r="BG100" s="5"/>
      <x:c r="BH100" s="5"/>
      <x:c r="BI100" s="5"/>
      <x:c r="BJ100" s="5"/>
      <x:c r="BK100" s="5"/>
      <x:c r="BL100" s="5"/>
      <x:c r="BM100" s="5"/>
      <x:c r="BN100" s="5"/>
      <x:c r="BO100" s="5"/>
      <x:c r="BP100" s="5"/>
      <x:c r="BQ100" s="5"/>
      <x:c r="BR100" s="5"/>
      <x:c r="BS100" s="5"/>
      <x:c r="BT100" s="5"/>
      <x:c r="BU100" s="5"/>
      <x:c r="BV100" s="5"/>
      <x:c r="BW100" s="5"/>
      <x:c r="BX100" s="5"/>
      <x:c r="BY100" s="5"/>
      <x:c r="BZ100" s="5"/>
      <x:c r="CA100" s="5"/>
      <x:c r="CB100" s="5"/>
      <x:c r="CC100" s="5"/>
      <x:c r="CD100" s="5"/>
      <x:c r="CE100" s="5"/>
      <x:c r="CF100" s="5"/>
      <x:c r="CG100" s="5"/>
      <x:c r="CH100" s="5"/>
      <x:c r="CI100" s="5"/>
      <x:c r="CJ100" s="5"/>
      <x:c r="CK100" s="5"/>
      <x:c r="CL100" s="5"/>
      <x:c r="CM100" s="5"/>
      <x:c r="CN100" s="5"/>
      <x:c r="CO100" s="5"/>
      <x:c r="CP100" s="5"/>
      <x:c r="CQ100" s="5"/>
      <x:c r="CR100" s="5"/>
      <x:c r="CS100" s="5"/>
      <x:c r="CT100" s="5"/>
      <x:c r="CU100" s="5"/>
      <x:c r="CV100" s="5"/>
      <x:c r="CW100" s="5"/>
      <x:c r="CX100" s="5"/>
      <x:c r="CY100" s="5"/>
      <x:c r="CZ100" s="5"/>
      <x:c r="DA100" s="5"/>
      <x:c r="DB100" s="5"/>
      <x:c r="DC100" s="5"/>
      <x:c r="DD100" s="5"/>
      <x:c r="DE100" s="5"/>
      <x:c r="DF100" s="5"/>
      <x:c r="DG100" s="5"/>
      <x:c r="DH100" s="5"/>
      <x:c r="DI100" s="5"/>
      <x:c r="DJ100" s="5"/>
      <x:c r="DK100" s="5"/>
      <x:c r="DL100" s="5"/>
      <x:c r="DM100" s="5"/>
    </x:row>
    <x:row r="101">
      <x:c r="A101" s="5" t="n">
        <x:v>96</x:v>
      </x:c>
      <x:c r="B101" s="5" t="str">
        <x:v>1-癸醇</x:v>
      </x:c>
      <x:c r="C101" s="5" t="str">
        <x:v>112-30-1</x:v>
      </x:c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  <x:c r="BA101" s="5"/>
      <x:c r="BB101" s="5"/>
      <x:c r="BC101" s="5"/>
      <x:c r="BD101" s="5"/>
      <x:c r="BE101" s="5"/>
      <x:c r="BF101" s="5"/>
      <x:c r="BG101" s="5"/>
      <x:c r="BH101" s="5"/>
      <x:c r="BI101" s="5"/>
      <x:c r="BJ101" s="5"/>
      <x:c r="BK101" s="5"/>
      <x:c r="BL101" s="5"/>
      <x:c r="BM101" s="5"/>
      <x:c r="BN101" s="5"/>
      <x:c r="BO101" s="5"/>
      <x:c r="BP101" s="5"/>
      <x:c r="BQ101" s="5"/>
      <x:c r="BR101" s="5"/>
      <x:c r="BS101" s="5"/>
      <x:c r="BT101" s="5"/>
      <x:c r="BU101" s="5"/>
      <x:c r="BV101" s="5"/>
      <x:c r="BW101" s="5"/>
      <x:c r="BX101" s="5"/>
      <x:c r="BY101" s="5"/>
      <x:c r="BZ101" s="5" t="n">
        <x:v>13.97</x:v>
      </x:c>
      <x:c r="CA101" s="5" t="n">
        <x:v>14.61</x:v>
      </x:c>
      <x:c r="CB101" s="5" t="n">
        <x:v>40.04</x:v>
      </x:c>
      <x:c r="CC101" s="5" t="n">
        <x:v>34</x:v>
      </x:c>
      <x:c r="CD101" s="5" t="n">
        <x:v>48.46</x:v>
      </x:c>
      <x:c r="CE101" s="5" t="n">
        <x:v>34.34</x:v>
      </x:c>
      <x:c r="CF101" s="5" t="n">
        <x:v>36.21</x:v>
      </x:c>
      <x:c r="CG101" s="5" t="n">
        <x:v>7.36</x:v>
      </x:c>
      <x:c r="CH101" s="5" t="n">
        <x:v>4.56</x:v>
      </x:c>
      <x:c r="CI101" s="5" t="n">
        <x:v>38.32</x:v>
      </x:c>
      <x:c r="CJ101" s="5" t="n">
        <x:v>38.97</x:v>
      </x:c>
      <x:c r="CK101" s="5" t="n">
        <x:v>32.49</x:v>
      </x:c>
      <x:c r="CL101" s="5" t="n">
        <x:v>35.03</x:v>
      </x:c>
      <x:c r="CM101" s="5"/>
      <x:c r="CN101" s="5"/>
      <x:c r="CO101" s="5"/>
      <x:c r="CP101" s="5"/>
      <x:c r="CQ101" s="5"/>
      <x:c r="CR101" s="5"/>
      <x:c r="CS101" s="5"/>
      <x:c r="CT101" s="5"/>
      <x:c r="CU101" s="5"/>
      <x:c r="CV101" s="5"/>
      <x:c r="CW101" s="5"/>
      <x:c r="CX101" s="5"/>
      <x:c r="CY101" s="5"/>
      <x:c r="CZ101" s="5"/>
      <x:c r="DA101" s="5"/>
      <x:c r="DB101" s="5"/>
      <x:c r="DC101" s="5"/>
      <x:c r="DD101" s="5"/>
      <x:c r="DE101" s="5"/>
      <x:c r="DF101" s="5"/>
      <x:c r="DG101" s="5"/>
      <x:c r="DH101" s="5"/>
      <x:c r="DI101" s="5"/>
      <x:c r="DJ101" s="5"/>
      <x:c r="DK101" s="5"/>
      <x:c r="DL101" s="5"/>
      <x:c r="DM101" s="5"/>
    </x:row>
    <x:row r="102">
      <x:c r="A102" s="5" t="n">
        <x:v>97</x:v>
      </x:c>
      <x:c r="B102" s="5" t="str">
        <x:v>癸醛</x:v>
      </x:c>
      <x:c r="C102" s="5" t="str">
        <x:v>112-31-2</x:v>
      </x:c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  <x:c r="BA102" s="5"/>
      <x:c r="BB102" s="5"/>
      <x:c r="BC102" s="5"/>
      <x:c r="BD102" s="5"/>
      <x:c r="BE102" s="5"/>
      <x:c r="BF102" s="5"/>
      <x:c r="BG102" s="5"/>
      <x:c r="BH102" s="5"/>
      <x:c r="BI102" s="5"/>
      <x:c r="BJ102" s="5"/>
      <x:c r="BK102" s="5"/>
      <x:c r="BL102" s="5"/>
      <x:c r="BM102" s="5"/>
      <x:c r="BN102" s="5"/>
      <x:c r="BO102" s="5"/>
      <x:c r="BP102" s="5"/>
      <x:c r="BQ102" s="5"/>
      <x:c r="BR102" s="5"/>
      <x:c r="BS102" s="5"/>
      <x:c r="BT102" s="5"/>
      <x:c r="BU102" s="5"/>
      <x:c r="BV102" s="5"/>
      <x:c r="BW102" s="5"/>
      <x:c r="BX102" s="5"/>
      <x:c r="BY102" s="5"/>
      <x:c r="BZ102" s="5" t="n">
        <x:v>141.32</x:v>
      </x:c>
      <x:c r="CA102" s="5" t="n">
        <x:v>113.82</x:v>
      </x:c>
      <x:c r="CB102" s="5" t="n">
        <x:v>31.12</x:v>
      </x:c>
      <x:c r="CC102" s="5"/>
      <x:c r="CD102" s="5"/>
      <x:c r="CE102" s="5" t="n">
        <x:v>96.64</x:v>
      </x:c>
      <x:c r="CF102" s="5" t="n">
        <x:v>62.98</x:v>
      </x:c>
      <x:c r="CG102" s="5" t="n">
        <x:v>115.05</x:v>
      </x:c>
      <x:c r="CH102" s="5" t="n">
        <x:v>101.86</x:v>
      </x:c>
      <x:c r="CI102" s="5" t="n">
        <x:v>350.9</x:v>
      </x:c>
      <x:c r="CJ102" s="5" t="n">
        <x:v>47.15</x:v>
      </x:c>
      <x:c r="CK102" s="5" t="n">
        <x:v>53.12</x:v>
      </x:c>
      <x:c r="CL102" s="5" t="n">
        <x:v>168.51</x:v>
      </x:c>
      <x:c r="CM102" s="5"/>
      <x:c r="CN102" s="5"/>
      <x:c r="CO102" s="5"/>
      <x:c r="CP102" s="5"/>
      <x:c r="CQ102" s="5"/>
      <x:c r="CR102" s="5"/>
      <x:c r="CS102" s="5"/>
      <x:c r="CT102" s="5"/>
      <x:c r="CU102" s="5"/>
      <x:c r="CV102" s="5"/>
      <x:c r="CW102" s="5"/>
      <x:c r="CX102" s="5" t="n">
        <x:v>35.05</x:v>
      </x:c>
      <x:c r="CY102" s="5" t="n">
        <x:v>64.65</x:v>
      </x:c>
      <x:c r="CZ102" s="5" t="n">
        <x:v>130.35</x:v>
      </x:c>
      <x:c r="DA102" s="5" t="n">
        <x:v>26.51</x:v>
      </x:c>
      <x:c r="DB102" s="5" t="n">
        <x:v>8.98</x:v>
      </x:c>
      <x:c r="DC102" s="5" t="n">
        <x:v>34.3</x:v>
      </x:c>
      <x:c r="DD102" s="5" t="n">
        <x:v>2044.08</x:v>
      </x:c>
      <x:c r="DE102" s="5" t="n">
        <x:v>27.94</x:v>
      </x:c>
      <x:c r="DF102" s="5" t="n">
        <x:v>263.13</x:v>
      </x:c>
      <x:c r="DG102" s="5" t="n">
        <x:v>415.74</x:v>
      </x:c>
      <x:c r="DH102" s="5" t="n">
        <x:v>28.75</x:v>
      </x:c>
      <x:c r="DI102" s="5" t="n">
        <x:v>60.66</x:v>
      </x:c>
      <x:c r="DJ102" s="5" t="n">
        <x:v>44.68</x:v>
      </x:c>
      <x:c r="DK102" s="5" t="n">
        <x:v>173.2</x:v>
      </x:c>
      <x:c r="DL102" s="5" t="n">
        <x:v>973.31</x:v>
      </x:c>
      <x:c r="DM102" s="5" t="n">
        <x:v>85.72</x:v>
      </x:c>
    </x:row>
    <x:row r="103">
      <x:c r="A103" s="5" t="n">
        <x:v>98</x:v>
      </x:c>
      <x:c r="B103" s="5"/>
      <x:c r="C103" s="5" t="str">
        <x:v>112-32-3</x:v>
      </x:c>
      <x:c r="D103" s="5"/>
      <x:c r="E103" s="5"/>
      <x:c r="F103" s="5"/>
      <x:c r="G103" s="5"/>
      <x:c r="H103" s="5"/>
      <x:c r="I103" s="5" t="n">
        <x:v>2.12</x:v>
      </x:c>
      <x:c r="J103" s="5" t="n">
        <x:v>6.08</x:v>
      </x:c>
      <x:c r="K103" s="5" t="n">
        <x:v>1.97</x:v>
      </x:c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5"/>
      <x:c r="BO103" s="5"/>
      <x:c r="BP103" s="5"/>
      <x:c r="BQ103" s="5"/>
      <x:c r="BR103" s="5"/>
      <x:c r="BS103" s="5"/>
      <x:c r="BT103" s="5"/>
      <x:c r="BU103" s="5"/>
      <x:c r="BV103" s="5"/>
      <x:c r="BW103" s="5"/>
      <x:c r="BX103" s="5"/>
      <x:c r="BY103" s="5"/>
      <x:c r="BZ103" s="5"/>
      <x:c r="CA103" s="5"/>
      <x:c r="CB103" s="5"/>
      <x:c r="CC103" s="5"/>
      <x:c r="CD103" s="5"/>
      <x:c r="CE103" s="5"/>
      <x:c r="CF103" s="5"/>
      <x:c r="CG103" s="5"/>
      <x:c r="CH103" s="5"/>
      <x:c r="CI103" s="5"/>
      <x:c r="CJ103" s="5"/>
      <x:c r="CK103" s="5"/>
      <x:c r="CL103" s="5"/>
      <x:c r="CM103" s="5"/>
      <x:c r="CN103" s="5"/>
      <x:c r="CO103" s="5"/>
      <x:c r="CP103" s="5"/>
      <x:c r="CQ103" s="5"/>
      <x:c r="CR103" s="5"/>
      <x:c r="CS103" s="5"/>
      <x:c r="CT103" s="5"/>
      <x:c r="CU103" s="5"/>
      <x:c r="CV103" s="5"/>
      <x:c r="CW103" s="5"/>
      <x:c r="CX103" s="5"/>
      <x:c r="CY103" s="5"/>
      <x:c r="CZ103" s="5"/>
      <x:c r="DA103" s="5"/>
      <x:c r="DB103" s="5"/>
      <x:c r="DC103" s="5"/>
      <x:c r="DD103" s="5"/>
      <x:c r="DE103" s="5"/>
      <x:c r="DF103" s="5"/>
      <x:c r="DG103" s="5"/>
      <x:c r="DH103" s="5"/>
      <x:c r="DI103" s="5"/>
      <x:c r="DJ103" s="5"/>
      <x:c r="DK103" s="5"/>
      <x:c r="DL103" s="5"/>
      <x:c r="DM103" s="5"/>
    </x:row>
    <x:row r="104">
      <x:c r="A104" s="5" t="n">
        <x:v>99</x:v>
      </x:c>
      <x:c r="B104" s="5"/>
      <x:c r="C104" s="5" t="str">
        <x:v>112-37-8</x:v>
      </x:c>
      <x:c r="D104" s="5"/>
      <x:c r="E104" s="5"/>
      <x:c r="F104" s="5"/>
      <x:c r="G104" s="5"/>
      <x:c r="H104" s="5"/>
      <x:c r="I104" s="5"/>
      <x:c r="J104" s="5" t="n">
        <x:v>0.82</x:v>
      </x:c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  <x:c r="BA104" s="5"/>
      <x:c r="BB104" s="5"/>
      <x:c r="BC104" s="5"/>
      <x:c r="BD104" s="5"/>
      <x:c r="BE104" s="5"/>
      <x:c r="BF104" s="5"/>
      <x:c r="BG104" s="5"/>
      <x:c r="BH104" s="5"/>
      <x:c r="BI104" s="5"/>
      <x:c r="BJ104" s="5"/>
      <x:c r="BK104" s="5"/>
      <x:c r="BL104" s="5"/>
      <x:c r="BM104" s="5"/>
      <x:c r="BN104" s="5"/>
      <x:c r="BO104" s="5"/>
      <x:c r="BP104" s="5"/>
      <x:c r="BQ104" s="5"/>
      <x:c r="BR104" s="5"/>
      <x:c r="BS104" s="5"/>
      <x:c r="BT104" s="5"/>
      <x:c r="BU104" s="5"/>
      <x:c r="BV104" s="5"/>
      <x:c r="BW104" s="5"/>
      <x:c r="BX104" s="5"/>
      <x:c r="BY104" s="5"/>
      <x:c r="BZ104" s="5"/>
      <x:c r="CA104" s="5"/>
      <x:c r="CB104" s="5"/>
      <x:c r="CC104" s="5"/>
      <x:c r="CD104" s="5"/>
      <x:c r="CE104" s="5"/>
      <x:c r="CF104" s="5"/>
      <x:c r="CG104" s="5"/>
      <x:c r="CH104" s="5"/>
      <x:c r="CI104" s="5"/>
      <x:c r="CJ104" s="5"/>
      <x:c r="CK104" s="5"/>
      <x:c r="CL104" s="5"/>
      <x:c r="CM104" s="5"/>
      <x:c r="CN104" s="5"/>
      <x:c r="CO104" s="5"/>
      <x:c r="CP104" s="5"/>
      <x:c r="CQ104" s="5"/>
      <x:c r="CR104" s="5"/>
      <x:c r="CS104" s="5"/>
      <x:c r="CT104" s="5"/>
      <x:c r="CU104" s="5"/>
      <x:c r="CV104" s="5"/>
      <x:c r="CW104" s="5"/>
      <x:c r="CX104" s="5"/>
      <x:c r="CY104" s="5"/>
      <x:c r="CZ104" s="5"/>
      <x:c r="DA104" s="5"/>
      <x:c r="DB104" s="5"/>
      <x:c r="DC104" s="5"/>
      <x:c r="DD104" s="5"/>
      <x:c r="DE104" s="5"/>
      <x:c r="DF104" s="5"/>
      <x:c r="DG104" s="5"/>
      <x:c r="DH104" s="5"/>
      <x:c r="DI104" s="5"/>
      <x:c r="DJ104" s="5"/>
      <x:c r="DK104" s="5"/>
      <x:c r="DL104" s="5"/>
      <x:c r="DM104" s="5"/>
    </x:row>
    <x:row r="105">
      <x:c r="A105" s="5" t="n">
        <x:v>100</x:v>
      </x:c>
      <x:c r="B105" s="5"/>
      <x:c r="C105" s="5" t="str">
        <x:v>112-39-0</x:v>
      </x:c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 t="n">
        <x:v>79</x:v>
      </x:c>
      <x:c r="O105" s="5" t="n">
        <x:v>270</x:v>
      </x:c>
      <x:c r="P105" s="5" t="n">
        <x:v>315</x:v>
      </x:c>
      <x:c r="Q105" s="5" t="n">
        <x:v>246</x:v>
      </x:c>
      <x:c r="R105" s="5" t="n">
        <x:v>232</x:v>
      </x:c>
      <x:c r="S105" s="5" t="n">
        <x:v>281</x:v>
      </x:c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  <x:c r="BA105" s="5"/>
      <x:c r="BB105" s="5"/>
      <x:c r="BC105" s="5"/>
      <x:c r="BD105" s="5"/>
      <x:c r="BE105" s="5"/>
      <x:c r="BF105" s="5"/>
      <x:c r="BG105" s="5"/>
      <x:c r="BH105" s="5"/>
      <x:c r="BI105" s="5"/>
      <x:c r="BJ105" s="5"/>
      <x:c r="BK105" s="5"/>
      <x:c r="BL105" s="5"/>
      <x:c r="BM105" s="5"/>
      <x:c r="BN105" s="5"/>
      <x:c r="BO105" s="5"/>
      <x:c r="BP105" s="5"/>
      <x:c r="BQ105" s="5"/>
      <x:c r="BR105" s="5"/>
      <x:c r="BS105" s="5"/>
      <x:c r="BT105" s="5"/>
      <x:c r="BU105" s="5"/>
      <x:c r="BV105" s="5"/>
      <x:c r="BW105" s="5"/>
      <x:c r="BX105" s="5"/>
      <x:c r="BY105" s="5"/>
      <x:c r="BZ105" s="5"/>
      <x:c r="CA105" s="5"/>
      <x:c r="CB105" s="5"/>
      <x:c r="CC105" s="5"/>
      <x:c r="CD105" s="5"/>
      <x:c r="CE105" s="5"/>
      <x:c r="CF105" s="5"/>
      <x:c r="CG105" s="5"/>
      <x:c r="CH105" s="5"/>
      <x:c r="CI105" s="5"/>
      <x:c r="CJ105" s="5"/>
      <x:c r="CK105" s="5"/>
      <x:c r="CL105" s="5"/>
      <x:c r="CM105" s="5"/>
      <x:c r="CN105" s="5"/>
      <x:c r="CO105" s="5"/>
      <x:c r="CP105" s="5"/>
      <x:c r="CQ105" s="5"/>
      <x:c r="CR105" s="5"/>
      <x:c r="CS105" s="5"/>
      <x:c r="CT105" s="5"/>
      <x:c r="CU105" s="5"/>
      <x:c r="CV105" s="5"/>
      <x:c r="CW105" s="5"/>
      <x:c r="CX105" s="5"/>
      <x:c r="CY105" s="5"/>
      <x:c r="CZ105" s="5"/>
      <x:c r="DA105" s="5"/>
      <x:c r="DB105" s="5"/>
      <x:c r="DC105" s="5"/>
      <x:c r="DD105" s="5"/>
      <x:c r="DE105" s="5"/>
      <x:c r="DF105" s="5"/>
      <x:c r="DG105" s="5"/>
      <x:c r="DH105" s="5"/>
      <x:c r="DI105" s="5"/>
      <x:c r="DJ105" s="5"/>
      <x:c r="DK105" s="5"/>
      <x:c r="DL105" s="5"/>
      <x:c r="DM105" s="5"/>
    </x:row>
    <x:row r="106">
      <x:c r="A106" s="5" t="n">
        <x:v>101</x:v>
      </x:c>
      <x:c r="B106" s="5"/>
      <x:c r="C106" s="5" t="str">
        <x:v>112-54-8</x:v>
      </x:c>
      <x:c r="D106" s="5"/>
      <x:c r="E106" s="5"/>
      <x:c r="F106" s="5"/>
      <x:c r="G106" s="5"/>
      <x:c r="H106" s="5"/>
      <x:c r="I106" s="5"/>
      <x:c r="J106" s="5"/>
      <x:c r="K106" s="5" t="n">
        <x:v>0.22</x:v>
      </x:c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  <x:c r="BA106" s="5"/>
      <x:c r="BB106" s="5"/>
      <x:c r="BC106" s="5"/>
      <x:c r="BD106" s="5"/>
      <x:c r="BE106" s="5"/>
      <x:c r="BF106" s="5"/>
      <x:c r="BG106" s="5"/>
      <x:c r="BH106" s="5"/>
      <x:c r="BI106" s="5"/>
      <x:c r="BJ106" s="5"/>
      <x:c r="BK106" s="5"/>
      <x:c r="BL106" s="5"/>
      <x:c r="BM106" s="5"/>
      <x:c r="BN106" s="5"/>
      <x:c r="BO106" s="5"/>
      <x:c r="BP106" s="5"/>
      <x:c r="BQ106" s="5"/>
      <x:c r="BR106" s="5"/>
      <x:c r="BS106" s="5"/>
      <x:c r="BT106" s="5"/>
      <x:c r="BU106" s="5"/>
      <x:c r="BV106" s="5"/>
      <x:c r="BW106" s="5"/>
      <x:c r="BX106" s="5"/>
      <x:c r="BY106" s="5"/>
      <x:c r="BZ106" s="5"/>
      <x:c r="CA106" s="5"/>
      <x:c r="CB106" s="5"/>
      <x:c r="CC106" s="5"/>
      <x:c r="CD106" s="5"/>
      <x:c r="CE106" s="5"/>
      <x:c r="CF106" s="5"/>
      <x:c r="CG106" s="5"/>
      <x:c r="CH106" s="5"/>
      <x:c r="CI106" s="5"/>
      <x:c r="CJ106" s="5"/>
      <x:c r="CK106" s="5"/>
      <x:c r="CL106" s="5"/>
      <x:c r="CM106" s="5"/>
      <x:c r="CN106" s="5"/>
      <x:c r="CO106" s="5"/>
      <x:c r="CP106" s="5"/>
      <x:c r="CQ106" s="5"/>
      <x:c r="CR106" s="5"/>
      <x:c r="CS106" s="5"/>
      <x:c r="CT106" s="5"/>
      <x:c r="CU106" s="5"/>
      <x:c r="CV106" s="5"/>
      <x:c r="CW106" s="5"/>
      <x:c r="CX106" s="5"/>
      <x:c r="CY106" s="5"/>
      <x:c r="CZ106" s="5"/>
      <x:c r="DA106" s="5"/>
      <x:c r="DB106" s="5"/>
      <x:c r="DC106" s="5"/>
      <x:c r="DD106" s="5"/>
      <x:c r="DE106" s="5"/>
      <x:c r="DF106" s="5"/>
      <x:c r="DG106" s="5"/>
      <x:c r="DH106" s="5"/>
      <x:c r="DI106" s="5"/>
      <x:c r="DJ106" s="5"/>
      <x:c r="DK106" s="5"/>
      <x:c r="DL106" s="5"/>
      <x:c r="DM106" s="5"/>
    </x:row>
    <x:row r="107">
      <x:c r="A107" s="5" t="n">
        <x:v>102</x:v>
      </x:c>
      <x:c r="B107" s="5"/>
      <x:c r="C107" s="5" t="str">
        <x:v>112-54-9</x:v>
      </x:c>
      <x:c r="D107" s="5"/>
      <x:c r="E107" s="5"/>
      <x:c r="F107" s="5"/>
      <x:c r="G107" s="5"/>
      <x:c r="H107" s="5"/>
      <x:c r="I107" s="5"/>
      <x:c r="J107" s="5"/>
      <x:c r="K107" s="5" t="n">
        <x:v>0.25</x:v>
      </x:c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5"/>
      <x:c r="BC107" s="5"/>
      <x:c r="BD107" s="5"/>
      <x:c r="BE107" s="5"/>
      <x:c r="BF107" s="5"/>
      <x:c r="BG107" s="5"/>
      <x:c r="BH107" s="5"/>
      <x:c r="BI107" s="5"/>
      <x:c r="BJ107" s="5"/>
      <x:c r="BK107" s="5"/>
      <x:c r="BL107" s="5"/>
      <x:c r="BM107" s="5"/>
      <x:c r="BN107" s="5"/>
      <x:c r="BO107" s="5"/>
      <x:c r="BP107" s="5"/>
      <x:c r="BQ107" s="5"/>
      <x:c r="BR107" s="5"/>
      <x:c r="BS107" s="5"/>
      <x:c r="BT107" s="5"/>
      <x:c r="BU107" s="5"/>
      <x:c r="BV107" s="5"/>
      <x:c r="BW107" s="5"/>
      <x:c r="BX107" s="5"/>
      <x:c r="BY107" s="5"/>
      <x:c r="BZ107" s="5"/>
      <x:c r="CA107" s="5"/>
      <x:c r="CB107" s="5"/>
      <x:c r="CC107" s="5"/>
      <x:c r="CD107" s="5"/>
      <x:c r="CE107" s="5"/>
      <x:c r="CF107" s="5"/>
      <x:c r="CG107" s="5"/>
      <x:c r="CH107" s="5"/>
      <x:c r="CI107" s="5"/>
      <x:c r="CJ107" s="5"/>
      <x:c r="CK107" s="5"/>
      <x:c r="CL107" s="5"/>
      <x:c r="CM107" s="5"/>
      <x:c r="CN107" s="5"/>
      <x:c r="CO107" s="5"/>
      <x:c r="CP107" s="5"/>
      <x:c r="CQ107" s="5"/>
      <x:c r="CR107" s="5"/>
      <x:c r="CS107" s="5"/>
      <x:c r="CT107" s="5"/>
      <x:c r="CU107" s="5"/>
      <x:c r="CV107" s="5"/>
      <x:c r="CW107" s="5"/>
      <x:c r="CX107" s="5"/>
      <x:c r="CY107" s="5"/>
      <x:c r="CZ107" s="5"/>
      <x:c r="DA107" s="5"/>
      <x:c r="DB107" s="5"/>
      <x:c r="DC107" s="5"/>
      <x:c r="DD107" s="5"/>
      <x:c r="DE107" s="5"/>
      <x:c r="DF107" s="5"/>
      <x:c r="DG107" s="5"/>
      <x:c r="DH107" s="5"/>
      <x:c r="DI107" s="5"/>
      <x:c r="DJ107" s="5"/>
      <x:c r="DK107" s="5"/>
      <x:c r="DL107" s="5"/>
      <x:c r="DM107" s="5"/>
    </x:row>
    <x:row r="108">
      <x:c r="A108" s="5" t="n">
        <x:v>103</x:v>
      </x:c>
      <x:c r="B108" s="5" t="str">
        <x:v>苯甲酸异丁酯</x:v>
      </x:c>
      <x:c r="C108" s="5" t="str">
        <x:v>120-50-3</x:v>
      </x:c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 t="n">
        <x:v>37</x:v>
      </x:c>
      <x:c r="BA108" s="5" t="n">
        <x:v>69</x:v>
      </x:c>
      <x:c r="BB108" s="5"/>
      <x:c r="BC108" s="5"/>
      <x:c r="BD108" s="5"/>
      <x:c r="BE108" s="5"/>
      <x:c r="BF108" s="5"/>
      <x:c r="BG108" s="5"/>
      <x:c r="BH108" s="5"/>
      <x:c r="BI108" s="5"/>
      <x:c r="BJ108" s="5"/>
      <x:c r="BK108" s="5"/>
      <x:c r="BL108" s="5"/>
      <x:c r="BM108" s="5"/>
      <x:c r="BN108" s="5"/>
      <x:c r="BO108" s="5"/>
      <x:c r="BP108" s="5"/>
      <x:c r="BQ108" s="5"/>
      <x:c r="BR108" s="5"/>
      <x:c r="BS108" s="5"/>
      <x:c r="BT108" s="5"/>
      <x:c r="BU108" s="5"/>
      <x:c r="BV108" s="5"/>
      <x:c r="BW108" s="5"/>
      <x:c r="BX108" s="5"/>
      <x:c r="BY108" s="5"/>
      <x:c r="BZ108" s="5"/>
      <x:c r="CA108" s="5"/>
      <x:c r="CB108" s="5"/>
      <x:c r="CC108" s="5"/>
      <x:c r="CD108" s="5"/>
      <x:c r="CE108" s="5"/>
      <x:c r="CF108" s="5"/>
      <x:c r="CG108" s="5"/>
      <x:c r="CH108" s="5"/>
      <x:c r="CI108" s="5"/>
      <x:c r="CJ108" s="5"/>
      <x:c r="CK108" s="5"/>
      <x:c r="CL108" s="5"/>
      <x:c r="CM108" s="5"/>
      <x:c r="CN108" s="5"/>
      <x:c r="CO108" s="5"/>
      <x:c r="CP108" s="5"/>
      <x:c r="CQ108" s="5"/>
      <x:c r="CR108" s="5"/>
      <x:c r="CS108" s="5"/>
      <x:c r="CT108" s="5"/>
      <x:c r="CU108" s="5"/>
      <x:c r="CV108" s="5"/>
      <x:c r="CW108" s="5"/>
      <x:c r="CX108" s="5"/>
      <x:c r="CY108" s="5"/>
      <x:c r="CZ108" s="5"/>
      <x:c r="DA108" s="5"/>
      <x:c r="DB108" s="5"/>
      <x:c r="DC108" s="5"/>
      <x:c r="DD108" s="5"/>
      <x:c r="DE108" s="5"/>
      <x:c r="DF108" s="5"/>
      <x:c r="DG108" s="5"/>
      <x:c r="DH108" s="5"/>
      <x:c r="DI108" s="5"/>
      <x:c r="DJ108" s="5"/>
      <x:c r="DK108" s="5"/>
      <x:c r="DL108" s="5"/>
      <x:c r="DM108" s="5"/>
    </x:row>
    <x:row r="109">
      <x:c r="A109" s="5" t="n">
        <x:v>104</x:v>
      </x:c>
      <x:c r="B109" s="5"/>
      <x:c r="C109" s="5" t="str">
        <x:v>121-33-5</x:v>
      </x:c>
      <x:c r="D109" s="5" t="n">
        <x:v>439</x:v>
      </x:c>
      <x:c r="E109" s="5" t="n">
        <x:v>11</x:v>
      </x:c>
      <x:c r="F109" s="5" t="n">
        <x:v>58</x:v>
      </x:c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 t="n">
        <x:v>1</x:v>
      </x:c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  <x:c r="BA109" s="5"/>
      <x:c r="BB109" s="5"/>
      <x:c r="BC109" s="5"/>
      <x:c r="BD109" s="5"/>
      <x:c r="BE109" s="5"/>
      <x:c r="BF109" s="5"/>
      <x:c r="BG109" s="5"/>
      <x:c r="BH109" s="5"/>
      <x:c r="BI109" s="5"/>
      <x:c r="BJ109" s="5"/>
      <x:c r="BK109" s="5"/>
      <x:c r="BL109" s="5"/>
      <x:c r="BM109" s="5"/>
      <x:c r="BN109" s="5"/>
      <x:c r="BO109" s="5"/>
      <x:c r="BP109" s="5"/>
      <x:c r="BQ109" s="5"/>
      <x:c r="BR109" s="5"/>
      <x:c r="BS109" s="5"/>
      <x:c r="BT109" s="5"/>
      <x:c r="BU109" s="5"/>
      <x:c r="BV109" s="5"/>
      <x:c r="BW109" s="5"/>
      <x:c r="BX109" s="5"/>
      <x:c r="BY109" s="5"/>
      <x:c r="BZ109" s="5"/>
      <x:c r="CA109" s="5"/>
      <x:c r="CB109" s="5"/>
      <x:c r="CC109" s="5"/>
      <x:c r="CD109" s="5"/>
      <x:c r="CE109" s="5"/>
      <x:c r="CF109" s="5"/>
      <x:c r="CG109" s="5"/>
      <x:c r="CH109" s="5"/>
      <x:c r="CI109" s="5"/>
      <x:c r="CJ109" s="5"/>
      <x:c r="CK109" s="5"/>
      <x:c r="CL109" s="5"/>
      <x:c r="CM109" s="5"/>
      <x:c r="CN109" s="5"/>
      <x:c r="CO109" s="5"/>
      <x:c r="CP109" s="5"/>
      <x:c r="CQ109" s="5"/>
      <x:c r="CR109" s="5"/>
      <x:c r="CS109" s="5"/>
      <x:c r="CT109" s="5"/>
      <x:c r="CU109" s="5"/>
      <x:c r="CV109" s="5"/>
      <x:c r="CW109" s="5"/>
      <x:c r="CX109" s="5"/>
      <x:c r="CY109" s="5"/>
      <x:c r="CZ109" s="5"/>
      <x:c r="DA109" s="5"/>
      <x:c r="DB109" s="5"/>
      <x:c r="DC109" s="5"/>
      <x:c r="DD109" s="5"/>
      <x:c r="DE109" s="5"/>
      <x:c r="DF109" s="5"/>
      <x:c r="DG109" s="5"/>
      <x:c r="DH109" s="5"/>
      <x:c r="DI109" s="5"/>
      <x:c r="DJ109" s="5"/>
      <x:c r="DK109" s="5"/>
      <x:c r="DL109" s="5"/>
      <x:c r="DM109" s="5"/>
    </x:row>
    <x:row r="110">
      <x:c r="A110" s="5" t="n">
        <x:v>105</x:v>
      </x:c>
      <x:c r="B110" s="5" t="str">
        <x:v>苯乙醛</x:v>
      </x:c>
      <x:c r="C110" s="5" t="str">
        <x:v>122-78-1</x:v>
      </x:c>
      <x:c r="D110" s="5" t="n">
        <x:v>262</x:v>
      </x:c>
      <x:c r="E110" s="5" t="n">
        <x:v>1498</x:v>
      </x:c>
      <x:c r="F110" s="5" t="n">
        <x:v>1903</x:v>
      </x:c>
      <x:c r="G110" s="5" t="n">
        <x:v>3.03</x:v>
      </x:c>
      <x:c r="H110" s="5" t="n">
        <x:v>8.16</x:v>
      </x:c>
      <x:c r="I110" s="5"/>
      <x:c r="J110" s="5"/>
      <x:c r="K110" s="5"/>
      <x:c r="L110" s="5" t="n">
        <x:v>1733</x:v>
      </x:c>
      <x:c r="M110" s="5" t="n">
        <x:v>1783</x:v>
      </x:c>
      <x:c r="N110" s="5"/>
      <x:c r="O110" s="5"/>
      <x:c r="P110" s="5"/>
      <x:c r="Q110" s="5"/>
      <x:c r="R110" s="5"/>
      <x:c r="S110" s="5"/>
      <x:c r="T110" s="5"/>
      <x:c r="U110" s="5"/>
      <x:c r="V110" s="5"/>
      <x:c r="W110" s="5" t="n">
        <x:v>1070</x:v>
      </x:c>
      <x:c r="X110" s="5"/>
      <x:c r="Y110" s="5" t="n">
        <x:v>548</x:v>
      </x:c>
      <x:c r="Z110" s="5"/>
      <x:c r="AA110" s="5"/>
      <x:c r="AB110" s="5"/>
      <x:c r="AC110" s="5"/>
      <x:c r="AD110" s="5"/>
      <x:c r="AE110" s="5" t="n">
        <x:v>4440</x:v>
      </x:c>
      <x:c r="AF110" s="5" t="n">
        <x:v>4840</x:v>
      </x:c>
      <x:c r="AG110" s="5" t="n">
        <x:v>15730</x:v>
      </x:c>
      <x:c r="AH110" s="5"/>
      <x:c r="AI110" s="5"/>
      <x:c r="AJ110" s="5"/>
      <x:c r="AK110" s="5" t="n">
        <x:v>5570</x:v>
      </x:c>
      <x:c r="AL110" s="5" t="n">
        <x:v>9760</x:v>
      </x:c>
      <x:c r="AM110" s="5"/>
      <x:c r="AN110" s="5"/>
      <x:c r="AO110" s="5"/>
      <x:c r="AP110" s="5"/>
      <x:c r="AQ110" s="5"/>
      <x:c r="AR110" s="5"/>
      <x:c r="AS110" s="5" t="n">
        <x:v>2.23</x:v>
      </x:c>
      <x:c r="AT110" s="5" t="n">
        <x:v>2.02</x:v>
      </x:c>
      <x:c r="AU110" s="5"/>
      <x:c r="AV110" s="5"/>
      <x:c r="AW110" s="5"/>
      <x:c r="AX110" s="5"/>
      <x:c r="AY110" s="5"/>
      <x:c r="AZ110" s="5"/>
      <x:c r="BA110" s="5" t="n">
        <x:v>1447</x:v>
      </x:c>
      <x:c r="BB110" s="5"/>
      <x:c r="BC110" s="5"/>
      <x:c r="BD110" s="5"/>
      <x:c r="BE110" s="5"/>
      <x:c r="BF110" s="5"/>
      <x:c r="BG110" s="5"/>
      <x:c r="BH110" s="5"/>
      <x:c r="BI110" s="5"/>
      <x:c r="BJ110" s="5"/>
      <x:c r="BK110" s="5"/>
      <x:c r="BL110" s="5"/>
      <x:c r="BM110" s="5"/>
      <x:c r="BN110" s="5"/>
      <x:c r="BO110" s="5"/>
      <x:c r="BP110" s="5"/>
      <x:c r="BQ110" s="5"/>
      <x:c r="BR110" s="5"/>
      <x:c r="BS110" s="5"/>
      <x:c r="BT110" s="5"/>
      <x:c r="BU110" s="5"/>
      <x:c r="BV110" s="5"/>
      <x:c r="BW110" s="5"/>
      <x:c r="BX110" s="5"/>
      <x:c r="BY110" s="5"/>
      <x:c r="BZ110" s="5" t="n">
        <x:v>100.77</x:v>
      </x:c>
      <x:c r="CA110" s="5" t="n">
        <x:v>95.78</x:v>
      </x:c>
      <x:c r="CB110" s="5" t="n">
        <x:v>0.05</x:v>
      </x:c>
      <x:c r="CC110" s="5"/>
      <x:c r="CD110" s="5"/>
      <x:c r="CE110" s="5" t="n">
        <x:v>0.61</x:v>
      </x:c>
      <x:c r="CF110" s="5" t="n">
        <x:v>0.95</x:v>
      </x:c>
      <x:c r="CG110" s="5" t="n">
        <x:v>1694.71</x:v>
      </x:c>
      <x:c r="CH110" s="5" t="n">
        <x:v>624.47</x:v>
      </x:c>
      <x:c r="CI110" s="5" t="n">
        <x:v>3.93</x:v>
      </x:c>
      <x:c r="CJ110" s="5" t="n">
        <x:v>1.81</x:v>
      </x:c>
      <x:c r="CK110" s="5" t="n">
        <x:v>1.48</x:v>
      </x:c>
      <x:c r="CL110" s="5" t="n">
        <x:v>1.09</x:v>
      </x:c>
      <x:c r="CM110" s="5" t="n">
        <x:v>1</x:v>
      </x:c>
      <x:c r="CN110" s="5"/>
      <x:c r="CO110" s="5"/>
      <x:c r="CP110" s="5"/>
      <x:c r="CQ110" s="5"/>
      <x:c r="CR110" s="5"/>
      <x:c r="CS110" s="5"/>
      <x:c r="CT110" s="5"/>
      <x:c r="CU110" s="5"/>
      <x:c r="CV110" s="5"/>
      <x:c r="CW110" s="5"/>
      <x:c r="CX110" s="5" t="n">
        <x:v>125.84</x:v>
      </x:c>
      <x:c r="CY110" s="5" t="n">
        <x:v>1861.2</x:v>
      </x:c>
      <x:c r="CZ110" s="5" t="n">
        <x:v>952.84</x:v>
      </x:c>
      <x:c r="DA110" s="5" t="n">
        <x:v>181.23</x:v>
      </x:c>
      <x:c r="DB110" s="5" t="n">
        <x:v>807.07</x:v>
      </x:c>
      <x:c r="DC110" s="5" t="n">
        <x:v>86.24</x:v>
      </x:c>
      <x:c r="DD110" s="5" t="n">
        <x:v>2076.28</x:v>
      </x:c>
      <x:c r="DE110" s="5" t="n">
        <x:v>192.48</x:v>
      </x:c>
      <x:c r="DF110" s="5" t="n">
        <x:v>4041.58</x:v>
      </x:c>
      <x:c r="DG110" s="5" t="n">
        <x:v>525.92</x:v>
      </x:c>
      <x:c r="DH110" s="5" t="n">
        <x:v>1174.4</x:v>
      </x:c>
      <x:c r="DI110" s="5" t="n">
        <x:v>395.87</x:v>
      </x:c>
      <x:c r="DJ110" s="5" t="n">
        <x:v>2178.92</x:v>
      </x:c>
      <x:c r="DK110" s="5" t="n">
        <x:v>298.18</x:v>
      </x:c>
      <x:c r="DL110" s="5" t="n">
        <x:v>3096.54</x:v>
      </x:c>
      <x:c r="DM110" s="5" t="n">
        <x:v>564.65</x:v>
      </x:c>
    </x:row>
    <x:row r="111">
      <x:c r="A111" s="5" t="n">
        <x:v>106</x:v>
      </x:c>
      <x:c r="B111" s="5" t="str">
        <x:v>4-乙基苯酚</x:v>
      </x:c>
      <x:c r="C111" s="5" t="str">
        <x:v>123-07-9</x:v>
      </x:c>
      <x:c r="D111" s="5" t="n">
        <x:v>123</x:v>
      </x:c>
      <x:c r="E111" s="5" t="n">
        <x:v>49</x:v>
      </x:c>
      <x:c r="F111" s="5" t="n">
        <x:v>11</x:v>
      </x:c>
      <x:c r="G111" s="5"/>
      <x:c r="H111" s="5" t="n">
        <x:v>0.26</x:v>
      </x:c>
      <x:c r="I111" s="5"/>
      <x:c r="J111" s="5" t="n">
        <x:v>0.36</x:v>
      </x:c>
      <x:c r="K111" s="5" t="n">
        <x:v>0.58</x:v>
      </x:c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 t="n">
        <x:v>1.625</x:v>
      </x:c>
      <x:c r="W111" s="5"/>
      <x:c r="X111" s="5"/>
      <x:c r="Y111" s="5"/>
      <x:c r="Z111" s="5"/>
      <x:c r="AA111" s="5"/>
      <x:c r="AB111" s="5"/>
      <x:c r="AC111" s="5"/>
      <x:c r="AD111" s="5"/>
      <x:c r="AE111" s="5" t="n">
        <x:v>1720</x:v>
      </x:c>
      <x:c r="AF111" s="5"/>
      <x:c r="AG111" s="5"/>
      <x:c r="AH111" s="5"/>
      <x:c r="AI111" s="5"/>
      <x:c r="AJ111" s="5"/>
      <x:c r="AK111" s="5" t="n">
        <x:v>650</x:v>
      </x:c>
      <x:c r="AL111" s="5" t="n">
        <x:v>850</x:v>
      </x:c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 t="n">
        <x:v>26</x:v>
      </x:c>
      <x:c r="BA111" s="5"/>
      <x:c r="BB111" s="5"/>
      <x:c r="BC111" s="5"/>
      <x:c r="BD111" s="5" t="n">
        <x:v>254.42</x:v>
      </x:c>
      <x:c r="BE111" s="5" t="n">
        <x:v>168.42</x:v>
      </x:c>
      <x:c r="BF111" s="5" t="n">
        <x:v>280.73</x:v>
      </x:c>
      <x:c r="BG111" s="5" t="n">
        <x:v>307.44</x:v>
      </x:c>
      <x:c r="BH111" s="5"/>
      <x:c r="BI111" s="5" t="n">
        <x:v>373.32</x:v>
      </x:c>
      <x:c r="BJ111" s="5"/>
      <x:c r="BK111" s="5" t="n">
        <x:v>1377</x:v>
      </x:c>
      <x:c r="BL111" s="5" t="n">
        <x:v>886.72</x:v>
      </x:c>
      <x:c r="BM111" s="5" t="n">
        <x:v>693.24</x:v>
      </x:c>
      <x:c r="BN111" s="5" t="n">
        <x:v>985.01</x:v>
      </x:c>
      <x:c r="BO111" s="5" t="n">
        <x:v>486.63</x:v>
      </x:c>
      <x:c r="BP111" s="5"/>
      <x:c r="BQ111" s="5"/>
      <x:c r="BR111" s="5"/>
      <x:c r="BS111" s="5"/>
      <x:c r="BT111" s="5"/>
      <x:c r="BU111" s="5"/>
      <x:c r="BV111" s="5"/>
      <x:c r="BW111" s="5"/>
      <x:c r="BX111" s="5"/>
      <x:c r="BY111" s="5"/>
      <x:c r="BZ111" s="5" t="n">
        <x:v>73.175</x:v>
      </x:c>
      <x:c r="CA111" s="5" t="n">
        <x:v>81.45</x:v>
      </x:c>
      <x:c r="CB111" s="5" t="n">
        <x:v>80.66</x:v>
      </x:c>
      <x:c r="CC111" s="5" t="n">
        <x:v>428.2</x:v>
      </x:c>
      <x:c r="CD111" s="5" t="n">
        <x:v>2501.24</x:v>
      </x:c>
      <x:c r="CE111" s="5" t="n">
        <x:v>796.48</x:v>
      </x:c>
      <x:c r="CF111" s="5" t="n">
        <x:v>298.9</x:v>
      </x:c>
      <x:c r="CG111" s="5" t="n">
        <x:v>38.05</x:v>
      </x:c>
      <x:c r="CH111" s="5" t="n">
        <x:v>22.28</x:v>
      </x:c>
      <x:c r="CI111" s="5" t="n">
        <x:v>147.27</x:v>
      </x:c>
      <x:c r="CJ111" s="5" t="n">
        <x:v>559.33</x:v>
      </x:c>
      <x:c r="CK111" s="5" t="n">
        <x:v>553.8</x:v>
      </x:c>
      <x:c r="CL111" s="5" t="n">
        <x:v>356.37</x:v>
      </x:c>
      <x:c r="CM111" s="5" t="n">
        <x:v>423.07</x:v>
      </x:c>
      <x:c r="CN111" s="5"/>
      <x:c r="CO111" s="5"/>
      <x:c r="CP111" s="5"/>
      <x:c r="CQ111" s="5"/>
      <x:c r="CR111" s="5" t="n">
        <x:v>55.02</x:v>
      </x:c>
      <x:c r="CS111" s="5" t="n">
        <x:v>24.28</x:v>
      </x:c>
      <x:c r="CT111" s="5"/>
      <x:c r="CU111" s="5"/>
      <x:c r="CV111" s="5"/>
      <x:c r="CW111" s="5"/>
      <x:c r="CX111" s="5" t="n">
        <x:v>12.17</x:v>
      </x:c>
      <x:c r="CY111" s="5" t="n">
        <x:v>26.18</x:v>
      </x:c>
      <x:c r="CZ111" s="5" t="n">
        <x:v>33.48</x:v>
      </x:c>
      <x:c r="DA111" s="5"/>
      <x:c r="DB111" s="5" t="n">
        <x:v>7.64</x:v>
      </x:c>
      <x:c r="DC111" s="5" t="n">
        <x:v>233.07</x:v>
      </x:c>
      <x:c r="DD111" s="5" t="n">
        <x:v>28.49</x:v>
      </x:c>
      <x:c r="DE111" s="5" t="n">
        <x:v>11.29</x:v>
      </x:c>
      <x:c r="DF111" s="5" t="n">
        <x:v>12.58</x:v>
      </x:c>
      <x:c r="DG111" s="5" t="n">
        <x:v>2.09</x:v>
      </x:c>
      <x:c r="DH111" s="5" t="n">
        <x:v>2.57</x:v>
      </x:c>
      <x:c r="DI111" s="5" t="n">
        <x:v>2.3</x:v>
      </x:c>
      <x:c r="DJ111" s="5" t="n">
        <x:v>3.44</x:v>
      </x:c>
      <x:c r="DK111" s="5" t="n">
        <x:v>0.66</x:v>
      </x:c>
      <x:c r="DL111" s="5" t="n">
        <x:v>12.51</x:v>
      </x:c>
      <x:c r="DM111" s="5" t="n">
        <x:v>2.85</x:v>
      </x:c>
    </x:row>
    <x:row r="112">
      <x:c r="A112" s="5" t="n">
        <x:v>107</x:v>
      </x:c>
      <x:c r="B112" s="5" t="str">
        <x:v>丁二酸二乙酯</x:v>
      </x:c>
      <x:c r="C112" s="5" t="str">
        <x:v>123-25-1</x:v>
      </x:c>
      <x:c r="D112" s="5" t="n">
        <x:v>353193</x:v>
      </x:c>
      <x:c r="E112" s="5" t="n">
        <x:v>1715</x:v>
      </x:c>
      <x:c r="F112" s="5" t="n">
        <x:v>1276</x:v>
      </x:c>
      <x:c r="G112" s="5"/>
      <x:c r="H112" s="5"/>
      <x:c r="I112" s="5"/>
      <x:c r="J112" s="5"/>
      <x:c r="K112" s="5"/>
      <x:c r="L112" s="5"/>
      <x:c r="M112" s="5"/>
      <x:c r="N112" s="5" t="n">
        <x:v>1593</x:v>
      </x:c>
      <x:c r="O112" s="5" t="n">
        <x:v>2337</x:v>
      </x:c>
      <x:c r="P112" s="5" t="n">
        <x:v>2677</x:v>
      </x:c>
      <x:c r="Q112" s="5" t="n">
        <x:v>2684</x:v>
      </x:c>
      <x:c r="R112" s="5" t="n">
        <x:v>2316</x:v>
      </x:c>
      <x:c r="S112" s="5" t="n">
        <x:v>2126</x:v>
      </x:c>
      <x:c r="T112" s="5"/>
      <x:c r="U112" s="5"/>
      <x:c r="V112" s="5" t="n">
        <x:v>1.625</x:v>
      </x:c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 t="n">
        <x:v>40</x:v>
      </x:c>
      <x:c r="AI112" s="5" t="n">
        <x:v>40</x:v>
      </x:c>
      <x:c r="AJ112" s="5" t="n">
        <x:v>70</x:v>
      </x:c>
      <x:c r="AK112" s="5" t="n">
        <x:v>7430</x:v>
      </x:c>
      <x:c r="AL112" s="5" t="n">
        <x:v>5040</x:v>
      </x:c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 t="n">
        <x:v>7900.5</x:v>
      </x:c>
      <x:c r="AW112" s="5" t="n">
        <x:v>1</x:v>
      </x:c>
      <x:c r="AX112" s="5" t="n">
        <x:v>0</x:v>
      </x:c>
      <x:c r="AY112" s="5" t="n">
        <x:v>0</x:v>
      </x:c>
      <x:c r="AZ112" s="5"/>
      <x:c r="BA112" s="5"/>
      <x:c r="BB112" s="5" t="n">
        <x:v>1747</x:v>
      </x:c>
      <x:c r="BC112" s="5" t="n">
        <x:v>1</x:v>
      </x:c>
      <x:c r="BD112" s="5" t="n">
        <x:v>4.36</x:v>
      </x:c>
      <x:c r="BE112" s="5" t="n">
        <x:v>5.305</x:v>
      </x:c>
      <x:c r="BF112" s="5" t="n">
        <x:v>5.18</x:v>
      </x:c>
      <x:c r="BG112" s="5" t="n">
        <x:v>3.34</x:v>
      </x:c>
      <x:c r="BH112" s="5" t="n">
        <x:v>7628</x:v>
      </x:c>
      <x:c r="BI112" s="5" t="n">
        <x:v>3.52</x:v>
      </x:c>
      <x:c r="BJ112" s="5" t="n">
        <x:v>1467</x:v>
      </x:c>
      <x:c r="BK112" s="5" t="n">
        <x:v>47.04</x:v>
      </x:c>
      <x:c r="BL112" s="5" t="n">
        <x:v>20.85</x:v>
      </x:c>
      <x:c r="BM112" s="5" t="n">
        <x:v>19.36</x:v>
      </x:c>
      <x:c r="BN112" s="5" t="n">
        <x:v>16.72</x:v>
      </x:c>
      <x:c r="BO112" s="5" t="n">
        <x:v>26.04</x:v>
      </x:c>
      <x:c r="BP112" s="5" t="n">
        <x:v>2219</x:v>
      </x:c>
      <x:c r="BQ112" s="5"/>
      <x:c r="BR112" s="5"/>
      <x:c r="BS112" s="5"/>
      <x:c r="BT112" s="5"/>
      <x:c r="BU112" s="5"/>
      <x:c r="BV112" s="5"/>
      <x:c r="BW112" s="5"/>
      <x:c r="BX112" s="5"/>
      <x:c r="BY112" s="5"/>
      <x:c r="BZ112" s="5" t="n">
        <x:v>102.635</x:v>
      </x:c>
      <x:c r="CA112" s="5" t="n">
        <x:v>70.025</x:v>
      </x:c>
      <x:c r="CB112" s="5" t="n">
        <x:v>240.17</x:v>
      </x:c>
      <x:c r="CC112" s="5" t="n">
        <x:v>361.7</x:v>
      </x:c>
      <x:c r="CD112" s="5" t="n">
        <x:v>339.83</x:v>
      </x:c>
      <x:c r="CE112" s="5" t="n">
        <x:v>323.04</x:v>
      </x:c>
      <x:c r="CF112" s="5" t="n">
        <x:v>250.37</x:v>
      </x:c>
      <x:c r="CG112" s="5" t="n">
        <x:v>145.11</x:v>
      </x:c>
      <x:c r="CH112" s="5" t="n">
        <x:v>115.67</x:v>
      </x:c>
      <x:c r="CI112" s="5" t="n">
        <x:v>390.47</x:v>
      </x:c>
      <x:c r="CJ112" s="5" t="n">
        <x:v>332.11</x:v>
      </x:c>
      <x:c r="CK112" s="5" t="n">
        <x:v>327.94</x:v>
      </x:c>
      <x:c r="CL112" s="5" t="n">
        <x:v>309.82</x:v>
      </x:c>
      <x:c r="CM112" s="5" t="n">
        <x:v>281.13</x:v>
      </x:c>
      <x:c r="CN112" s="5" t="n">
        <x:v>99</x:v>
      </x:c>
      <x:c r="CO112" s="5" t="n">
        <x:v>209</x:v>
      </x:c>
      <x:c r="CP112" s="5" t="n">
        <x:v>103</x:v>
      </x:c>
      <x:c r="CQ112" s="5" t="n">
        <x:v>128</x:v>
      </x:c>
      <x:c r="CR112" s="5" t="n">
        <x:v>990.09</x:v>
      </x:c>
      <x:c r="CS112" s="5" t="n">
        <x:v>963.06</x:v>
      </x:c>
      <x:c r="CT112" s="5"/>
      <x:c r="CU112" s="5"/>
      <x:c r="CV112" s="5"/>
      <x:c r="CW112" s="5"/>
      <x:c r="CX112" s="5" t="n">
        <x:v>5934.32</x:v>
      </x:c>
      <x:c r="CY112" s="5" t="n">
        <x:v>3415.76</x:v>
      </x:c>
      <x:c r="CZ112" s="5" t="n">
        <x:v>2716.48</x:v>
      </x:c>
      <x:c r="DA112" s="5" t="n">
        <x:v>995.44</x:v>
      </x:c>
      <x:c r="DB112" s="5" t="n">
        <x:v>2952.11</x:v>
      </x:c>
      <x:c r="DC112" s="5" t="n">
        <x:v>6015.32</x:v>
      </x:c>
      <x:c r="DD112" s="5" t="n">
        <x:v>9184.21</x:v>
      </x:c>
      <x:c r="DE112" s="5" t="n">
        <x:v>3518.79</x:v>
      </x:c>
      <x:c r="DF112" s="5" t="n">
        <x:v>787.62</x:v>
      </x:c>
      <x:c r="DG112" s="5" t="n">
        <x:v>3666.49</x:v>
      </x:c>
      <x:c r="DH112" s="5" t="n">
        <x:v>1171.35</x:v>
      </x:c>
      <x:c r="DI112" s="5" t="n">
        <x:v>2094.95</x:v>
      </x:c>
      <x:c r="DJ112" s="5" t="n">
        <x:v>872.08</x:v>
      </x:c>
      <x:c r="DK112" s="5" t="n">
        <x:v>3256.28</x:v>
      </x:c>
      <x:c r="DL112" s="5" t="n">
        <x:v>2852.32</x:v>
      </x:c>
      <x:c r="DM112" s="5" t="n">
        <x:v>9158.61</x:v>
      </x:c>
    </x:row>
    <x:row r="113">
      <x:c r="A113" s="5" t="n">
        <x:v>108</x:v>
      </x:c>
      <x:c r="B113" s="5" t="str">
        <x:v>壬酸乙酯</x:v>
      </x:c>
      <x:c r="C113" s="5" t="str">
        <x:v>123-29-5</x:v>
      </x:c>
      <x:c r="D113" s="5"/>
      <x:c r="E113" s="5"/>
      <x:c r="F113" s="5"/>
      <x:c r="G113" s="5"/>
      <x:c r="H113" s="5" t="n">
        <x:v>112.1</x:v>
      </x:c>
      <x:c r="I113" s="5" t="n">
        <x:v>6.56</x:v>
      </x:c>
      <x:c r="J113" s="5" t="n">
        <x:v>2.26</x:v>
      </x:c>
      <x:c r="K113" s="5" t="n">
        <x:v>1.34</x:v>
      </x:c>
      <x:c r="L113" s="5"/>
      <x:c r="M113" s="5"/>
      <x:c r="N113" s="5" t="n">
        <x:v>28989</x:v>
      </x:c>
      <x:c r="O113" s="5" t="n">
        <x:v>25755</x:v>
      </x:c>
      <x:c r="P113" s="5" t="n">
        <x:v>27996</x:v>
      </x:c>
      <x:c r="Q113" s="5" t="n">
        <x:v>19477</x:v>
      </x:c>
      <x:c r="R113" s="5" t="n">
        <x:v>25425</x:v>
      </x:c>
      <x:c r="S113" s="5" t="n">
        <x:v>21802</x:v>
      </x:c>
      <x:c r="T113" s="5" t="n">
        <x:v>0</x:v>
      </x:c>
      <x:c r="U113" s="5" t="n">
        <x:v>0</x:v>
      </x:c>
      <x:c r="V113" s="5"/>
      <x:c r="W113" s="5" t="n">
        <x:v>5730</x:v>
      </x:c>
      <x:c r="X113" s="5" t="n">
        <x:v>1940</x:v>
      </x:c>
      <x:c r="Y113" s="5" t="n">
        <x:v>4260</x:v>
      </x:c>
      <x:c r="Z113" s="5" t="n">
        <x:v>2570</x:v>
      </x:c>
      <x:c r="AA113" s="5" t="n">
        <x:v>7010</x:v>
      </x:c>
      <x:c r="AB113" s="5" t="n">
        <x:v>2390</x:v>
      </x:c>
      <x:c r="AC113" s="5" t="n">
        <x:v>5510</x:v>
      </x:c>
      <x:c r="AD113" s="5"/>
      <x:c r="AE113" s="5"/>
      <x:c r="AF113" s="5"/>
      <x:c r="AG113" s="5"/>
      <x:c r="AH113" s="5"/>
      <x:c r="AI113" s="5"/>
      <x:c r="AJ113" s="5"/>
      <x:c r="AK113" s="5" t="n">
        <x:v>1540</x:v>
      </x:c>
      <x:c r="AL113" s="5" t="n">
        <x:v>1610</x:v>
      </x:c>
      <x:c r="AM113" s="5" t="n">
        <x:v>2410</x:v>
      </x:c>
      <x:c r="AN113" s="5" t="n">
        <x:v>320</x:v>
      </x:c>
      <x:c r="AO113" s="5" t="n">
        <x:v>390</x:v>
      </x:c>
      <x:c r="AP113" s="5" t="n">
        <x:v>1590</x:v>
      </x:c>
      <x:c r="AQ113" s="5" t="n">
        <x:v>5.67</x:v>
      </x:c>
      <x:c r="AR113" s="5" t="n">
        <x:v>3.62</x:v>
      </x:c>
      <x:c r="AS113" s="5" t="n">
        <x:v>2.26</x:v>
      </x:c>
      <x:c r="AT113" s="5" t="n">
        <x:v>2.78</x:v>
      </x:c>
      <x:c r="AU113" s="5"/>
      <x:c r="AV113" s="5"/>
      <x:c r="AW113" s="5"/>
      <x:c r="AX113" s="5"/>
      <x:c r="AY113" s="5"/>
      <x:c r="AZ113" s="5"/>
      <x:c r="BA113" s="5"/>
      <x:c r="BB113" s="5" t="n">
        <x:v>547.12</x:v>
      </x:c>
      <x:c r="BC113" s="5" t="n">
        <x:v>1</x:v>
      </x:c>
      <x:c r="BD113" s="5" t="n">
        <x:v>491.62</x:v>
      </x:c>
      <x:c r="BE113" s="5" t="n">
        <x:v>618.5</x:v>
      </x:c>
      <x:c r="BF113" s="5" t="n">
        <x:v>480.15</x:v>
      </x:c>
      <x:c r="BG113" s="5" t="n">
        <x:v>262.61</x:v>
      </x:c>
      <x:c r="BH113" s="5" t="n">
        <x:v>2827</x:v>
      </x:c>
      <x:c r="BI113" s="5" t="n">
        <x:v>244.33</x:v>
      </x:c>
      <x:c r="BJ113" s="5" t="n">
        <x:v>684.02</x:v>
      </x:c>
      <x:c r="BK113" s="5" t="n">
        <x:v>2171.23</x:v>
      </x:c>
      <x:c r="BL113" s="5" t="n">
        <x:v>2336.99</x:v>
      </x:c>
      <x:c r="BM113" s="5" t="n">
        <x:v>3106.01</x:v>
      </x:c>
      <x:c r="BN113" s="5" t="n">
        <x:v>2927.11</x:v>
      </x:c>
      <x:c r="BO113" s="5" t="n">
        <x:v>2821.98</x:v>
      </x:c>
      <x:c r="BP113" s="5" t="n">
        <x:v>1223.89</x:v>
      </x:c>
      <x:c r="BQ113" s="5"/>
      <x:c r="BR113" s="5"/>
      <x:c r="BS113" s="5"/>
      <x:c r="BT113" s="5"/>
      <x:c r="BU113" s="5"/>
      <x:c r="BV113" s="5"/>
      <x:c r="BW113" s="5"/>
      <x:c r="BX113" s="5"/>
      <x:c r="BY113" s="5"/>
      <x:c r="BZ113" s="5" t="n">
        <x:v>575.345</x:v>
      </x:c>
      <x:c r="CA113" s="5" t="n">
        <x:v>512.39</x:v>
      </x:c>
      <x:c r="CB113" s="5" t="n">
        <x:v>1385.42</x:v>
      </x:c>
      <x:c r="CC113" s="5" t="n">
        <x:v>1568.36</x:v>
      </x:c>
      <x:c r="CD113" s="5" t="n">
        <x:v>2574.71</x:v>
      </x:c>
      <x:c r="CE113" s="5" t="n">
        <x:v>1496.32</x:v>
      </x:c>
      <x:c r="CF113" s="5" t="n">
        <x:v>1440.31</x:v>
      </x:c>
      <x:c r="CG113" s="5" t="n">
        <x:v>411.99</x:v>
      </x:c>
      <x:c r="CH113" s="5" t="n">
        <x:v>339.86</x:v>
      </x:c>
      <x:c r="CI113" s="5" t="n">
        <x:v>2156.1</x:v>
      </x:c>
      <x:c r="CJ113" s="5" t="n">
        <x:v>1654.87</x:v>
      </x:c>
      <x:c r="CK113" s="5" t="n">
        <x:v>2433.43</x:v>
      </x:c>
      <x:c r="CL113" s="5" t="n">
        <x:v>1493.18</x:v>
      </x:c>
      <x:c r="CM113" s="5"/>
      <x:c r="CN113" s="5" t="n">
        <x:v>569</x:v>
      </x:c>
      <x:c r="CO113" s="5" t="n">
        <x:v>1476</x:v>
      </x:c>
      <x:c r="CP113" s="5" t="n">
        <x:v>771</x:v>
      </x:c>
      <x:c r="CQ113" s="5" t="n">
        <x:v>875</x:v>
      </x:c>
      <x:c r="CR113" s="5" t="n">
        <x:v>168.05</x:v>
      </x:c>
      <x:c r="CS113" s="5" t="n">
        <x:v>327.82</x:v>
      </x:c>
      <x:c r="CT113" s="5" t="n">
        <x:v>98.37</x:v>
      </x:c>
      <x:c r="CU113" s="5" t="n">
        <x:v>73.77</x:v>
      </x:c>
      <x:c r="CV113" s="5" t="n">
        <x:v>113.02</x:v>
      </x:c>
      <x:c r="CW113" s="5" t="n">
        <x:v>84.59</x:v>
      </x:c>
      <x:c r="CX113" s="5" t="n">
        <x:v>1115.86</x:v>
      </x:c>
      <x:c r="CY113" s="5" t="n">
        <x:v>12982.1</x:v>
      </x:c>
      <x:c r="CZ113" s="5" t="n">
        <x:v>7855.67</x:v>
      </x:c>
      <x:c r="DA113" s="5" t="n">
        <x:v>5752.52</x:v>
      </x:c>
      <x:c r="DB113" s="5" t="n">
        <x:v>5794.88</x:v>
      </x:c>
      <x:c r="DC113" s="5" t="n">
        <x:v>2898.25</x:v>
      </x:c>
      <x:c r="DD113" s="5" t="n">
        <x:v>11579.37</x:v>
      </x:c>
      <x:c r="DE113" s="5" t="n">
        <x:v>1424.78</x:v>
      </x:c>
      <x:c r="DF113" s="5" t="n">
        <x:v>2805.47</x:v>
      </x:c>
      <x:c r="DG113" s="5" t="n">
        <x:v>7593.4</x:v>
      </x:c>
      <x:c r="DH113" s="5" t="n">
        <x:v>9928.89</x:v>
      </x:c>
      <x:c r="DI113" s="5" t="n">
        <x:v>2237.3</x:v>
      </x:c>
      <x:c r="DJ113" s="5" t="n">
        <x:v>3969.06</x:v>
      </x:c>
      <x:c r="DK113" s="5" t="n">
        <x:v>3681.54</x:v>
      </x:c>
      <x:c r="DL113" s="5" t="n">
        <x:v>35211.96</x:v>
      </x:c>
      <x:c r="DM113" s="5" t="n">
        <x:v>4426.63</x:v>
      </x:c>
    </x:row>
    <x:row r="114">
      <x:c r="A114" s="5" t="n">
        <x:v>109</x:v>
      </x:c>
      <x:c r="B114" s="5" t="str">
        <x:v>丙醛</x:v>
      </x:c>
      <x:c r="C114" s="5" t="str">
        <x:v>123-38-6</x:v>
      </x:c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 t="n">
        <x:v>830</x:v>
      </x:c>
      <x:c r="AI114" s="5" t="n">
        <x:v>1140</x:v>
      </x:c>
      <x:c r="AJ114" s="5" t="n">
        <x:v>2100</x:v>
      </x:c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  <x:c r="BA114" s="5"/>
      <x:c r="BB114" s="5"/>
      <x:c r="BC114" s="5"/>
      <x:c r="BD114" s="5"/>
      <x:c r="BE114" s="5"/>
      <x:c r="BF114" s="5"/>
      <x:c r="BG114" s="5"/>
      <x:c r="BH114" s="5"/>
      <x:c r="BI114" s="5"/>
      <x:c r="BJ114" s="5"/>
      <x:c r="BK114" s="5"/>
      <x:c r="BL114" s="5"/>
      <x:c r="BM114" s="5"/>
      <x:c r="BN114" s="5"/>
      <x:c r="BO114" s="5"/>
      <x:c r="BP114" s="5"/>
      <x:c r="BQ114" s="5"/>
      <x:c r="BR114" s="5"/>
      <x:c r="BS114" s="5"/>
      <x:c r="BT114" s="5"/>
      <x:c r="BU114" s="5"/>
      <x:c r="BV114" s="5"/>
      <x:c r="BW114" s="5"/>
      <x:c r="BX114" s="5"/>
      <x:c r="BY114" s="5"/>
      <x:c r="BZ114" s="5"/>
      <x:c r="CA114" s="5"/>
      <x:c r="CB114" s="5"/>
      <x:c r="CC114" s="5"/>
      <x:c r="CD114" s="5"/>
      <x:c r="CE114" s="5"/>
      <x:c r="CF114" s="5"/>
      <x:c r="CG114" s="5"/>
      <x:c r="CH114" s="5"/>
      <x:c r="CI114" s="5"/>
      <x:c r="CJ114" s="5"/>
      <x:c r="CK114" s="5"/>
      <x:c r="CL114" s="5"/>
      <x:c r="CM114" s="5"/>
      <x:c r="CN114" s="5"/>
      <x:c r="CO114" s="5"/>
      <x:c r="CP114" s="5"/>
      <x:c r="CQ114" s="5"/>
      <x:c r="CR114" s="5"/>
      <x:c r="CS114" s="5"/>
      <x:c r="CT114" s="5"/>
      <x:c r="CU114" s="5"/>
      <x:c r="CV114" s="5"/>
      <x:c r="CW114" s="5"/>
      <x:c r="CX114" s="5"/>
      <x:c r="CY114" s="5"/>
      <x:c r="CZ114" s="5"/>
      <x:c r="DA114" s="5"/>
      <x:c r="DB114" s="5"/>
      <x:c r="DC114" s="5"/>
      <x:c r="DD114" s="5"/>
      <x:c r="DE114" s="5"/>
      <x:c r="DF114" s="5"/>
      <x:c r="DG114" s="5"/>
      <x:c r="DH114" s="5"/>
      <x:c r="DI114" s="5"/>
      <x:c r="DJ114" s="5"/>
      <x:c r="DK114" s="5"/>
      <x:c r="DL114" s="5"/>
      <x:c r="DM114" s="5"/>
    </x:row>
    <x:row r="115">
      <x:c r="A115" s="5" t="n">
        <x:v>110</x:v>
      </x:c>
      <x:c r="B115" s="5" t="str">
        <x:v>3-甲基-1-丁醇（异戊醇）</x:v>
      </x:c>
      <x:c r="C115" s="5" t="str">
        <x:v>123-51-3</x:v>
      </x:c>
      <x:c r="D115" s="5" t="n">
        <x:v>179191</x:v>
      </x:c>
      <x:c r="E115" s="5" t="n">
        <x:v>142068</x:v>
      </x:c>
      <x:c r="F115" s="5" t="n">
        <x:v>84178</x:v>
      </x:c>
      <x:c r="G115" s="5" t="n">
        <x:v>3.73</x:v>
      </x:c>
      <x:c r="H115" s="5"/>
      <x:c r="I115" s="5" t="n">
        <x:v>0.59</x:v>
      </x:c>
      <x:c r="J115" s="5" t="n">
        <x:v>31.74</x:v>
      </x:c>
      <x:c r="K115" s="5" t="n">
        <x:v>34.52</x:v>
      </x:c>
      <x:c r="L115" s="5" t="n">
        <x:v>379229</x:v>
      </x:c>
      <x:c r="M115" s="5" t="n">
        <x:v>316720</x:v>
      </x:c>
      <x:c r="N115" s="5"/>
      <x:c r="O115" s="5"/>
      <x:c r="P115" s="5"/>
      <x:c r="Q115" s="5"/>
      <x:c r="R115" s="5"/>
      <x:c r="S115" s="5"/>
      <x:c r="T115" s="5" t="n">
        <x:v>2</x:v>
      </x:c>
      <x:c r="U115" s="5" t="n">
        <x:v>1</x:v>
      </x:c>
      <x:c r="V115" s="5"/>
      <x:c r="W115" s="5" t="n">
        <x:v>372000</x:v>
      </x:c>
      <x:c r="X115" s="5" t="n">
        <x:v>226000</x:v>
      </x:c>
      <x:c r="Y115" s="5" t="n">
        <x:v>196000</x:v>
      </x:c>
      <x:c r="Z115" s="5" t="n">
        <x:v>202000</x:v>
      </x:c>
      <x:c r="AA115" s="5" t="n">
        <x:v>188000</x:v>
      </x:c>
      <x:c r="AB115" s="5" t="n">
        <x:v>170000</x:v>
      </x:c>
      <x:c r="AC115" s="5" t="n">
        <x:v>118000</x:v>
      </x:c>
      <x:c r="AD115" s="5" t="n">
        <x:v>79100</x:v>
      </x:c>
      <x:c r="AE115" s="5" t="n">
        <x:v>301360</x:v>
      </x:c>
      <x:c r="AF115" s="5" t="n">
        <x:v>294960</x:v>
      </x:c>
      <x:c r="AG115" s="5" t="n">
        <x:v>70655</x:v>
      </x:c>
      <x:c r="AH115" s="5" t="n">
        <x:v>7930</x:v>
      </x:c>
      <x:c r="AI115" s="5" t="n">
        <x:v>29840</x:v>
      </x:c>
      <x:c r="AJ115" s="5" t="n">
        <x:v>18300</x:v>
      </x:c>
      <x:c r="AK115" s="5" t="n">
        <x:v>543310</x:v>
      </x:c>
      <x:c r="AL115" s="5" t="n">
        <x:v>1132450</x:v>
      </x:c>
      <x:c r="AM115" s="5"/>
      <x:c r="AN115" s="5"/>
      <x:c r="AO115" s="5"/>
      <x:c r="AP115" s="5"/>
      <x:c r="AQ115" s="5" t="n">
        <x:v>180.29</x:v>
      </x:c>
      <x:c r="AR115" s="5" t="n">
        <x:v>130.5</x:v>
      </x:c>
      <x:c r="AS115" s="5" t="n">
        <x:v>96.75</x:v>
      </x:c>
      <x:c r="AT115" s="5" t="n">
        <x:v>77.13</x:v>
      </x:c>
      <x:c r="AU115" s="5" t="n">
        <x:v>1710.45</x:v>
      </x:c>
      <x:c r="AV115" s="5" t="n">
        <x:v>29033.6667</x:v>
      </x:c>
      <x:c r="AW115" s="5" t="n">
        <x:v>1</x:v>
      </x:c>
      <x:c r="AX115" s="5" t="n">
        <x:v>61100.3333</x:v>
      </x:c>
      <x:c r="AY115" s="5" t="n">
        <x:v>90450</x:v>
      </x:c>
      <x:c r="AZ115" s="5"/>
      <x:c r="BA115" s="5"/>
      <x:c r="BB115" s="5" t="n">
        <x:v>193.12</x:v>
      </x:c>
      <x:c r="BC115" s="5"/>
      <x:c r="BD115" s="5" t="n">
        <x:v>245.12</x:v>
      </x:c>
      <x:c r="BE115" s="5" t="n">
        <x:v>278.12</x:v>
      </x:c>
      <x:c r="BF115" s="5" t="n">
        <x:v>242.89</x:v>
      </x:c>
      <x:c r="BG115" s="5" t="n">
        <x:v>181.43</x:v>
      </x:c>
      <x:c r="BH115" s="5" t="n">
        <x:v>230.51</x:v>
      </x:c>
      <x:c r="BI115" s="5" t="n">
        <x:v>169.23</x:v>
      </x:c>
      <x:c r="BJ115" s="5" t="n">
        <x:v>73.01</x:v>
      </x:c>
      <x:c r="BK115" s="5" t="n">
        <x:v>585.37</x:v>
      </x:c>
      <x:c r="BL115" s="5" t="n">
        <x:v>451.89</x:v>
      </x:c>
      <x:c r="BM115" s="5" t="n">
        <x:v>612.33</x:v>
      </x:c>
      <x:c r="BN115" s="5" t="n">
        <x:v>532.23</x:v>
      </x:c>
      <x:c r="BO115" s="5" t="n">
        <x:v>586.72</x:v>
      </x:c>
      <x:c r="BP115" s="5" t="n">
        <x:v>374.73</x:v>
      </x:c>
      <x:c r="BQ115" s="5" t="n">
        <x:v>705500</x:v>
      </x:c>
      <x:c r="BR115" s="5" t="n">
        <x:v>462000</x:v>
      </x:c>
      <x:c r="BS115" s="5" t="n">
        <x:v>378300</x:v>
      </x:c>
      <x:c r="BT115" s="5" t="n">
        <x:v>411600</x:v>
      </x:c>
      <x:c r="BU115" s="5" t="n">
        <x:v>217200</x:v>
      </x:c>
      <x:c r="BV115" s="5" t="n">
        <x:v>316900</x:v>
      </x:c>
      <x:c r="BW115" s="5" t="n">
        <x:v>169600</x:v>
      </x:c>
      <x:c r="BX115" s="5" t="n">
        <x:v>357500</x:v>
      </x:c>
      <x:c r="BY115" s="5" t="n">
        <x:v>165800</x:v>
      </x:c>
      <x:c r="BZ115" s="5" t="n">
        <x:v>142.23</x:v>
      </x:c>
      <x:c r="CA115" s="5" t="n">
        <x:v>132.53</x:v>
      </x:c>
      <x:c r="CB115" s="5" t="n">
        <x:v>265.37</x:v>
      </x:c>
      <x:c r="CC115" s="5" t="n">
        <x:v>133.32</x:v>
      </x:c>
      <x:c r="CD115" s="5" t="n">
        <x:v>305.57</x:v>
      </x:c>
      <x:c r="CE115" s="5" t="n">
        <x:v>256.65</x:v>
      </x:c>
      <x:c r="CF115" s="5" t="n">
        <x:v>292.03</x:v>
      </x:c>
      <x:c r="CG115" s="5" t="n">
        <x:v>104.05</x:v>
      </x:c>
      <x:c r="CH115" s="5" t="n">
        <x:v>123.51</x:v>
      </x:c>
      <x:c r="CI115" s="5" t="n">
        <x:v>280.56</x:v>
      </x:c>
      <x:c r="CJ115" s="5" t="n">
        <x:v>308.33</x:v>
      </x:c>
      <x:c r="CK115" s="5" t="n">
        <x:v>264</x:v>
      </x:c>
      <x:c r="CL115" s="5" t="n">
        <x:v>268.84</x:v>
      </x:c>
      <x:c r="CM115" s="5" t="n">
        <x:v>229.9</x:v>
      </x:c>
      <x:c r="CN115" s="5"/>
      <x:c r="CO115" s="5"/>
      <x:c r="CP115" s="5"/>
      <x:c r="CQ115" s="5"/>
      <x:c r="CR115" s="5" t="n">
        <x:v>144692</x:v>
      </x:c>
      <x:c r="CS115" s="5" t="n">
        <x:v>158011</x:v>
      </x:c>
      <x:c r="CT115" s="5" t="n">
        <x:v>1466.41</x:v>
      </x:c>
      <x:c r="CU115" s="5" t="n">
        <x:v>1075.24</x:v>
      </x:c>
      <x:c r="CV115" s="5" t="n">
        <x:v>1545.967</x:v>
      </x:c>
      <x:c r="CW115" s="5" t="n">
        <x:v>1693.07</x:v>
      </x:c>
      <x:c r="CX115" s="5" t="n">
        <x:v>77286.36</x:v>
      </x:c>
      <x:c r="CY115" s="5" t="n">
        <x:v>72516.37</x:v>
      </x:c>
      <x:c r="CZ115" s="5" t="n">
        <x:v>70460.39</x:v>
      </x:c>
      <x:c r="DA115" s="5" t="n">
        <x:v>6334.31</x:v>
      </x:c>
      <x:c r="DB115" s="5" t="n">
        <x:v>75556.69</x:v>
      </x:c>
      <x:c r="DC115" s="5" t="n">
        <x:v>54302.29</x:v>
      </x:c>
      <x:c r="DD115" s="5" t="n">
        <x:v>86930.8</x:v>
      </x:c>
      <x:c r="DE115" s="5" t="n">
        <x:v>70195.68</x:v>
      </x:c>
      <x:c r="DF115" s="5" t="n">
        <x:v>127468.24</x:v>
      </x:c>
      <x:c r="DG115" s="5" t="n">
        <x:v>51111.14</x:v>
      </x:c>
      <x:c r="DH115" s="5" t="n">
        <x:v>106538.92</x:v>
      </x:c>
      <x:c r="DI115" s="5" t="n">
        <x:v>78724.91</x:v>
      </x:c>
      <x:c r="DJ115" s="5" t="n">
        <x:v>96718.98</x:v>
      </x:c>
      <x:c r="DK115" s="5" t="n">
        <x:v>43622.21</x:v>
      </x:c>
      <x:c r="DL115" s="5" t="n">
        <x:v>156792.75</x:v>
      </x:c>
      <x:c r="DM115" s="5" t="n">
        <x:v>62236.9</x:v>
      </x:c>
    </x:row>
    <x:row r="116">
      <x:c r="A116" s="5" t="n">
        <x:v>111</x:v>
      </x:c>
      <x:c r="B116" s="5" t="str">
        <x:v>己酸乙酯</x:v>
      </x:c>
      <x:c r="C116" s="5" t="str">
        <x:v>123-66-0</x:v>
      </x:c>
      <x:c r="D116" s="5" t="n">
        <x:v>55.3</x:v>
      </x:c>
      <x:c r="E116" s="5" t="n">
        <x:v>1487026</x:v>
      </x:c>
      <x:c r="F116" s="5" t="n">
        <x:v>7606936</x:v>
      </x:c>
      <x:c r="G116" s="5" t="n">
        <x:v>5320.56</x:v>
      </x:c>
      <x:c r="H116" s="5" t="n">
        <x:v>972.62</x:v>
      </x:c>
      <x:c r="I116" s="5" t="n">
        <x:v>1104.58</x:v>
      </x:c>
      <x:c r="J116" s="5" t="n">
        <x:v>6009.12</x:v>
      </x:c>
      <x:c r="K116" s="5" t="n">
        <x:v>918.62</x:v>
      </x:c>
      <x:c r="L116" s="5" t="n">
        <x:v>873258</x:v>
      </x:c>
      <x:c r="M116" s="5" t="n">
        <x:v>738302</x:v>
      </x:c>
      <x:c r="N116" s="5" t="n">
        <x:v>1170524</x:v>
      </x:c>
      <x:c r="O116" s="5" t="n">
        <x:v>1264031</x:v>
      </x:c>
      <x:c r="P116" s="5" t="n">
        <x:v>1261510</x:v>
      </x:c>
      <x:c r="Q116" s="5" t="n">
        <x:v>1206133</x:v>
      </x:c>
      <x:c r="R116" s="5" t="n">
        <x:v>1251237</x:v>
      </x:c>
      <x:c r="S116" s="5" t="n">
        <x:v>1217046</x:v>
      </x:c>
      <x:c r="T116" s="5" t="n">
        <x:v>53306</x:v>
      </x:c>
      <x:c r="U116" s="5" t="n">
        <x:v>44759</x:v>
      </x:c>
      <x:c r="V116" s="5"/>
      <x:c r="W116" s="5" t="n">
        <x:v>2559000</x:v>
      </x:c>
      <x:c r="X116" s="5" t="n">
        <x:v>1157000</x:v>
      </x:c>
      <x:c r="Y116" s="5" t="n">
        <x:v>1092000</x:v>
      </x:c>
      <x:c r="Z116" s="5" t="n">
        <x:v>879000</x:v>
      </x:c>
      <x:c r="AA116" s="5" t="n">
        <x:v>861000</x:v>
      </x:c>
      <x:c r="AB116" s="5" t="n">
        <x:v>679000</x:v>
      </x:c>
      <x:c r="AC116" s="5" t="n">
        <x:v>714000</x:v>
      </x:c>
      <x:c r="AD116" s="5" t="n">
        <x:v>421000</x:v>
      </x:c>
      <x:c r="AE116" s="5" t="n">
        <x:v>4506040</x:v>
      </x:c>
      <x:c r="AF116" s="5" t="n">
        <x:v>1661120</x:v>
      </x:c>
      <x:c r="AG116" s="5" t="n">
        <x:v>9622120</x:v>
      </x:c>
      <x:c r="AH116" s="5" t="n">
        <x:v>139920</x:v>
      </x:c>
      <x:c r="AI116" s="5"/>
      <x:c r="AJ116" s="5"/>
      <x:c r="AK116" s="5" t="n">
        <x:v>1070730</x:v>
      </x:c>
      <x:c r="AL116" s="5" t="n">
        <x:v>1223340</x:v>
      </x:c>
      <x:c r="AM116" s="5" t="n">
        <x:v>237410</x:v>
      </x:c>
      <x:c r="AN116" s="5" t="n">
        <x:v>248870</x:v>
      </x:c>
      <x:c r="AO116" s="5" t="n">
        <x:v>217810</x:v>
      </x:c>
      <x:c r="AP116" s="5" t="n">
        <x:v>215340</x:v>
      </x:c>
      <x:c r="AQ116" s="5" t="n">
        <x:v>4429.18</x:v>
      </x:c>
      <x:c r="AR116" s="5" t="n">
        <x:v>2674.13</x:v>
      </x:c>
      <x:c r="AS116" s="5" t="n">
        <x:v>2841.03</x:v>
      </x:c>
      <x:c r="AT116" s="5" t="n">
        <x:v>3044.75</x:v>
      </x:c>
      <x:c r="AU116" s="5" t="n">
        <x:v>1716.59</x:v>
      </x:c>
      <x:c r="AV116" s="5" t="n">
        <x:v>310006.5</x:v>
      </x:c>
      <x:c r="AW116" s="5" t="n">
        <x:v>23501</x:v>
      </x:c>
      <x:c r="AX116" s="5" t="n">
        <x:v>663994</x:v>
      </x:c>
      <x:c r="AY116" s="5" t="n">
        <x:v>402800</x:v>
      </x:c>
      <x:c r="AZ116" s="5" t="n">
        <x:v>22570</x:v>
      </x:c>
      <x:c r="BA116" s="5" t="n">
        <x:v>24350</x:v>
      </x:c>
      <x:c r="BB116" s="5" t="n">
        <x:v>882.91</x:v>
      </x:c>
      <x:c r="BC116" s="5" t="n">
        <x:v>42320.5</x:v>
      </x:c>
      <x:c r="BD116" s="5" t="n">
        <x:v>1227</x:v>
      </x:c>
      <x:c r="BE116" s="5" t="n">
        <x:v>18502.435</x:v>
      </x:c>
      <x:c r="BF116" s="5" t="n">
        <x:v>12030.56</x:v>
      </x:c>
      <x:c r="BG116" s="5" t="n">
        <x:v>833.64</x:v>
      </x:c>
      <x:c r="BH116" s="5" t="n">
        <x:v>1242</x:v>
      </x:c>
      <x:c r="BI116" s="5" t="n">
        <x:v>932.76</x:v>
      </x:c>
      <x:c r="BJ116" s="5" t="n">
        <x:v>1387.89</x:v>
      </x:c>
      <x:c r="BK116" s="5" t="n">
        <x:v>3765.12</x:v>
      </x:c>
      <x:c r="BL116" s="5" t="n">
        <x:v>4876.22</x:v>
      </x:c>
      <x:c r="BM116" s="5" t="n">
        <x:v>3731.34</x:v>
      </x:c>
      <x:c r="BN116" s="5" t="n">
        <x:v>5290</x:v>
      </x:c>
      <x:c r="BO116" s="5" t="n">
        <x:v>5649.12</x:v>
      </x:c>
      <x:c r="BP116" s="5" t="n">
        <x:v>1591</x:v>
      </x:c>
      <x:c r="BQ116" s="5"/>
      <x:c r="BR116" s="5"/>
      <x:c r="BS116" s="5"/>
      <x:c r="BT116" s="5"/>
      <x:c r="BU116" s="5"/>
      <x:c r="BV116" s="5"/>
      <x:c r="BW116" s="5"/>
      <x:c r="BX116" s="5"/>
      <x:c r="BY116" s="5"/>
      <x:c r="BZ116" s="5" t="n">
        <x:v>43458.58</x:v>
      </x:c>
      <x:c r="CA116" s="5" t="n">
        <x:v>38153.7833</x:v>
      </x:c>
      <x:c r="CB116" s="5" t="n">
        <x:v>3062.4</x:v>
      </x:c>
      <x:c r="CC116" s="5" t="n">
        <x:v>2167.22</x:v>
      </x:c>
      <x:c r="CD116" s="5" t="n">
        <x:v>4487.77</x:v>
      </x:c>
      <x:c r="CE116" s="5" t="n">
        <x:v>3933.88</x:v>
      </x:c>
      <x:c r="CF116" s="5" t="n">
        <x:v>2893.43</x:v>
      </x:c>
      <x:c r="CG116" s="5" t="n">
        <x:v>2755.54</x:v>
      </x:c>
      <x:c r="CH116" s="5" t="n">
        <x:v>2264.64</x:v>
      </x:c>
      <x:c r="CI116" s="5" t="n">
        <x:v>6252.87</x:v>
      </x:c>
      <x:c r="CJ116" s="5" t="n">
        <x:v>9768.31</x:v>
      </x:c>
      <x:c r="CK116" s="5" t="n">
        <x:v>7100.35</x:v>
      </x:c>
      <x:c r="CL116" s="5" t="n">
        <x:v>3504.34</x:v>
      </x:c>
      <x:c r="CM116" s="5" t="n">
        <x:v>3762.84</x:v>
      </x:c>
      <x:c r="CN116" s="5" t="n">
        <x:v>1994140</x:v>
      </x:c>
      <x:c r="CO116" s="5" t="n">
        <x:v>2247632</x:v>
      </x:c>
      <x:c r="CP116" s="5" t="n">
        <x:v>1522349</x:v>
      </x:c>
      <x:c r="CQ116" s="5" t="n">
        <x:v>1650259</x:v>
      </x:c>
      <x:c r="CR116" s="5"/>
      <x:c r="CS116" s="5"/>
      <x:c r="CT116" s="5" t="n">
        <x:v>38457.74</x:v>
      </x:c>
      <x:c r="CU116" s="5" t="n">
        <x:v>24672.42</x:v>
      </x:c>
      <x:c r="CV116" s="5" t="n">
        <x:v>38680.71</x:v>
      </x:c>
      <x:c r="CW116" s="5" t="n">
        <x:v>35069.61</x:v>
      </x:c>
      <x:c r="CX116" s="5" t="n">
        <x:v>1267567.98</x:v>
      </x:c>
      <x:c r="CY116" s="5" t="n">
        <x:v>1574451.42</x:v>
      </x:c>
      <x:c r="CZ116" s="5" t="n">
        <x:v>1550172.11</x:v>
      </x:c>
      <x:c r="DA116" s="5" t="n">
        <x:v>1262054.68</x:v>
      </x:c>
      <x:c r="DB116" s="5" t="n">
        <x:v>1508633.18</x:v>
      </x:c>
      <x:c r="DC116" s="5" t="n">
        <x:v>1245618.62</x:v>
      </x:c>
      <x:c r="DD116" s="5" t="n">
        <x:v>1617237.25</x:v>
      </x:c>
      <x:c r="DE116" s="5" t="n">
        <x:v>1275952.74</x:v>
      </x:c>
      <x:c r="DF116" s="5" t="n">
        <x:v>1554592.27</x:v>
      </x:c>
      <x:c r="DG116" s="5" t="n">
        <x:v>1514600.27</x:v>
      </x:c>
      <x:c r="DH116" s="5" t="n">
        <x:v>1523605.62</x:v>
      </x:c>
      <x:c r="DI116" s="5" t="n">
        <x:v>1345945.06</x:v>
      </x:c>
      <x:c r="DJ116" s="5" t="n">
        <x:v>1533231.71</x:v>
      </x:c>
      <x:c r="DK116" s="5" t="n">
        <x:v>1316390.89</x:v>
      </x:c>
      <x:c r="DL116" s="5" t="n">
        <x:v>1690430.99</x:v>
      </x:c>
      <x:c r="DM116" s="5" t="n">
        <x:v>1413435.62</x:v>
      </x:c>
    </x:row>
    <x:row r="117">
      <x:c r="A117" s="5" t="n">
        <x:v>112</x:v>
      </x:c>
      <x:c r="B117" s="5" t="str">
        <x:v>己酸烯丙酯</x:v>
      </x:c>
      <x:c r="C117" s="5" t="str">
        <x:v>123-68-2</x:v>
      </x:c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 t="n">
        <x:v>77</x:v>
      </x:c>
      <x:c r="BA117" s="5"/>
      <x:c r="BB117" s="5"/>
      <x:c r="BC117" s="5"/>
      <x:c r="BD117" s="5"/>
      <x:c r="BE117" s="5"/>
      <x:c r="BF117" s="5"/>
      <x:c r="BG117" s="5"/>
      <x:c r="BH117" s="5"/>
      <x:c r="BI117" s="5"/>
      <x:c r="BJ117" s="5"/>
      <x:c r="BK117" s="5"/>
      <x:c r="BL117" s="5"/>
      <x:c r="BM117" s="5"/>
      <x:c r="BN117" s="5"/>
      <x:c r="BO117" s="5"/>
      <x:c r="BP117" s="5"/>
      <x:c r="BQ117" s="5"/>
      <x:c r="BR117" s="5"/>
      <x:c r="BS117" s="5"/>
      <x:c r="BT117" s="5"/>
      <x:c r="BU117" s="5"/>
      <x:c r="BV117" s="5"/>
      <x:c r="BW117" s="5"/>
      <x:c r="BX117" s="5"/>
      <x:c r="BY117" s="5"/>
      <x:c r="BZ117" s="5"/>
      <x:c r="CA117" s="5"/>
      <x:c r="CB117" s="5"/>
      <x:c r="CC117" s="5"/>
      <x:c r="CD117" s="5"/>
      <x:c r="CE117" s="5"/>
      <x:c r="CF117" s="5"/>
      <x:c r="CG117" s="5"/>
      <x:c r="CH117" s="5"/>
      <x:c r="CI117" s="5"/>
      <x:c r="CJ117" s="5"/>
      <x:c r="CK117" s="5"/>
      <x:c r="CL117" s="5"/>
      <x:c r="CM117" s="5"/>
      <x:c r="CN117" s="5"/>
      <x:c r="CO117" s="5"/>
      <x:c r="CP117" s="5"/>
      <x:c r="CQ117" s="5"/>
      <x:c r="CR117" s="5"/>
      <x:c r="CS117" s="5"/>
      <x:c r="CT117" s="5"/>
      <x:c r="CU117" s="5"/>
      <x:c r="CV117" s="5"/>
      <x:c r="CW117" s="5"/>
      <x:c r="CX117" s="5"/>
      <x:c r="CY117" s="5"/>
      <x:c r="CZ117" s="5"/>
      <x:c r="DA117" s="5"/>
      <x:c r="DB117" s="5"/>
      <x:c r="DC117" s="5"/>
      <x:c r="DD117" s="5"/>
      <x:c r="DE117" s="5"/>
      <x:c r="DF117" s="5"/>
      <x:c r="DG117" s="5"/>
      <x:c r="DH117" s="5"/>
      <x:c r="DI117" s="5"/>
      <x:c r="DJ117" s="5"/>
      <x:c r="DK117" s="5"/>
      <x:c r="DL117" s="5"/>
      <x:c r="DM117" s="5"/>
    </x:row>
    <x:row r="118">
      <x:c r="A118" s="5" t="n">
        <x:v>113</x:v>
      </x:c>
      <x:c r="B118" s="5" t="str">
        <x:v>丁醛</x:v>
      </x:c>
      <x:c r="C118" s="5" t="str">
        <x:v>123-72-8</x:v>
      </x:c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n">
        <x:v>157</x:v>
      </x:c>
      <x:c r="R118" s="5" t="n">
        <x:v>324</x:v>
      </x:c>
      <x:c r="S118" s="5" t="n">
        <x:v>363</x:v>
      </x:c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 t="n">
        <x:v>1</x:v>
      </x:c>
      <x:c r="BA118" s="5"/>
      <x:c r="BB118" s="5"/>
      <x:c r="BC118" s="5"/>
      <x:c r="BD118" s="5"/>
      <x:c r="BE118" s="5"/>
      <x:c r="BF118" s="5"/>
      <x:c r="BG118" s="5"/>
      <x:c r="BH118" s="5"/>
      <x:c r="BI118" s="5"/>
      <x:c r="BJ118" s="5"/>
      <x:c r="BK118" s="5"/>
      <x:c r="BL118" s="5"/>
      <x:c r="BM118" s="5"/>
      <x:c r="BN118" s="5"/>
      <x:c r="BO118" s="5"/>
      <x:c r="BP118" s="5"/>
      <x:c r="BQ118" s="5"/>
      <x:c r="BR118" s="5"/>
      <x:c r="BS118" s="5"/>
      <x:c r="BT118" s="5"/>
      <x:c r="BU118" s="5"/>
      <x:c r="BV118" s="5"/>
      <x:c r="BW118" s="5"/>
      <x:c r="BX118" s="5"/>
      <x:c r="BY118" s="5"/>
      <x:c r="BZ118" s="5"/>
      <x:c r="CA118" s="5"/>
      <x:c r="CB118" s="5"/>
      <x:c r="CC118" s="5"/>
      <x:c r="CD118" s="5"/>
      <x:c r="CE118" s="5"/>
      <x:c r="CF118" s="5"/>
      <x:c r="CG118" s="5"/>
      <x:c r="CH118" s="5"/>
      <x:c r="CI118" s="5"/>
      <x:c r="CJ118" s="5"/>
      <x:c r="CK118" s="5"/>
      <x:c r="CL118" s="5"/>
      <x:c r="CM118" s="5"/>
      <x:c r="CN118" s="5"/>
      <x:c r="CO118" s="5"/>
      <x:c r="CP118" s="5"/>
      <x:c r="CQ118" s="5"/>
      <x:c r="CR118" s="5"/>
      <x:c r="CS118" s="5"/>
      <x:c r="CT118" s="5"/>
      <x:c r="CU118" s="5"/>
      <x:c r="CV118" s="5"/>
      <x:c r="CW118" s="5"/>
      <x:c r="CX118" s="5"/>
      <x:c r="CY118" s="5"/>
      <x:c r="CZ118" s="5"/>
      <x:c r="DA118" s="5"/>
      <x:c r="DB118" s="5"/>
      <x:c r="DC118" s="5"/>
      <x:c r="DD118" s="5"/>
      <x:c r="DE118" s="5"/>
      <x:c r="DF118" s="5"/>
      <x:c r="DG118" s="5"/>
      <x:c r="DH118" s="5"/>
      <x:c r="DI118" s="5"/>
      <x:c r="DJ118" s="5"/>
      <x:c r="DK118" s="5"/>
      <x:c r="DL118" s="5"/>
      <x:c r="DM118" s="5"/>
    </x:row>
    <x:row r="119">
      <x:c r="A119" s="5" t="n">
        <x:v>114</x:v>
      </x:c>
      <x:c r="B119" s="5" t="str">
        <x:v>乙酸丁酯</x:v>
      </x:c>
      <x:c r="C119" s="5" t="str">
        <x:v>123-86-4</x:v>
      </x:c>
      <x:c r="D119" s="5" t="n">
        <x:v>1800</x:v>
      </x:c>
      <x:c r="E119" s="5"/>
      <x:c r="F119" s="5"/>
      <x:c r="G119" s="5"/>
      <x:c r="H119" s="5"/>
      <x:c r="I119" s="5"/>
      <x:c r="J119" s="5"/>
      <x:c r="K119" s="5"/>
      <x:c r="L119" s="5" t="n">
        <x:v>4971</x:v>
      </x:c>
      <x:c r="M119" s="5" t="n">
        <x:v>4316</x:v>
      </x:c>
      <x:c r="N119" s="5"/>
      <x:c r="O119" s="5"/>
      <x:c r="P119" s="5"/>
      <x:c r="Q119" s="5"/>
      <x:c r="R119" s="5"/>
      <x:c r="S119" s="5"/>
      <x:c r="T119" s="5"/>
      <x:c r="U119" s="5"/>
      <x:c r="V119" s="5"/>
      <x:c r="W119" s="5" t="n">
        <x:v>47100</x:v>
      </x:c>
      <x:c r="X119" s="5" t="n">
        <x:v>6420</x:v>
      </x:c>
      <x:c r="Y119" s="5" t="n">
        <x:v>4170</x:v>
      </x:c>
      <x:c r="Z119" s="5" t="n">
        <x:v>2920</x:v>
      </x:c>
      <x:c r="AA119" s="5" t="n">
        <x:v>2070</x:v>
      </x:c>
      <x:c r="AB119" s="5" t="n">
        <x:v>1390</x:v>
      </x:c>
      <x:c r="AC119" s="5" t="n">
        <x:v>625</x:v>
      </x:c>
      <x:c r="AD119" s="5" t="n">
        <x:v>431</x:v>
      </x:c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 t="n">
        <x:v>1865</x:v>
      </x:c>
      <x:c r="BA119" s="5" t="n">
        <x:v>2623</x:v>
      </x:c>
      <x:c r="BB119" s="5"/>
      <x:c r="BC119" s="5"/>
      <x:c r="BD119" s="5"/>
      <x:c r="BE119" s="5"/>
      <x:c r="BF119" s="5"/>
      <x:c r="BG119" s="5"/>
      <x:c r="BH119" s="5"/>
      <x:c r="BI119" s="5"/>
      <x:c r="BJ119" s="5"/>
      <x:c r="BK119" s="5"/>
      <x:c r="BL119" s="5"/>
      <x:c r="BM119" s="5"/>
      <x:c r="BN119" s="5"/>
      <x:c r="BO119" s="5"/>
      <x:c r="BP119" s="5"/>
      <x:c r="BQ119" s="5"/>
      <x:c r="BR119" s="5"/>
      <x:c r="BS119" s="5"/>
      <x:c r="BT119" s="5"/>
      <x:c r="BU119" s="5"/>
      <x:c r="BV119" s="5"/>
      <x:c r="BW119" s="5"/>
      <x:c r="BX119" s="5"/>
      <x:c r="BY119" s="5"/>
      <x:c r="BZ119" s="5"/>
      <x:c r="CA119" s="5"/>
      <x:c r="CB119" s="5"/>
      <x:c r="CC119" s="5"/>
      <x:c r="CD119" s="5"/>
      <x:c r="CE119" s="5"/>
      <x:c r="CF119" s="5"/>
      <x:c r="CG119" s="5"/>
      <x:c r="CH119" s="5"/>
      <x:c r="CI119" s="5"/>
      <x:c r="CJ119" s="5"/>
      <x:c r="CK119" s="5"/>
      <x:c r="CL119" s="5"/>
      <x:c r="CM119" s="5"/>
      <x:c r="CN119" s="5"/>
      <x:c r="CO119" s="5"/>
      <x:c r="CP119" s="5"/>
      <x:c r="CQ119" s="5"/>
      <x:c r="CR119" s="5" t="n">
        <x:v>9.45</x:v>
      </x:c>
      <x:c r="CS119" s="5" t="n">
        <x:v>486.19</x:v>
      </x:c>
      <x:c r="CT119" s="5"/>
      <x:c r="CU119" s="5"/>
      <x:c r="CV119" s="5"/>
      <x:c r="CW119" s="5"/>
      <x:c r="CX119" s="5" t="n">
        <x:v>3193.61</x:v>
      </x:c>
      <x:c r="CY119" s="5" t="n">
        <x:v>6287.21</x:v>
      </x:c>
      <x:c r="CZ119" s="5" t="n">
        <x:v>3102.28</x:v>
      </x:c>
      <x:c r="DA119" s="5" t="n">
        <x:v>1855.77</x:v>
      </x:c>
      <x:c r="DB119" s="5" t="n">
        <x:v>7222.92</x:v>
      </x:c>
      <x:c r="DC119" s="5" t="n">
        <x:v>2057.76</x:v>
      </x:c>
      <x:c r="DD119" s="5" t="n">
        <x:v>5983.94</x:v>
      </x:c>
      <x:c r="DE119" s="5" t="n">
        <x:v>3756.86</x:v>
      </x:c>
      <x:c r="DF119" s="5" t="n">
        <x:v>3470.58</x:v>
      </x:c>
      <x:c r="DG119" s="5" t="n">
        <x:v>1893.52</x:v>
      </x:c>
      <x:c r="DH119" s="5" t="n">
        <x:v>4203.57</x:v>
      </x:c>
      <x:c r="DI119" s="5" t="n">
        <x:v>2005.74</x:v>
      </x:c>
      <x:c r="DJ119" s="5" t="n">
        <x:v>5487.18</x:v>
      </x:c>
      <x:c r="DK119" s="5" t="n">
        <x:v>2017.62</x:v>
      </x:c>
      <x:c r="DL119" s="5" t="n">
        <x:v>7707.87</x:v>
      </x:c>
      <x:c r="DM119" s="5" t="n">
        <x:v>3869.22</x:v>
      </x:c>
    </x:row>
    <x:row r="120">
      <x:c r="A120" s="5" t="n">
        <x:v>115</x:v>
      </x:c>
      <x:c r="B120" s="5" t="str">
        <x:v>乙酸异戊酯</x:v>
      </x:c>
      <x:c r="C120" s="5" t="str">
        <x:v>123-92-2</x:v>
      </x:c>
      <x:c r="D120" s="5" t="n">
        <x:v>93.9</x:v>
      </x:c>
      <x:c r="E120" s="5"/>
      <x:c r="F120" s="5"/>
      <x:c r="G120" s="5"/>
      <x:c r="H120" s="5" t="n">
        <x:v>5.9</x:v>
      </x:c>
      <x:c r="I120" s="5"/>
      <x:c r="J120" s="5" t="n">
        <x:v>2.27</x:v>
      </x:c>
      <x:c r="K120" s="5"/>
      <x:c r="L120" s="5" t="n">
        <x:v>2885</x:v>
      </x:c>
      <x:c r="M120" s="5" t="n">
        <x:v>2236</x:v>
      </x:c>
      <x:c r="N120" s="5" t="n">
        <x:v>3519</x:v>
      </x:c>
      <x:c r="O120" s="5" t="n">
        <x:v>5488</x:v>
      </x:c>
      <x:c r="P120" s="5" t="n">
        <x:v>6410</x:v>
      </x:c>
      <x:c r="Q120" s="5" t="n">
        <x:v>5322</x:v>
      </x:c>
      <x:c r="R120" s="5" t="n">
        <x:v>5084</x:v>
      </x:c>
      <x:c r="S120" s="5" t="n">
        <x:v>6516</x:v>
      </x:c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 t="n">
        <x:v>4280</x:v>
      </x:c>
      <x:c r="AI120" s="5" t="n">
        <x:v>4060</x:v>
      </x:c>
      <x:c r="AJ120" s="5" t="n">
        <x:v>4200</x:v>
      </x:c>
      <x:c r="AK120" s="5"/>
      <x:c r="AL120" s="5"/>
      <x:c r="AM120" s="5"/>
      <x:c r="AN120" s="5"/>
      <x:c r="AO120" s="5"/>
      <x:c r="AP120" s="5"/>
      <x:c r="AQ120" s="5" t="n">
        <x:v>17.4</x:v>
      </x:c>
      <x:c r="AR120" s="5" t="n">
        <x:v>7.78</x:v>
      </x:c>
      <x:c r="AS120" s="5" t="n">
        <x:v>3.6</x:v>
      </x:c>
      <x:c r="AT120" s="5" t="n">
        <x:v>5.42</x:v>
      </x:c>
      <x:c r="AU120" s="5"/>
      <x:c r="AV120" s="5"/>
      <x:c r="AW120" s="5"/>
      <x:c r="AX120" s="5"/>
      <x:c r="AY120" s="5"/>
      <x:c r="AZ120" s="5"/>
      <x:c r="BA120" s="5" t="n">
        <x:v>5463</x:v>
      </x:c>
      <x:c r="BB120" s="5"/>
      <x:c r="BC120" s="5"/>
      <x:c r="BD120" s="5"/>
      <x:c r="BE120" s="5"/>
      <x:c r="BF120" s="5"/>
      <x:c r="BG120" s="5"/>
      <x:c r="BH120" s="5"/>
      <x:c r="BI120" s="5"/>
      <x:c r="BJ120" s="5"/>
      <x:c r="BK120" s="5"/>
      <x:c r="BL120" s="5"/>
      <x:c r="BM120" s="5"/>
      <x:c r="BN120" s="5"/>
      <x:c r="BO120" s="5"/>
      <x:c r="BP120" s="5"/>
      <x:c r="BQ120" s="5"/>
      <x:c r="BR120" s="5"/>
      <x:c r="BS120" s="5"/>
      <x:c r="BT120" s="5"/>
      <x:c r="BU120" s="5"/>
      <x:c r="BV120" s="5"/>
      <x:c r="BW120" s="5"/>
      <x:c r="BX120" s="5"/>
      <x:c r="BY120" s="5"/>
      <x:c r="BZ120" s="5" t="n">
        <x:v>25.81</x:v>
      </x:c>
      <x:c r="CA120" s="5" t="n">
        <x:v>24.4267</x:v>
      </x:c>
      <x:c r="CB120" s="5" t="n">
        <x:v>1.9</x:v>
      </x:c>
      <x:c r="CC120" s="5" t="n">
        <x:v>1.68</x:v>
      </x:c>
      <x:c r="CD120" s="5" t="n">
        <x:v>3.38</x:v>
      </x:c>
      <x:c r="CE120" s="5" t="n">
        <x:v>2.39</x:v>
      </x:c>
      <x:c r="CF120" s="5" t="n">
        <x:v>7.09</x:v>
      </x:c>
      <x:c r="CG120" s="5" t="n">
        <x:v>2.12</x:v>
      </x:c>
      <x:c r="CH120" s="5" t="n">
        <x:v>1.44</x:v>
      </x:c>
      <x:c r="CI120" s="5" t="n">
        <x:v>3.88</x:v>
      </x:c>
      <x:c r="CJ120" s="5" t="n">
        <x:v>3.34</x:v>
      </x:c>
      <x:c r="CK120" s="5" t="n">
        <x:v>5.98</x:v>
      </x:c>
      <x:c r="CL120" s="5" t="n">
        <x:v>5.42</x:v>
      </x:c>
      <x:c r="CM120" s="5"/>
      <x:c r="CN120" s="5"/>
      <x:c r="CO120" s="5"/>
      <x:c r="CP120" s="5"/>
      <x:c r="CQ120" s="5"/>
      <x:c r="CR120" s="5"/>
      <x:c r="CS120" s="5"/>
      <x:c r="CT120" s="5"/>
      <x:c r="CU120" s="5"/>
      <x:c r="CV120" s="5" t="n">
        <x:v>99.88</x:v>
      </x:c>
      <x:c r="CW120" s="5"/>
      <x:c r="CX120" s="5" t="n">
        <x:v>1498.64</x:v>
      </x:c>
      <x:c r="CY120" s="5" t="n">
        <x:v>1654.22</x:v>
      </x:c>
      <x:c r="CZ120" s="5" t="n">
        <x:v>1264.74</x:v>
      </x:c>
      <x:c r="DA120" s="5" t="n">
        <x:v>937.81</x:v>
      </x:c>
      <x:c r="DB120" s="5" t="n">
        <x:v>465.53</x:v>
      </x:c>
      <x:c r="DC120" s="5" t="n">
        <x:v>258.77</x:v>
      </x:c>
      <x:c r="DD120" s="5" t="n">
        <x:v>3831.42</x:v>
      </x:c>
      <x:c r="DE120" s="5" t="n">
        <x:v>1743.95</x:v>
      </x:c>
      <x:c r="DF120" s="5" t="n">
        <x:v>373.25</x:v>
      </x:c>
      <x:c r="DG120" s="5" t="n">
        <x:v>3737.21</x:v>
      </x:c>
      <x:c r="DH120" s="5" t="n">
        <x:v>631.63</x:v>
      </x:c>
      <x:c r="DI120" s="5" t="n">
        <x:v>466.35</x:v>
      </x:c>
      <x:c r="DJ120" s="5" t="n">
        <x:v>420.8</x:v>
      </x:c>
      <x:c r="DK120" s="5" t="n">
        <x:v>373.01</x:v>
      </x:c>
      <x:c r="DL120" s="5" t="n">
        <x:v>1375.17</x:v>
      </x:c>
      <x:c r="DM120" s="5" t="n">
        <x:v>1089.8</x:v>
      </x:c>
    </x:row>
    <x:row r="121">
      <x:c r="A121" s="5" t="n">
        <x:v>116</x:v>
      </x:c>
      <x:c r="B121" s="5" t="str">
        <x:v>十四酸乙酯</x:v>
      </x:c>
      <x:c r="C121" s="5" t="str">
        <x:v>124-06-1</x:v>
      </x:c>
      <x:c r="D121" s="5" t="n">
        <x:v>33551</x:v>
      </x:c>
      <x:c r="E121" s="5" t="n">
        <x:v>300</x:v>
      </x:c>
      <x:c r="F121" s="5" t="n">
        <x:v>731</x:v>
      </x:c>
      <x:c r="G121" s="5" t="n">
        <x:v>7.1</x:v>
      </x:c>
      <x:c r="H121" s="5" t="n">
        <x:v>143.35</x:v>
      </x:c>
      <x:c r="I121" s="5" t="n">
        <x:v>3.35</x:v>
      </x:c>
      <x:c r="J121" s="5" t="n">
        <x:v>7.4</x:v>
      </x:c>
      <x:c r="K121" s="5" t="n">
        <x:v>0.9</x:v>
      </x:c>
      <x:c r="L121" s="5"/>
      <x:c r="M121" s="5"/>
      <x:c r="N121" s="5" t="n">
        <x:v>23994</x:v>
      </x:c>
      <x:c r="O121" s="5" t="n">
        <x:v>19178</x:v>
      </x:c>
      <x:c r="P121" s="5" t="n">
        <x:v>17115</x:v>
      </x:c>
      <x:c r="Q121" s="5" t="n">
        <x:v>14210</x:v>
      </x:c>
      <x:c r="R121" s="5" t="n">
        <x:v>15430</x:v>
      </x:c>
      <x:c r="S121" s="5" t="n">
        <x:v>13204</x:v>
      </x:c>
      <x:c r="T121" s="5"/>
      <x:c r="U121" s="5"/>
      <x:c r="V121" s="5" t="n">
        <x:v>1.9167</x:v>
      </x:c>
      <x:c r="W121" s="5"/>
      <x:c r="X121" s="5"/>
      <x:c r="Y121" s="5"/>
      <x:c r="Z121" s="5"/>
      <x:c r="AA121" s="5"/>
      <x:c r="AB121" s="5"/>
      <x:c r="AC121" s="5"/>
      <x:c r="AD121" s="5"/>
      <x:c r="AE121" s="5" t="n">
        <x:v>6950</x:v>
      </x:c>
      <x:c r="AF121" s="5"/>
      <x:c r="AG121" s="5" t="n">
        <x:v>600</x:v>
      </x:c>
      <x:c r="AH121" s="5" t="n">
        <x:v>10</x:v>
      </x:c>
      <x:c r="AI121" s="5" t="n">
        <x:v>2</x:v>
      </x:c>
      <x:c r="AJ121" s="5"/>
      <x:c r="AK121" s="5" t="n">
        <x:v>27390</x:v>
      </x:c>
      <x:c r="AL121" s="5" t="n">
        <x:v>5980</x:v>
      </x:c>
      <x:c r="AM121" s="5"/>
      <x:c r="AN121" s="5"/>
      <x:c r="AO121" s="5"/>
      <x:c r="AP121" s="5"/>
      <x:c r="AQ121" s="5"/>
      <x:c r="AR121" s="5"/>
      <x:c r="AS121" s="5"/>
      <x:c r="AT121" s="5"/>
      <x:c r="AU121" s="5" t="n">
        <x:v>11.23</x:v>
      </x:c>
      <x:c r="AV121" s="5"/>
      <x:c r="AW121" s="5"/>
      <x:c r="AX121" s="5"/>
      <x:c r="AY121" s="5"/>
      <x:c r="AZ121" s="5"/>
      <x:c r="BA121" s="5"/>
      <x:c r="BB121" s="5"/>
      <x:c r="BC121" s="5"/>
      <x:c r="BD121" s="5"/>
      <x:c r="BE121" s="5"/>
      <x:c r="BF121" s="5"/>
      <x:c r="BG121" s="5"/>
      <x:c r="BH121" s="5"/>
      <x:c r="BI121" s="5"/>
      <x:c r="BJ121" s="5"/>
      <x:c r="BK121" s="5"/>
      <x:c r="BL121" s="5"/>
      <x:c r="BM121" s="5"/>
      <x:c r="BN121" s="5"/>
      <x:c r="BO121" s="5"/>
      <x:c r="BP121" s="5"/>
      <x:c r="BQ121" s="5"/>
      <x:c r="BR121" s="5"/>
      <x:c r="BS121" s="5"/>
      <x:c r="BT121" s="5"/>
      <x:c r="BU121" s="5"/>
      <x:c r="BV121" s="5"/>
      <x:c r="BW121" s="5"/>
      <x:c r="BX121" s="5"/>
      <x:c r="BY121" s="5"/>
      <x:c r="BZ121" s="5"/>
      <x:c r="CA121" s="5"/>
      <x:c r="CB121" s="5"/>
      <x:c r="CC121" s="5"/>
      <x:c r="CD121" s="5"/>
      <x:c r="CE121" s="5"/>
      <x:c r="CF121" s="5"/>
      <x:c r="CG121" s="5"/>
      <x:c r="CH121" s="5"/>
      <x:c r="CI121" s="5"/>
      <x:c r="CJ121" s="5"/>
      <x:c r="CK121" s="5"/>
      <x:c r="CL121" s="5"/>
      <x:c r="CM121" s="5"/>
      <x:c r="CN121" s="5"/>
      <x:c r="CO121" s="5"/>
      <x:c r="CP121" s="5"/>
      <x:c r="CQ121" s="5"/>
      <x:c r="CR121" s="5"/>
      <x:c r="CS121" s="5"/>
      <x:c r="CT121" s="5" t="n">
        <x:v>659.46</x:v>
      </x:c>
      <x:c r="CU121" s="5" t="n">
        <x:v>751.73</x:v>
      </x:c>
      <x:c r="CV121" s="5" t="n">
        <x:v>551.01</x:v>
      </x:c>
      <x:c r="CW121" s="5" t="n">
        <x:v>485.37</x:v>
      </x:c>
      <x:c r="CX121" s="5" t="n">
        <x:v>1376.9</x:v>
      </x:c>
      <x:c r="CY121" s="5"/>
      <x:c r="CZ121" s="5" t="n">
        <x:v>1311.84</x:v>
      </x:c>
      <x:c r="DA121" s="5" t="n">
        <x:v>1526.5</x:v>
      </x:c>
      <x:c r="DB121" s="5" t="n">
        <x:v>1405.04</x:v>
      </x:c>
      <x:c r="DC121" s="5" t="n">
        <x:v>1052.27</x:v>
      </x:c>
      <x:c r="DD121" s="5" t="n">
        <x:v>1401.64</x:v>
      </x:c>
      <x:c r="DE121" s="5" t="n">
        <x:v>1016.66</x:v>
      </x:c>
      <x:c r="DF121" s="5"/>
      <x:c r="DG121" s="5" t="n">
        <x:v>811.93</x:v>
      </x:c>
      <x:c r="DH121" s="5" t="n">
        <x:v>634.01</x:v>
      </x:c>
      <x:c r="DI121" s="5" t="n">
        <x:v>1087.75</x:v>
      </x:c>
      <x:c r="DJ121" s="5" t="n">
        <x:v>749.69</x:v>
      </x:c>
      <x:c r="DK121" s="5" t="n">
        <x:v>662.71</x:v>
      </x:c>
      <x:c r="DL121" s="5" t="n">
        <x:v>1282.87</x:v>
      </x:c>
      <x:c r="DM121" s="5" t="n">
        <x:v>1674.01</x:v>
      </x:c>
    </x:row>
    <x:row r="122">
      <x:c r="A122" s="5" t="n">
        <x:v>117</x:v>
      </x:c>
      <x:c r="B122" s="5" t="str">
        <x:v>辛酸</x:v>
      </x:c>
      <x:c r="C122" s="5" t="str">
        <x:v>124-07-2</x:v>
      </x:c>
      <x:c r="D122" s="5" t="n">
        <x:v>2700</x:v>
      </x:c>
      <x:c r="E122" s="5" t="n">
        <x:v>5535</x:v>
      </x:c>
      <x:c r="F122" s="5" t="n">
        <x:v>25675</x:v>
      </x:c>
      <x:c r="G122" s="5"/>
      <x:c r="H122" s="5" t="n">
        <x:v>114.61</x:v>
      </x:c>
      <x:c r="I122" s="5" t="n">
        <x:v>15</x:v>
      </x:c>
      <x:c r="J122" s="5" t="n">
        <x:v>22.7</x:v>
      </x:c>
      <x:c r="K122" s="5" t="n">
        <x:v>9.45</x:v>
      </x:c>
      <x:c r="L122" s="5"/>
      <x:c r="M122" s="5"/>
      <x:c r="N122" s="5" t="n">
        <x:v>7760</x:v>
      </x:c>
      <x:c r="O122" s="5" t="n">
        <x:v>14749</x:v>
      </x:c>
      <x:c r="P122" s="5" t="n">
        <x:v>27998</x:v>
      </x:c>
      <x:c r="Q122" s="5" t="n">
        <x:v>15258</x:v>
      </x:c>
      <x:c r="R122" s="5" t="n">
        <x:v>21191</x:v>
      </x:c>
      <x:c r="S122" s="5" t="n">
        <x:v>12086</x:v>
      </x:c>
      <x:c r="T122" s="5" t="n">
        <x:v>6</x:v>
      </x:c>
      <x:c r="U122" s="5" t="n">
        <x:v>2</x:v>
      </x:c>
      <x:c r="V122" s="5" t="n">
        <x:v>1.875</x:v>
      </x:c>
      <x:c r="W122" s="5"/>
      <x:c r="X122" s="5"/>
      <x:c r="Y122" s="5"/>
      <x:c r="Z122" s="5"/>
      <x:c r="AA122" s="5"/>
      <x:c r="AB122" s="5"/>
      <x:c r="AC122" s="5"/>
      <x:c r="AD122" s="5"/>
      <x:c r="AE122" s="5" t="n">
        <x:v>18900</x:v>
      </x:c>
      <x:c r="AF122" s="5" t="n">
        <x:v>20030</x:v>
      </x:c>
      <x:c r="AG122" s="5" t="n">
        <x:v>12840</x:v>
      </x:c>
      <x:c r="AH122" s="5"/>
      <x:c r="AI122" s="5"/>
      <x:c r="AJ122" s="5"/>
      <x:c r="AK122" s="5" t="n">
        <x:v>21120</x:v>
      </x:c>
      <x:c r="AL122" s="5" t="n">
        <x:v>20600</x:v>
      </x:c>
      <x:c r="AM122" s="5"/>
      <x:c r="AN122" s="5"/>
      <x:c r="AO122" s="5"/>
      <x:c r="AP122" s="5"/>
      <x:c r="AQ122" s="5" t="n">
        <x:v>6.96</x:v>
      </x:c>
      <x:c r="AR122" s="5" t="n">
        <x:v>8.61</x:v>
      </x:c>
      <x:c r="AS122" s="5" t="n">
        <x:v>8.43</x:v>
      </x:c>
      <x:c r="AT122" s="5" t="n">
        <x:v>7.97</x:v>
      </x:c>
      <x:c r="AU122" s="5" t="n">
        <x:v>8.96</x:v>
      </x:c>
      <x:c r="AV122" s="5" t="n">
        <x:v>0</x:v>
      </x:c>
      <x:c r="AW122" s="5"/>
      <x:c r="AX122" s="5" t="n">
        <x:v>8553</x:v>
      </x:c>
      <x:c r="AY122" s="5" t="n">
        <x:v>0</x:v>
      </x:c>
      <x:c r="AZ122" s="5" t="n">
        <x:v>5031</x:v>
      </x:c>
      <x:c r="BA122" s="5" t="n">
        <x:v>17651</x:v>
      </x:c>
      <x:c r="BB122" s="5"/>
      <x:c r="BC122" s="5"/>
      <x:c r="BD122" s="5" t="n">
        <x:v>23.92</x:v>
      </x:c>
      <x:c r="BE122" s="5" t="n">
        <x:v>34.14</x:v>
      </x:c>
      <x:c r="BF122" s="5" t="n">
        <x:v>31.34</x:v>
      </x:c>
      <x:c r="BG122" s="5" t="n">
        <x:v>22.83</x:v>
      </x:c>
      <x:c r="BH122" s="5"/>
      <x:c r="BI122" s="5" t="n">
        <x:v>22.4</x:v>
      </x:c>
      <x:c r="BJ122" s="5"/>
      <x:c r="BK122" s="5" t="n">
        <x:v>34.18</x:v>
      </x:c>
      <x:c r="BL122" s="5" t="n">
        <x:v>16.36</x:v>
      </x:c>
      <x:c r="BM122" s="5" t="n">
        <x:v>33.85</x:v>
      </x:c>
      <x:c r="BN122" s="5" t="n">
        <x:v>16</x:v>
      </x:c>
      <x:c r="BO122" s="5" t="n">
        <x:v>38.28</x:v>
      </x:c>
      <x:c r="BP122" s="5"/>
      <x:c r="BQ122" s="5" t="n">
        <x:v>6400</x:v>
      </x:c>
      <x:c r="BR122" s="5" t="n">
        <x:v>19900</x:v>
      </x:c>
      <x:c r="BS122" s="5" t="n">
        <x:v>8400</x:v>
      </x:c>
      <x:c r="BT122" s="5" t="n">
        <x:v>5100</x:v>
      </x:c>
      <x:c r="BU122" s="5" t="n">
        <x:v>11300</x:v>
      </x:c>
      <x:c r="BV122" s="5" t="n">
        <x:v>2500</x:v>
      </x:c>
      <x:c r="BW122" s="5" t="n">
        <x:v>20400</x:v>
      </x:c>
      <x:c r="BX122" s="5" t="n">
        <x:v>7200</x:v>
      </x:c>
      <x:c r="BY122" s="5" t="n">
        <x:v>20700</x:v>
      </x:c>
      <x:c r="BZ122" s="5" t="n">
        <x:v>4118.82</x:v>
      </x:c>
      <x:c r="CA122" s="5" t="n">
        <x:v>4362.79</x:v>
      </x:c>
      <x:c r="CB122" s="5" t="n">
        <x:v>10704.27</x:v>
      </x:c>
      <x:c r="CC122" s="5" t="n">
        <x:v>19137.22</x:v>
      </x:c>
      <x:c r="CD122" s="5" t="n">
        <x:v>23109.01</x:v>
      </x:c>
      <x:c r="CE122" s="5" t="n">
        <x:v>17052.25</x:v>
      </x:c>
      <x:c r="CF122" s="5" t="n">
        <x:v>14804.59</x:v>
      </x:c>
      <x:c r="CG122" s="5" t="n">
        <x:v>2038.39</x:v>
      </x:c>
      <x:c r="CH122" s="5" t="n">
        <x:v>2138.86</x:v>
      </x:c>
      <x:c r="CI122" s="5" t="n">
        <x:v>13331.4</x:v>
      </x:c>
      <x:c r="CJ122" s="5" t="n">
        <x:v>15555.47</x:v>
      </x:c>
      <x:c r="CK122" s="5" t="n">
        <x:v>20191.71</x:v>
      </x:c>
      <x:c r="CL122" s="5" t="n">
        <x:v>40201.1</x:v>
      </x:c>
      <x:c r="CM122" s="5" t="n">
        <x:v>20714.92</x:v>
      </x:c>
      <x:c r="CN122" s="5"/>
      <x:c r="CO122" s="5"/>
      <x:c r="CP122" s="5"/>
      <x:c r="CQ122" s="5"/>
      <x:c r="CR122" s="5"/>
      <x:c r="CS122" s="5"/>
      <x:c r="CT122" s="5"/>
      <x:c r="CU122" s="5"/>
      <x:c r="CV122" s="5"/>
      <x:c r="CW122" s="5"/>
      <x:c r="CX122" s="5" t="n">
        <x:v>15833.92</x:v>
      </x:c>
      <x:c r="CY122" s="5" t="n">
        <x:v>5694.39</x:v>
      </x:c>
      <x:c r="CZ122" s="5" t="n">
        <x:v>11395.8</x:v>
      </x:c>
      <x:c r="DA122" s="5" t="n">
        <x:v>12414.11</x:v>
      </x:c>
      <x:c r="DB122" s="5" t="n">
        <x:v>861.79</x:v>
      </x:c>
      <x:c r="DC122" s="5" t="n">
        <x:v>7465.18</x:v>
      </x:c>
      <x:c r="DD122" s="5" t="n">
        <x:v>22764.61</x:v>
      </x:c>
      <x:c r="DE122" s="5" t="n">
        <x:v>15829.76</x:v>
      </x:c>
      <x:c r="DF122" s="5" t="n">
        <x:v>9205.6</x:v>
      </x:c>
      <x:c r="DG122" s="5" t="n">
        <x:v>11470.47</x:v>
      </x:c>
      <x:c r="DH122" s="5" t="n">
        <x:v>9715.59</x:v>
      </x:c>
      <x:c r="DI122" s="5" t="n">
        <x:v>5347.2</x:v>
      </x:c>
      <x:c r="DJ122" s="5" t="n">
        <x:v>9256.83</x:v>
      </x:c>
      <x:c r="DK122" s="5" t="n">
        <x:v>7081.23</x:v>
      </x:c>
      <x:c r="DL122" s="5" t="n">
        <x:v>2195.41</x:v>
      </x:c>
      <x:c r="DM122" s="5" t="n">
        <x:v>813.16</x:v>
      </x:c>
    </x:row>
    <x:row r="123">
      <x:c r="A123" s="5" t="n">
        <x:v>118</x:v>
      </x:c>
      <x:c r="B123" s="5" t="str">
        <x:v>辛醛</x:v>
      </x:c>
      <x:c r="C123" s="5" t="str">
        <x:v>124-13-0</x:v>
      </x:c>
      <x:c r="D123" s="5" t="n">
        <x:v>39.6</x:v>
      </x:c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  <x:c r="BA123" s="5"/>
      <x:c r="BB123" s="5"/>
      <x:c r="BC123" s="5"/>
      <x:c r="BD123" s="5"/>
      <x:c r="BE123" s="5"/>
      <x:c r="BF123" s="5"/>
      <x:c r="BG123" s="5"/>
      <x:c r="BH123" s="5"/>
      <x:c r="BI123" s="5"/>
      <x:c r="BJ123" s="5"/>
      <x:c r="BK123" s="5"/>
      <x:c r="BL123" s="5"/>
      <x:c r="BM123" s="5"/>
      <x:c r="BN123" s="5"/>
      <x:c r="BO123" s="5"/>
      <x:c r="BP123" s="5"/>
      <x:c r="BQ123" s="5"/>
      <x:c r="BR123" s="5"/>
      <x:c r="BS123" s="5"/>
      <x:c r="BT123" s="5"/>
      <x:c r="BU123" s="5"/>
      <x:c r="BV123" s="5"/>
      <x:c r="BW123" s="5"/>
      <x:c r="BX123" s="5"/>
      <x:c r="BY123" s="5"/>
      <x:c r="BZ123" s="5"/>
      <x:c r="CA123" s="5"/>
      <x:c r="CB123" s="5"/>
      <x:c r="CC123" s="5"/>
      <x:c r="CD123" s="5"/>
      <x:c r="CE123" s="5"/>
      <x:c r="CF123" s="5"/>
      <x:c r="CG123" s="5"/>
      <x:c r="CH123" s="5"/>
      <x:c r="CI123" s="5"/>
      <x:c r="CJ123" s="5"/>
      <x:c r="CK123" s="5"/>
      <x:c r="CL123" s="5"/>
      <x:c r="CM123" s="5"/>
      <x:c r="CN123" s="5"/>
      <x:c r="CO123" s="5"/>
      <x:c r="CP123" s="5"/>
      <x:c r="CQ123" s="5"/>
      <x:c r="CR123" s="5"/>
      <x:c r="CS123" s="5"/>
      <x:c r="CT123" s="5"/>
      <x:c r="CU123" s="5"/>
      <x:c r="CV123" s="5"/>
      <x:c r="CW123" s="5"/>
      <x:c r="CX123" s="5" t="n">
        <x:v>14.65</x:v>
      </x:c>
      <x:c r="CY123" s="5" t="n">
        <x:v>36.91</x:v>
      </x:c>
      <x:c r="CZ123" s="5" t="n">
        <x:v>47.27</x:v>
      </x:c>
      <x:c r="DA123" s="5" t="n">
        <x:v>17.18</x:v>
      </x:c>
      <x:c r="DB123" s="5" t="n">
        <x:v>70.65</x:v>
      </x:c>
      <x:c r="DC123" s="5" t="n">
        <x:v>4.17</x:v>
      </x:c>
      <x:c r="DD123" s="5" t="n">
        <x:v>54.43</x:v>
      </x:c>
      <x:c r="DE123" s="5" t="n">
        <x:v>2.7</x:v>
      </x:c>
      <x:c r="DF123" s="5" t="n">
        <x:v>131.55</x:v>
      </x:c>
      <x:c r="DG123" s="5" t="n">
        <x:v>29.07</x:v>
      </x:c>
      <x:c r="DH123" s="5" t="n">
        <x:v>76.46</x:v>
      </x:c>
      <x:c r="DI123" s="5" t="n">
        <x:v>31.2</x:v>
      </x:c>
      <x:c r="DJ123" s="5" t="n">
        <x:v>102.25</x:v>
      </x:c>
      <x:c r="DK123" s="5" t="n">
        <x:v>24.36</x:v>
      </x:c>
      <x:c r="DL123" s="5" t="n">
        <x:v>146.29</x:v>
      </x:c>
      <x:c r="DM123" s="5"/>
    </x:row>
    <x:row r="124">
      <x:c r="A124" s="5" t="n">
        <x:v>119</x:v>
      </x:c>
      <x:c r="B124" s="5" t="str">
        <x:v>壬醛</x:v>
      </x:c>
      <x:c r="C124" s="5" t="str">
        <x:v>124-19-6</x:v>
      </x:c>
      <x:c r="D124" s="5" t="n">
        <x:v>122</x:v>
      </x:c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 t="n">
        <x:v>329</x:v>
      </x:c>
      <x:c r="BA124" s="5" t="n">
        <x:v>293</x:v>
      </x:c>
      <x:c r="BB124" s="5"/>
      <x:c r="BC124" s="5"/>
      <x:c r="BD124" s="5"/>
      <x:c r="BE124" s="5"/>
      <x:c r="BF124" s="5"/>
      <x:c r="BG124" s="5"/>
      <x:c r="BH124" s="5"/>
      <x:c r="BI124" s="5"/>
      <x:c r="BJ124" s="5"/>
      <x:c r="BK124" s="5"/>
      <x:c r="BL124" s="5"/>
      <x:c r="BM124" s="5"/>
      <x:c r="BN124" s="5"/>
      <x:c r="BO124" s="5"/>
      <x:c r="BP124" s="5"/>
      <x:c r="BQ124" s="5"/>
      <x:c r="BR124" s="5"/>
      <x:c r="BS124" s="5"/>
      <x:c r="BT124" s="5"/>
      <x:c r="BU124" s="5"/>
      <x:c r="BV124" s="5"/>
      <x:c r="BW124" s="5"/>
      <x:c r="BX124" s="5"/>
      <x:c r="BY124" s="5"/>
      <x:c r="BZ124" s="5" t="n">
        <x:v>309.34</x:v>
      </x:c>
      <x:c r="CA124" s="5" t="n">
        <x:v>262.87</x:v>
      </x:c>
      <x:c r="CB124" s="5" t="n">
        <x:v>28.4</x:v>
      </x:c>
      <x:c r="CC124" s="5" t="n">
        <x:v>38.2</x:v>
      </x:c>
      <x:c r="CD124" s="5" t="n">
        <x:v>65.45</x:v>
      </x:c>
      <x:c r="CE124" s="5" t="n">
        <x:v>50.35</x:v>
      </x:c>
      <x:c r="CF124" s="5" t="n">
        <x:v>150.55</x:v>
      </x:c>
      <x:c r="CG124" s="5" t="n">
        <x:v>93.14</x:v>
      </x:c>
      <x:c r="CH124" s="5" t="n">
        <x:v>23.56</x:v>
      </x:c>
      <x:c r="CI124" s="5" t="n">
        <x:v>100.03</x:v>
      </x:c>
      <x:c r="CJ124" s="5" t="n">
        <x:v>70.99</x:v>
      </x:c>
      <x:c r="CK124" s="5" t="n">
        <x:v>21.93</x:v>
      </x:c>
      <x:c r="CL124" s="5" t="n">
        <x:v>34.07</x:v>
      </x:c>
      <x:c r="CM124" s="5"/>
      <x:c r="CN124" s="5"/>
      <x:c r="CO124" s="5"/>
      <x:c r="CP124" s="5"/>
      <x:c r="CQ124" s="5"/>
      <x:c r="CR124" s="5"/>
      <x:c r="CS124" s="5"/>
      <x:c r="CT124" s="5"/>
      <x:c r="CU124" s="5"/>
      <x:c r="CV124" s="5" t="n">
        <x:v>37.45</x:v>
      </x:c>
      <x:c r="CW124" s="5"/>
      <x:c r="CX124" s="5" t="n">
        <x:v>1.13</x:v>
      </x:c>
      <x:c r="CY124" s="5" t="n">
        <x:v>1.36</x:v>
      </x:c>
      <x:c r="CZ124" s="5" t="n">
        <x:v>3.13</x:v>
      </x:c>
      <x:c r="DA124" s="5" t="n">
        <x:v>1.43</x:v>
      </x:c>
      <x:c r="DB124" s="5" t="n">
        <x:v>3.79</x:v>
      </x:c>
      <x:c r="DC124" s="5" t="n">
        <x:v>1.07</x:v>
      </x:c>
      <x:c r="DD124" s="5" t="n">
        <x:v>3.09</x:v>
      </x:c>
      <x:c r="DE124" s="5" t="n">
        <x:v>3.03</x:v>
      </x:c>
      <x:c r="DF124" s="5" t="n">
        <x:v>58.11</x:v>
      </x:c>
      <x:c r="DG124" s="5" t="n">
        <x:v>31.61</x:v>
      </x:c>
      <x:c r="DH124" s="5" t="n">
        <x:v>105.61</x:v>
      </x:c>
      <x:c r="DI124" s="5" t="n">
        <x:v>56.78</x:v>
      </x:c>
      <x:c r="DJ124" s="5" t="n">
        <x:v>117.57</x:v>
      </x:c>
      <x:c r="DK124" s="5" t="n">
        <x:v>60.96</x:v>
      </x:c>
      <x:c r="DL124" s="5" t="n">
        <x:v>21.51</x:v>
      </x:c>
      <x:c r="DM124" s="5" t="n">
        <x:v>44.53</x:v>
      </x:c>
    </x:row>
    <x:row r="125">
      <x:c r="A125" s="5" t="n">
        <x:v>120</x:v>
      </x:c>
      <x:c r="B125" s="5" t="str">
        <x:v>2-甲基丁醇</x:v>
      </x:c>
      <x:c r="C125" s="5" t="str">
        <x:v>137-32-6</x:v>
      </x:c>
      <x:c r="D125" s="5" t="n">
        <x:v>300000</x:v>
      </x:c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 t="n">
        <x:v>3</x:v>
      </x:c>
      <x:c r="U125" s="5" t="n">
        <x:v>0</x:v>
      </x:c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 t="n">
        <x:v>52100</x:v>
      </x:c>
      <x:c r="AF125" s="5" t="n">
        <x:v>55730</x:v>
      </x:c>
      <x:c r="AG125" s="5" t="n">
        <x:v>26030</x:v>
      </x:c>
      <x:c r="AH125" s="5" t="n">
        <x:v>1900</x:v>
      </x:c>
      <x:c r="AI125" s="5" t="n">
        <x:v>2980</x:v>
      </x:c>
      <x:c r="AJ125" s="5" t="n">
        <x:v>3500</x:v>
      </x:c>
      <x:c r="AK125" s="5" t="n">
        <x:v>186780</x:v>
      </x:c>
      <x:c r="AL125" s="5" t="n">
        <x:v>341780</x:v>
      </x:c>
      <x:c r="AM125" s="5"/>
      <x:c r="AN125" s="5"/>
      <x:c r="AO125" s="5"/>
      <x:c r="AP125" s="5"/>
      <x:c r="AQ125" s="5"/>
      <x:c r="AR125" s="5"/>
      <x:c r="AS125" s="5"/>
      <x:c r="AT125" s="5"/>
      <x:c r="AU125" s="5" t="n">
        <x:v>9.77</x:v>
      </x:c>
      <x:c r="AV125" s="5"/>
      <x:c r="AW125" s="5"/>
      <x:c r="AX125" s="5"/>
      <x:c r="AY125" s="5"/>
      <x:c r="AZ125" s="5"/>
      <x:c r="BA125" s="5"/>
      <x:c r="BB125" s="5"/>
      <x:c r="BC125" s="5"/>
      <x:c r="BD125" s="5"/>
      <x:c r="BE125" s="5"/>
      <x:c r="BF125" s="5"/>
      <x:c r="BG125" s="5"/>
      <x:c r="BH125" s="5"/>
      <x:c r="BI125" s="5"/>
      <x:c r="BJ125" s="5"/>
      <x:c r="BK125" s="5"/>
      <x:c r="BL125" s="5"/>
      <x:c r="BM125" s="5"/>
      <x:c r="BN125" s="5"/>
      <x:c r="BO125" s="5"/>
      <x:c r="BP125" s="5"/>
      <x:c r="BQ125" s="5"/>
      <x:c r="BR125" s="5"/>
      <x:c r="BS125" s="5"/>
      <x:c r="BT125" s="5"/>
      <x:c r="BU125" s="5"/>
      <x:c r="BV125" s="5"/>
      <x:c r="BW125" s="5"/>
      <x:c r="BX125" s="5"/>
      <x:c r="BY125" s="5"/>
      <x:c r="BZ125" s="5"/>
      <x:c r="CA125" s="5"/>
      <x:c r="CB125" s="5"/>
      <x:c r="CC125" s="5"/>
      <x:c r="CD125" s="5"/>
      <x:c r="CE125" s="5"/>
      <x:c r="CF125" s="5"/>
      <x:c r="CG125" s="5"/>
      <x:c r="CH125" s="5"/>
      <x:c r="CI125" s="5"/>
      <x:c r="CJ125" s="5"/>
      <x:c r="CK125" s="5"/>
      <x:c r="CL125" s="5"/>
      <x:c r="CM125" s="5"/>
      <x:c r="CN125" s="5"/>
      <x:c r="CO125" s="5"/>
      <x:c r="CP125" s="5"/>
      <x:c r="CQ125" s="5"/>
      <x:c r="CR125" s="5"/>
      <x:c r="CS125" s="5"/>
      <x:c r="CT125" s="5"/>
      <x:c r="CU125" s="5"/>
      <x:c r="CV125" s="5"/>
      <x:c r="CW125" s="5"/>
      <x:c r="CX125" s="5"/>
      <x:c r="CY125" s="5"/>
      <x:c r="CZ125" s="5"/>
      <x:c r="DA125" s="5"/>
      <x:c r="DB125" s="5"/>
      <x:c r="DC125" s="5"/>
      <x:c r="DD125" s="5"/>
      <x:c r="DE125" s="5"/>
      <x:c r="DF125" s="5"/>
      <x:c r="DG125" s="5"/>
      <x:c r="DH125" s="5"/>
      <x:c r="DI125" s="5"/>
      <x:c r="DJ125" s="5"/>
      <x:c r="DK125" s="5"/>
      <x:c r="DL125" s="5"/>
      <x:c r="DM125" s="5"/>
    </x:row>
    <x:row r="126">
      <x:c r="A126" s="5" t="n">
        <x:v>121</x:v>
      </x:c>
      <x:c r="B126" s="5" t="str">
        <x:v>乳酸丁酯</x:v>
      </x:c>
      <x:c r="C126" s="5" t="str">
        <x:v>138-22-7</x:v>
      </x:c>
      <x:c r="D126" s="5"/>
      <x:c r="E126" s="5"/>
      <x:c r="F126" s="5"/>
      <x:c r="G126" s="5"/>
      <x:c r="H126" s="5" t="n">
        <x:v>18.03</x:v>
      </x:c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 t="n">
        <x:v>2.85</x:v>
      </x:c>
      <x:c r="AS126" s="5" t="n">
        <x:v>1.46</x:v>
      </x:c>
      <x:c r="AT126" s="5" t="n">
        <x:v>2.5</x:v>
      </x:c>
      <x:c r="AU126" s="5"/>
      <x:c r="AV126" s="5"/>
      <x:c r="AW126" s="5"/>
      <x:c r="AX126" s="5"/>
      <x:c r="AY126" s="5"/>
      <x:c r="AZ126" s="5"/>
      <x:c r="BA126" s="5"/>
      <x:c r="BB126" s="5"/>
      <x:c r="BC126" s="5"/>
      <x:c r="BD126" s="5"/>
      <x:c r="BE126" s="5"/>
      <x:c r="BF126" s="5"/>
      <x:c r="BG126" s="5"/>
      <x:c r="BH126" s="5"/>
      <x:c r="BI126" s="5"/>
      <x:c r="BJ126" s="5"/>
      <x:c r="BK126" s="5"/>
      <x:c r="BL126" s="5"/>
      <x:c r="BM126" s="5"/>
      <x:c r="BN126" s="5"/>
      <x:c r="BO126" s="5"/>
      <x:c r="BP126" s="5"/>
      <x:c r="BQ126" s="5"/>
      <x:c r="BR126" s="5"/>
      <x:c r="BS126" s="5"/>
      <x:c r="BT126" s="5"/>
      <x:c r="BU126" s="5"/>
      <x:c r="BV126" s="5"/>
      <x:c r="BW126" s="5"/>
      <x:c r="BX126" s="5"/>
      <x:c r="BY126" s="5"/>
      <x:c r="BZ126" s="5"/>
      <x:c r="CA126" s="5"/>
      <x:c r="CB126" s="5"/>
      <x:c r="CC126" s="5"/>
      <x:c r="CD126" s="5"/>
      <x:c r="CE126" s="5"/>
      <x:c r="CF126" s="5"/>
      <x:c r="CG126" s="5"/>
      <x:c r="CH126" s="5"/>
      <x:c r="CI126" s="5"/>
      <x:c r="CJ126" s="5"/>
      <x:c r="CK126" s="5"/>
      <x:c r="CL126" s="5"/>
      <x:c r="CM126" s="5"/>
      <x:c r="CN126" s="5"/>
      <x:c r="CO126" s="5"/>
      <x:c r="CP126" s="5"/>
      <x:c r="CQ126" s="5"/>
      <x:c r="CR126" s="5"/>
      <x:c r="CS126" s="5"/>
      <x:c r="CT126" s="5"/>
      <x:c r="CU126" s="5"/>
      <x:c r="CV126" s="5"/>
      <x:c r="CW126" s="5"/>
      <x:c r="CX126" s="5"/>
      <x:c r="CY126" s="5"/>
      <x:c r="CZ126" s="5"/>
      <x:c r="DA126" s="5"/>
      <x:c r="DB126" s="5"/>
      <x:c r="DC126" s="5"/>
      <x:c r="DD126" s="5"/>
      <x:c r="DE126" s="5"/>
      <x:c r="DF126" s="5"/>
      <x:c r="DG126" s="5"/>
      <x:c r="DH126" s="5"/>
      <x:c r="DI126" s="5"/>
      <x:c r="DJ126" s="5"/>
      <x:c r="DK126" s="5"/>
      <x:c r="DL126" s="5"/>
      <x:c r="DM126" s="5"/>
    </x:row>
    <x:row r="127">
      <x:c r="A127" s="5" t="n">
        <x:v>122</x:v>
      </x:c>
      <x:c r="B127" s="5"/>
      <x:c r="C127" s="5" t="str">
        <x:v>138-86-3</x:v>
      </x:c>
      <x:c r="D127" s="5"/>
      <x:c r="E127" s="5"/>
      <x:c r="F127" s="5"/>
      <x:c r="G127" s="5"/>
      <x:c r="H127" s="5"/>
      <x:c r="I127" s="5"/>
      <x:c r="J127" s="5"/>
      <x:c r="K127" s="5" t="n">
        <x:v>3.14</x:v>
      </x:c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  <x:c r="BA127" s="5"/>
      <x:c r="BB127" s="5"/>
      <x:c r="BC127" s="5"/>
      <x:c r="BD127" s="5"/>
      <x:c r="BE127" s="5"/>
      <x:c r="BF127" s="5"/>
      <x:c r="BG127" s="5"/>
      <x:c r="BH127" s="5"/>
      <x:c r="BI127" s="5"/>
      <x:c r="BJ127" s="5"/>
      <x:c r="BK127" s="5"/>
      <x:c r="BL127" s="5"/>
      <x:c r="BM127" s="5"/>
      <x:c r="BN127" s="5"/>
      <x:c r="BO127" s="5"/>
      <x:c r="BP127" s="5"/>
      <x:c r="BQ127" s="5"/>
      <x:c r="BR127" s="5"/>
      <x:c r="BS127" s="5"/>
      <x:c r="BT127" s="5"/>
      <x:c r="BU127" s="5"/>
      <x:c r="BV127" s="5"/>
      <x:c r="BW127" s="5"/>
      <x:c r="BX127" s="5"/>
      <x:c r="BY127" s="5"/>
      <x:c r="BZ127" s="5"/>
      <x:c r="CA127" s="5"/>
      <x:c r="CB127" s="5"/>
      <x:c r="CC127" s="5"/>
      <x:c r="CD127" s="5"/>
      <x:c r="CE127" s="5"/>
      <x:c r="CF127" s="5"/>
      <x:c r="CG127" s="5"/>
      <x:c r="CH127" s="5"/>
      <x:c r="CI127" s="5"/>
      <x:c r="CJ127" s="5"/>
      <x:c r="CK127" s="5"/>
      <x:c r="CL127" s="5"/>
      <x:c r="CM127" s="5"/>
      <x:c r="CN127" s="5"/>
      <x:c r="CO127" s="5"/>
      <x:c r="CP127" s="5"/>
      <x:c r="CQ127" s="5"/>
      <x:c r="CR127" s="5"/>
      <x:c r="CS127" s="5"/>
      <x:c r="CT127" s="5"/>
      <x:c r="CU127" s="5"/>
      <x:c r="CV127" s="5"/>
      <x:c r="CW127" s="5"/>
      <x:c r="CX127" s="5"/>
      <x:c r="CY127" s="5"/>
      <x:c r="CZ127" s="5"/>
      <x:c r="DA127" s="5"/>
      <x:c r="DB127" s="5"/>
      <x:c r="DC127" s="5"/>
      <x:c r="DD127" s="5"/>
      <x:c r="DE127" s="5"/>
      <x:c r="DF127" s="5"/>
      <x:c r="DG127" s="5"/>
      <x:c r="DH127" s="5"/>
      <x:c r="DI127" s="5"/>
      <x:c r="DJ127" s="5"/>
      <x:c r="DK127" s="5"/>
      <x:c r="DL127" s="5"/>
      <x:c r="DM127" s="5"/>
    </x:row>
    <x:row r="128">
      <x:c r="A128" s="5" t="n">
        <x:v>123</x:v>
      </x:c>
      <x:c r="B128" s="5" t="str">
        <x:v>异戊酸-2-苯乙酯</x:v>
      </x:c>
      <x:c r="C128" s="5" t="str">
        <x:v>140-26-1</x:v>
      </x:c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  <x:c r="BA128" s="5"/>
      <x:c r="BB128" s="5"/>
      <x:c r="BC128" s="5"/>
      <x:c r="BD128" s="5"/>
      <x:c r="BE128" s="5"/>
      <x:c r="BF128" s="5"/>
      <x:c r="BG128" s="5"/>
      <x:c r="BH128" s="5"/>
      <x:c r="BI128" s="5"/>
      <x:c r="BJ128" s="5"/>
      <x:c r="BK128" s="5"/>
      <x:c r="BL128" s="5"/>
      <x:c r="BM128" s="5"/>
      <x:c r="BN128" s="5"/>
      <x:c r="BO128" s="5"/>
      <x:c r="BP128" s="5"/>
      <x:c r="BQ128" s="5"/>
      <x:c r="BR128" s="5"/>
      <x:c r="BS128" s="5"/>
      <x:c r="BT128" s="5"/>
      <x:c r="BU128" s="5"/>
      <x:c r="BV128" s="5"/>
      <x:c r="BW128" s="5"/>
      <x:c r="BX128" s="5"/>
      <x:c r="BY128" s="5"/>
      <x:c r="BZ128" s="5" t="n">
        <x:v>8.34</x:v>
      </x:c>
      <x:c r="CA128" s="5" t="n">
        <x:v>8.545</x:v>
      </x:c>
      <x:c r="CB128" s="5" t="n">
        <x:v>16.07</x:v>
      </x:c>
      <x:c r="CC128" s="5" t="n">
        <x:v>15.49</x:v>
      </x:c>
      <x:c r="CD128" s="5" t="n">
        <x:v>19.16</x:v>
      </x:c>
      <x:c r="CE128" s="5" t="n">
        <x:v>19.33</x:v>
      </x:c>
      <x:c r="CF128" s="5" t="n">
        <x:v>23.32</x:v>
      </x:c>
      <x:c r="CG128" s="5" t="n">
        <x:v>13.06</x:v>
      </x:c>
      <x:c r="CH128" s="5" t="n">
        <x:v>11.14</x:v>
      </x:c>
      <x:c r="CI128" s="5" t="n">
        <x:v>31.03</x:v>
      </x:c>
      <x:c r="CJ128" s="5" t="n">
        <x:v>30.22</x:v>
      </x:c>
      <x:c r="CK128" s="5" t="n">
        <x:v>36.34</x:v>
      </x:c>
      <x:c r="CL128" s="5" t="n">
        <x:v>24.81</x:v>
      </x:c>
      <x:c r="CM128" s="5"/>
      <x:c r="CN128" s="5"/>
      <x:c r="CO128" s="5"/>
      <x:c r="CP128" s="5"/>
      <x:c r="CQ128" s="5"/>
      <x:c r="CR128" s="5"/>
      <x:c r="CS128" s="5"/>
      <x:c r="CT128" s="5"/>
      <x:c r="CU128" s="5"/>
      <x:c r="CV128" s="5"/>
      <x:c r="CW128" s="5"/>
      <x:c r="CX128" s="5"/>
      <x:c r="CY128" s="5"/>
      <x:c r="CZ128" s="5"/>
      <x:c r="DA128" s="5"/>
      <x:c r="DB128" s="5"/>
      <x:c r="DC128" s="5"/>
      <x:c r="DD128" s="5"/>
      <x:c r="DE128" s="5"/>
      <x:c r="DF128" s="5"/>
      <x:c r="DG128" s="5"/>
      <x:c r="DH128" s="5"/>
      <x:c r="DI128" s="5"/>
      <x:c r="DJ128" s="5"/>
      <x:c r="DK128" s="5"/>
      <x:c r="DL128" s="5"/>
      <x:c r="DM128" s="5"/>
    </x:row>
    <x:row r="129">
      <x:c r="A129" s="5" t="n">
        <x:v>124</x:v>
      </x:c>
      <x:c r="B129" s="5" t="str">
        <x:v>乙酸乙酯</x:v>
      </x:c>
      <x:c r="C129" s="5" t="str">
        <x:v>141-78-6</x:v>
      </x:c>
      <x:c r="D129" s="5" t="n">
        <x:v>32552</x:v>
      </x:c>
      <x:c r="E129" s="5" t="n">
        <x:v>985274</x:v>
      </x:c>
      <x:c r="F129" s="5" t="n">
        <x:v>1772911</x:v>
      </x:c>
      <x:c r="G129" s="5" t="n">
        <x:v>1173.18</x:v>
      </x:c>
      <x:c r="H129" s="5" t="n">
        <x:v>484.16</x:v>
      </x:c>
      <x:c r="I129" s="5" t="n">
        <x:v>577.21</x:v>
      </x:c>
      <x:c r="J129" s="5" t="n">
        <x:v>1054.47</x:v>
      </x:c>
      <x:c r="K129" s="5" t="n">
        <x:v>129.49</x:v>
      </x:c>
      <x:c r="L129" s="5" t="n">
        <x:v>4021850</x:v>
      </x:c>
      <x:c r="M129" s="5" t="n">
        <x:v>2926064</x:v>
      </x:c>
      <x:c r="N129" s="5" t="n">
        <x:v>59371</x:v>
      </x:c>
      <x:c r="O129" s="5" t="n">
        <x:v>90590</x:v>
      </x:c>
      <x:c r="P129" s="5" t="n">
        <x:v>92946</x:v>
      </x:c>
      <x:c r="Q129" s="5" t="n">
        <x:v>112534</x:v>
      </x:c>
      <x:c r="R129" s="5" t="n">
        <x:v>112723</x:v>
      </x:c>
      <x:c r="S129" s="5" t="n">
        <x:v>95301</x:v>
      </x:c>
      <x:c r="T129" s="5" t="n">
        <x:v>37</x:v>
      </x:c>
      <x:c r="U129" s="5" t="n">
        <x:v>36</x:v>
      </x:c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 t="n">
        <x:v>1752070</x:v>
      </x:c>
      <x:c r="AF129" s="5" t="n">
        <x:v>1113450</x:v>
      </x:c>
      <x:c r="AG129" s="5" t="n">
        <x:v>1455835</x:v>
      </x:c>
      <x:c r="AH129" s="5" t="n">
        <x:v>64450</x:v>
      </x:c>
      <x:c r="AI129" s="5" t="n">
        <x:v>35720</x:v>
      </x:c>
      <x:c r="AJ129" s="5" t="n">
        <x:v>60900</x:v>
      </x:c>
      <x:c r="AK129" s="5" t="n">
        <x:v>362630</x:v>
      </x:c>
      <x:c r="AL129" s="5" t="n">
        <x:v>572500</x:v>
      </x:c>
      <x:c r="AM129" s="5"/>
      <x:c r="AN129" s="5"/>
      <x:c r="AO129" s="5"/>
      <x:c r="AP129" s="5"/>
      <x:c r="AQ129" s="5" t="n">
        <x:v>1976.41</x:v>
      </x:c>
      <x:c r="AR129" s="5" t="n">
        <x:v>721.98</x:v>
      </x:c>
      <x:c r="AS129" s="5" t="n">
        <x:v>790.06</x:v>
      </x:c>
      <x:c r="AT129" s="5" t="n">
        <x:v>837.21</x:v>
      </x:c>
      <x:c r="AU129" s="5" t="n">
        <x:v>1126.37</x:v>
      </x:c>
      <x:c r="AV129" s="5" t="n">
        <x:v>316259.5</x:v>
      </x:c>
      <x:c r="AW129" s="5" t="n">
        <x:v>24</x:v>
      </x:c>
      <x:c r="AX129" s="5" t="n">
        <x:v>402762.5</x:v>
      </x:c>
      <x:c r="AY129" s="5" t="n">
        <x:v>228600</x:v>
      </x:c>
      <x:c r="AZ129" s="5" t="n">
        <x:v>11422</x:v>
      </x:c>
      <x:c r="BA129" s="5" t="n">
        <x:v>10886</x:v>
      </x:c>
      <x:c r="BB129" s="5" t="n">
        <x:v>630.52</x:v>
      </x:c>
      <x:c r="BC129" s="5" t="n">
        <x:v>44</x:v>
      </x:c>
      <x:c r="BD129" s="5" t="n">
        <x:v>1083.43</x:v>
      </x:c>
      <x:c r="BE129" s="5" t="n">
        <x:v>773.06</x:v>
      </x:c>
      <x:c r="BF129" s="5" t="n">
        <x:v>610.655</x:v>
      </x:c>
      <x:c r="BG129" s="5" t="n">
        <x:v>701.02</x:v>
      </x:c>
      <x:c r="BH129" s="5" t="n">
        <x:v>262.22</x:v>
      </x:c>
      <x:c r="BI129" s="5" t="n">
        <x:v>605.62</x:v>
      </x:c>
      <x:c r="BJ129" s="5" t="n">
        <x:v>1177</x:v>
      </x:c>
      <x:c r="BK129" s="5" t="n">
        <x:v>6803</x:v>
      </x:c>
      <x:c r="BL129" s="5"/>
      <x:c r="BM129" s="5" t="n">
        <x:v>6754.12</x:v>
      </x:c>
      <x:c r="BN129" s="5" t="n">
        <x:v>8950</x:v>
      </x:c>
      <x:c r="BO129" s="5" t="n">
        <x:v>7229.12</x:v>
      </x:c>
      <x:c r="BP129" s="5" t="n">
        <x:v>980.81</x:v>
      </x:c>
      <x:c r="BQ129" s="5"/>
      <x:c r="BR129" s="5"/>
      <x:c r="BS129" s="5"/>
      <x:c r="BT129" s="5"/>
      <x:c r="BU129" s="5"/>
      <x:c r="BV129" s="5"/>
      <x:c r="BW129" s="5"/>
      <x:c r="BX129" s="5"/>
      <x:c r="BY129" s="5"/>
      <x:c r="BZ129" s="5" t="n">
        <x:v>597.3367</x:v>
      </x:c>
      <x:c r="CA129" s="5" t="n">
        <x:v>584.24</x:v>
      </x:c>
      <x:c r="CB129" s="5" t="n">
        <x:v>1717.7</x:v>
      </x:c>
      <x:c r="CC129" s="5" t="n">
        <x:v>1477.29</x:v>
      </x:c>
      <x:c r="CD129" s="5" t="n">
        <x:v>1903.05</x:v>
      </x:c>
      <x:c r="CE129" s="5" t="n">
        <x:v>1830.33</x:v>
      </x:c>
      <x:c r="CF129" s="5" t="n">
        <x:v>1860.25</x:v>
      </x:c>
      <x:c r="CG129" s="5" t="n">
        <x:v>1286.66</x:v>
      </x:c>
      <x:c r="CH129" s="5" t="n">
        <x:v>903.05</x:v>
      </x:c>
      <x:c r="CI129" s="5" t="n">
        <x:v>2369.21</x:v>
      </x:c>
      <x:c r="CJ129" s="5" t="n">
        <x:v>2432.82</x:v>
      </x:c>
      <x:c r="CK129" s="5" t="n">
        <x:v>1917.46</x:v>
      </x:c>
      <x:c r="CL129" s="5" t="n">
        <x:v>1929.23</x:v>
      </x:c>
      <x:c r="CM129" s="5" t="n">
        <x:v>1599.32</x:v>
      </x:c>
      <x:c r="CN129" s="5" t="n">
        <x:v>1217108</x:v>
      </x:c>
      <x:c r="CO129" s="5" t="n">
        <x:v>1261352</x:v>
      </x:c>
      <x:c r="CP129" s="5" t="n">
        <x:v>1108660</x:v>
      </x:c>
      <x:c r="CQ129" s="5" t="n">
        <x:v>949924</x:v>
      </x:c>
      <x:c r="CR129" s="5"/>
      <x:c r="CS129" s="5"/>
      <x:c r="CT129" s="5"/>
      <x:c r="CU129" s="5"/>
      <x:c r="CV129" s="5"/>
      <x:c r="CW129" s="5"/>
      <x:c r="CX129" s="5" t="n">
        <x:v>653790.06</x:v>
      </x:c>
      <x:c r="CY129" s="5" t="n">
        <x:v>863259.55</x:v>
      </x:c>
      <x:c r="CZ129" s="5" t="n">
        <x:v>910386.44</x:v>
      </x:c>
      <x:c r="DA129" s="5" t="n">
        <x:v>517753.51</x:v>
      </x:c>
      <x:c r="DB129" s="5" t="n">
        <x:v>912836</x:v>
      </x:c>
      <x:c r="DC129" s="5" t="n">
        <x:v>777085.04</x:v>
      </x:c>
      <x:c r="DD129" s="5" t="n">
        <x:v>955434.09</x:v>
      </x:c>
      <x:c r="DE129" s="5" t="n">
        <x:v>525843.28</x:v>
      </x:c>
      <x:c r="DF129" s="5" t="n">
        <x:v>924452.11</x:v>
      </x:c>
      <x:c r="DG129" s="5" t="n">
        <x:v>700872.64</x:v>
      </x:c>
      <x:c r="DH129" s="5" t="n">
        <x:v>985281.54</x:v>
      </x:c>
      <x:c r="DI129" s="5" t="n">
        <x:v>661165.61</x:v>
      </x:c>
      <x:c r="DJ129" s="5" t="n">
        <x:v>883209.7</x:v>
      </x:c>
      <x:c r="DK129" s="5" t="n">
        <x:v>663524.27</x:v>
      </x:c>
      <x:c r="DL129" s="5" t="n">
        <x:v>1034685.04</x:v>
      </x:c>
      <x:c r="DM129" s="5" t="n">
        <x:v>870240.21</x:v>
      </x:c>
    </x:row>
    <x:row r="130">
      <x:c r="A130" s="5" t="n">
        <x:v>125</x:v>
      </x:c>
      <x:c r="B130" s="5" t="str">
        <x:v>E-橙花叔醇</x:v>
      </x:c>
      <x:c r="C130" s="5" t="str">
        <x:v>142-50-7</x:v>
      </x:c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  <x:c r="BA130" s="5"/>
      <x:c r="BB130" s="5"/>
      <x:c r="BC130" s="5"/>
      <x:c r="BD130" s="5"/>
      <x:c r="BE130" s="5"/>
      <x:c r="BF130" s="5"/>
      <x:c r="BG130" s="5"/>
      <x:c r="BH130" s="5"/>
      <x:c r="BI130" s="5"/>
      <x:c r="BJ130" s="5"/>
      <x:c r="BK130" s="5"/>
      <x:c r="BL130" s="5"/>
      <x:c r="BM130" s="5"/>
      <x:c r="BN130" s="5"/>
      <x:c r="BO130" s="5"/>
      <x:c r="BP130" s="5"/>
      <x:c r="BQ130" s="5"/>
      <x:c r="BR130" s="5"/>
      <x:c r="BS130" s="5"/>
      <x:c r="BT130" s="5"/>
      <x:c r="BU130" s="5"/>
      <x:c r="BV130" s="5"/>
      <x:c r="BW130" s="5"/>
      <x:c r="BX130" s="5"/>
      <x:c r="BY130" s="5"/>
      <x:c r="BZ130" s="5" t="n">
        <x:v>66.82</x:v>
      </x:c>
      <x:c r="CA130" s="5" t="n">
        <x:v>63.54</x:v>
      </x:c>
      <x:c r="CB130" s="5" t="n">
        <x:v>134.86</x:v>
      </x:c>
      <x:c r="CC130" s="5" t="n">
        <x:v>136.24</x:v>
      </x:c>
      <x:c r="CD130" s="5" t="n">
        <x:v>152.92</x:v>
      </x:c>
      <x:c r="CE130" s="5" t="n">
        <x:v>135.09</x:v>
      </x:c>
      <x:c r="CF130" s="5" t="n">
        <x:v>156.86</x:v>
      </x:c>
      <x:c r="CG130" s="5" t="n">
        <x:v>109.66</x:v>
      </x:c>
      <x:c r="CH130" s="5" t="n">
        <x:v>109.43</x:v>
      </x:c>
      <x:c r="CI130" s="5" t="n">
        <x:v>205.34</x:v>
      </x:c>
      <x:c r="CJ130" s="5" t="n">
        <x:v>142.34</x:v>
      </x:c>
      <x:c r="CK130" s="5" t="n">
        <x:v>243.49</x:v>
      </x:c>
      <x:c r="CL130" s="5" t="n">
        <x:v>151.27</x:v>
      </x:c>
      <x:c r="CM130" s="5" t="n">
        <x:v>133.72</x:v>
      </x:c>
      <x:c r="CN130" s="5"/>
      <x:c r="CO130" s="5"/>
      <x:c r="CP130" s="5"/>
      <x:c r="CQ130" s="5"/>
      <x:c r="CR130" s="5"/>
      <x:c r="CS130" s="5"/>
      <x:c r="CT130" s="5"/>
      <x:c r="CU130" s="5"/>
      <x:c r="CV130" s="5"/>
      <x:c r="CW130" s="5"/>
      <x:c r="CX130" s="5"/>
      <x:c r="CY130" s="5"/>
      <x:c r="CZ130" s="5"/>
      <x:c r="DA130" s="5"/>
      <x:c r="DB130" s="5"/>
      <x:c r="DC130" s="5"/>
      <x:c r="DD130" s="5"/>
      <x:c r="DE130" s="5"/>
      <x:c r="DF130" s="5"/>
      <x:c r="DG130" s="5"/>
      <x:c r="DH130" s="5"/>
      <x:c r="DI130" s="5"/>
      <x:c r="DJ130" s="5"/>
      <x:c r="DK130" s="5"/>
      <x:c r="DL130" s="5"/>
      <x:c r="DM130" s="5"/>
    </x:row>
    <x:row r="131">
      <x:c r="A131" s="5" t="n">
        <x:v>126</x:v>
      </x:c>
      <x:c r="B131" s="5" t="str">
        <x:v>己酸</x:v>
      </x:c>
      <x:c r="C131" s="5" t="str">
        <x:v>142-62-1</x:v>
      </x:c>
      <x:c r="D131" s="5" t="n">
        <x:v>2520</x:v>
      </x:c>
      <x:c r="E131" s="5" t="n">
        <x:v>722576</x:v>
      </x:c>
      <x:c r="F131" s="5" t="n">
        <x:v>1126596</x:v>
      </x:c>
      <x:c r="G131" s="5" t="n">
        <x:v>160.03</x:v>
      </x:c>
      <x:c r="H131" s="5" t="n">
        <x:v>85.13</x:v>
      </x:c>
      <x:c r="I131" s="5" t="n">
        <x:v>96.7</x:v>
      </x:c>
      <x:c r="J131" s="5" t="n">
        <x:v>572.44</x:v>
      </x:c>
      <x:c r="K131" s="5" t="n">
        <x:v>50.31</x:v>
      </x:c>
      <x:c r="L131" s="5"/>
      <x:c r="M131" s="5"/>
      <x:c r="N131" s="5" t="n">
        <x:v>72065</x:v>
      </x:c>
      <x:c r="O131" s="5" t="n">
        <x:v>102015</x:v>
      </x:c>
      <x:c r="P131" s="5" t="n">
        <x:v>120088</x:v>
      </x:c>
      <x:c r="Q131" s="5" t="n">
        <x:v>141949</x:v>
      </x:c>
      <x:c r="R131" s="5" t="n">
        <x:v>111350</x:v>
      </x:c>
      <x:c r="S131" s="5" t="n">
        <x:v>103087</x:v>
      </x:c>
      <x:c r="T131" s="5" t="n">
        <x:v>128</x:v>
      </x:c>
      <x:c r="U131" s="5" t="n">
        <x:v>141</x:v>
      </x:c>
      <x:c r="V131" s="5" t="n">
        <x:v>2.125</x:v>
      </x:c>
      <x:c r="W131" s="5" t="n">
        <x:v>2380</x:v>
      </x:c>
      <x:c r="X131" s="5" t="n">
        <x:v>2060</x:v>
      </x:c>
      <x:c r="Y131" s="5" t="n">
        <x:v>3870</x:v>
      </x:c>
      <x:c r="Z131" s="5" t="n">
        <x:v>5880</x:v>
      </x:c>
      <x:c r="AA131" s="5" t="n">
        <x:v>9740</x:v>
      </x:c>
      <x:c r="AB131" s="5" t="n">
        <x:v>16300</x:v>
      </x:c>
      <x:c r="AC131" s="5" t="n">
        <x:v>22400</x:v>
      </x:c>
      <x:c r="AD131" s="5" t="n">
        <x:v>21500</x:v>
      </x:c>
      <x:c r="AE131" s="5" t="n">
        <x:v>250250</x:v>
      </x:c>
      <x:c r="AF131" s="5" t="n">
        <x:v>201440</x:v>
      </x:c>
      <x:c r="AG131" s="5" t="n">
        <x:v>64780</x:v>
      </x:c>
      <x:c r="AH131" s="5"/>
      <x:c r="AI131" s="5"/>
      <x:c r="AJ131" s="5"/>
      <x:c r="AK131" s="5" t="n">
        <x:v>59230</x:v>
      </x:c>
      <x:c r="AL131" s="5" t="n">
        <x:v>70240</x:v>
      </x:c>
      <x:c r="AM131" s="5"/>
      <x:c r="AN131" s="5"/>
      <x:c r="AO131" s="5"/>
      <x:c r="AP131" s="5"/>
      <x:c r="AQ131" s="5" t="n">
        <x:v>410.92</x:v>
      </x:c>
      <x:c r="AR131" s="5" t="n">
        <x:v>520.62</x:v>
      </x:c>
      <x:c r="AS131" s="5" t="n">
        <x:v>859.8</x:v>
      </x:c>
      <x:c r="AT131" s="5" t="n">
        <x:v>857.12</x:v>
      </x:c>
      <x:c r="AU131" s="5" t="n">
        <x:v>118.15</x:v>
      </x:c>
      <x:c r="AV131" s="5" t="n">
        <x:v>374348.5</x:v>
      </x:c>
      <x:c r="AW131" s="5" t="n">
        <x:v>147</x:v>
      </x:c>
      <x:c r="AX131" s="5" t="n">
        <x:v>511102.5</x:v>
      </x:c>
      <x:c r="AY131" s="5" t="n">
        <x:v>688000</x:v>
      </x:c>
      <x:c r="AZ131" s="5" t="n">
        <x:v>25205</x:v>
      </x:c>
      <x:c r="BA131" s="5" t="n">
        <x:v>24457</x:v>
      </x:c>
      <x:c r="BB131" s="5"/>
      <x:c r="BC131" s="5"/>
      <x:c r="BD131" s="5" t="n">
        <x:v>502.42</x:v>
      </x:c>
      <x:c r="BE131" s="5" t="n">
        <x:v>953.43</x:v>
      </x:c>
      <x:c r="BF131" s="5" t="n">
        <x:v>602.92</x:v>
      </x:c>
      <x:c r="BG131" s="5" t="n">
        <x:v>510.73</x:v>
      </x:c>
      <x:c r="BH131" s="5"/>
      <x:c r="BI131" s="5" t="n">
        <x:v>536.52</x:v>
      </x:c>
      <x:c r="BJ131" s="5"/>
      <x:c r="BK131" s="5" t="n">
        <x:v>655.27</x:v>
      </x:c>
      <x:c r="BL131" s="5" t="n">
        <x:v>322.71</x:v>
      </x:c>
      <x:c r="BM131" s="5" t="n">
        <x:v>388.51</x:v>
      </x:c>
      <x:c r="BN131" s="5" t="n">
        <x:v>199.16</x:v>
      </x:c>
      <x:c r="BO131" s="5" t="n">
        <x:v>458.67</x:v>
      </x:c>
      <x:c r="BP131" s="5"/>
      <x:c r="BQ131" s="5" t="n">
        <x:v>911000</x:v>
      </x:c>
      <x:c r="BR131" s="5" t="n">
        <x:v>825900</x:v>
      </x:c>
      <x:c r="BS131" s="5" t="n">
        <x:v>268200</x:v>
      </x:c>
      <x:c r="BT131" s="5" t="n">
        <x:v>187600</x:v>
      </x:c>
      <x:c r="BU131" s="5" t="n">
        <x:v>322900</x:v>
      </x:c>
      <x:c r="BV131" s="5" t="n">
        <x:v>377800</x:v>
      </x:c>
      <x:c r="BW131" s="5" t="n">
        <x:v>778300</x:v>
      </x:c>
      <x:c r="BX131" s="5" t="n">
        <x:v>427600</x:v>
      </x:c>
      <x:c r="BY131" s="5" t="n">
        <x:v>803500</x:v>
      </x:c>
      <x:c r="BZ131" s="5" t="n">
        <x:v>212.4867</x:v>
      </x:c>
      <x:c r="CA131" s="5" t="n">
        <x:v>236.2267</x:v>
      </x:c>
      <x:c r="CB131" s="5" t="n">
        <x:v>556.95</x:v>
      </x:c>
      <x:c r="CC131" s="5" t="n">
        <x:v>693.56</x:v>
      </x:c>
      <x:c r="CD131" s="5" t="n">
        <x:v>850.5</x:v>
      </x:c>
      <x:c r="CE131" s="5" t="n">
        <x:v>789.59</x:v>
      </x:c>
      <x:c r="CF131" s="5" t="n">
        <x:v>460.72</x:v>
      </x:c>
      <x:c r="CG131" s="5" t="n">
        <x:v>143.9</x:v>
      </x:c>
      <x:c r="CH131" s="5" t="n">
        <x:v>254.08</x:v>
      </x:c>
      <x:c r="CI131" s="5" t="n">
        <x:v>888.99</x:v>
      </x:c>
      <x:c r="CJ131" s="5" t="n">
        <x:v>973.27</x:v>
      </x:c>
      <x:c r="CK131" s="5" t="n">
        <x:v>801.61</x:v>
      </x:c>
      <x:c r="CL131" s="5" t="n">
        <x:v>1102.28</x:v>
      </x:c>
      <x:c r="CM131" s="5" t="n">
        <x:v>609.15</x:v>
      </x:c>
      <x:c r="CN131" s="5"/>
      <x:c r="CO131" s="5"/>
      <x:c r="CP131" s="5"/>
      <x:c r="CQ131" s="5"/>
      <x:c r="CR131" s="5"/>
      <x:c r="CS131" s="5"/>
      <x:c r="CT131" s="5"/>
      <x:c r="CU131" s="5"/>
      <x:c r="CV131" s="5"/>
      <x:c r="CW131" s="5"/>
      <x:c r="CX131" s="5" t="n">
        <x:v>1408567.21</x:v>
      </x:c>
      <x:c r="CY131" s="5" t="n">
        <x:v>1198381.12</x:v>
      </x:c>
      <x:c r="CZ131" s="5" t="n">
        <x:v>1130288.03</x:v>
      </x:c>
      <x:c r="DA131" s="5" t="n">
        <x:v>1551340.76</x:v>
      </x:c>
      <x:c r="DB131" s="5" t="n">
        <x:v>921507.93</x:v>
      </x:c>
      <x:c r="DC131" s="5" t="n">
        <x:v>676196.16</x:v>
      </x:c>
      <x:c r="DD131" s="5" t="n">
        <x:v>1139648.77</x:v>
      </x:c>
      <x:c r="DE131" s="5" t="n">
        <x:v>1177275.06</x:v>
      </x:c>
      <x:c r="DF131" s="5" t="n">
        <x:v>661786</x:v>
      </x:c>
      <x:c r="DG131" s="5" t="n">
        <x:v>873714.8</x:v>
      </x:c>
      <x:c r="DH131" s="5" t="n">
        <x:v>745653.89</x:v>
      </x:c>
      <x:c r="DI131" s="5" t="n">
        <x:v>794136.88</x:v>
      </x:c>
      <x:c r="DJ131" s="5" t="n">
        <x:v>763923.29</x:v>
      </x:c>
      <x:c r="DK131" s="5" t="n">
        <x:v>1079062.53</x:v>
      </x:c>
      <x:c r="DL131" s="5" t="n">
        <x:v>758996.31</x:v>
      </x:c>
      <x:c r="DM131" s="5" t="n">
        <x:v>714132.85</x:v>
      </x:c>
    </x:row>
    <x:row r="132">
      <x:c r="A132" s="5" t="n">
        <x:v>127</x:v>
      </x:c>
      <x:c r="B132" s="5" t="str">
        <x:v>乙酸己酯</x:v>
      </x:c>
      <x:c r="C132" s="5" t="str">
        <x:v>142-92-7</x:v>
      </x:c>
      <x:c r="D132" s="5" t="n">
        <x:v>5560</x:v>
      </x:c>
      <x:c r="E132" s="5"/>
      <x:c r="F132" s="5"/>
      <x:c r="G132" s="5"/>
      <x:c r="H132" s="5"/>
      <x:c r="I132" s="5"/>
      <x:c r="J132" s="5"/>
      <x:c r="K132" s="5"/>
      <x:c r="L132" s="5"/>
      <x:c r="M132" s="5"/>
      <x:c r="N132" s="5" t="n">
        <x:v>7506</x:v>
      </x:c>
      <x:c r="O132" s="5" t="n">
        <x:v>7306</x:v>
      </x:c>
      <x:c r="P132" s="5" t="n">
        <x:v>7197</x:v>
      </x:c>
      <x:c r="Q132" s="5" t="n">
        <x:v>6819</x:v>
      </x:c>
      <x:c r="R132" s="5" t="n">
        <x:v>7589</x:v>
      </x:c>
      <x:c r="S132" s="5" t="n">
        <x:v>8093</x:v>
      </x:c>
      <x:c r="T132" s="5"/>
      <x:c r="U132" s="5"/>
      <x:c r="V132" s="5"/>
      <x:c r="W132" s="5" t="n">
        <x:v>21200</x:v>
      </x:c>
      <x:c r="X132" s="5" t="n">
        <x:v>9130</x:v>
      </x:c>
      <x:c r="Y132" s="5" t="n">
        <x:v>9200</x:v>
      </x:c>
      <x:c r="Z132" s="5" t="n">
        <x:v>6940</x:v>
      </x:c>
      <x:c r="AA132" s="5" t="n">
        <x:v>10500</x:v>
      </x:c>
      <x:c r="AB132" s="5" t="n">
        <x:v>1390</x:v>
      </x:c>
      <x:c r="AC132" s="5" t="n">
        <x:v>779</x:v>
      </x:c>
      <x:c r="AD132" s="5" t="n">
        <x:v>297</x:v>
      </x:c>
      <x:c r="AE132" s="5"/>
      <x:c r="AF132" s="5"/>
      <x:c r="AG132" s="5"/>
      <x:c r="AH132" s="5"/>
      <x:c r="AI132" s="5"/>
      <x:c r="AJ132" s="5"/>
      <x:c r="AK132" s="5" t="n">
        <x:v>121720</x:v>
      </x:c>
      <x:c r="AL132" s="5" t="n">
        <x:v>90200</x:v>
      </x:c>
      <x:c r="AM132" s="5" t="n">
        <x:v>90</x:v>
      </x:c>
      <x:c r="AN132" s="5"/>
      <x:c r="AO132" s="5"/>
      <x:c r="AP132" s="5" t="n">
        <x:v>110</x:v>
      </x:c>
      <x:c r="AQ132" s="5" t="n">
        <x:v>32.81</x:v>
      </x:c>
      <x:c r="AR132" s="5" t="n">
        <x:v>11.2</x:v>
      </x:c>
      <x:c r="AS132" s="5" t="n">
        <x:v>6.31</x:v>
      </x:c>
      <x:c r="AT132" s="5" t="n">
        <x:v>9.03</x:v>
      </x:c>
      <x:c r="AU132" s="5"/>
      <x:c r="AV132" s="5"/>
      <x:c r="AW132" s="5"/>
      <x:c r="AX132" s="5"/>
      <x:c r="AY132" s="5"/>
      <x:c r="AZ132" s="5" t="n">
        <x:v>442</x:v>
      </x:c>
      <x:c r="BA132" s="5" t="n">
        <x:v>761</x:v>
      </x:c>
      <x:c r="BB132" s="5" t="n">
        <x:v>57.79</x:v>
      </x:c>
      <x:c r="BC132" s="5" t="n">
        <x:v>1</x:v>
      </x:c>
      <x:c r="BD132" s="5" t="n">
        <x:v>1260.09</x:v>
      </x:c>
      <x:c r="BE132" s="5" t="n">
        <x:v>701.49</x:v>
      </x:c>
      <x:c r="BF132" s="5" t="n">
        <x:v>1510.08</x:v>
      </x:c>
      <x:c r="BG132" s="5" t="n">
        <x:v>898.42</x:v>
      </x:c>
      <x:c r="BH132" s="5" t="n">
        <x:v>1649.11</x:v>
      </x:c>
      <x:c r="BI132" s="5" t="n">
        <x:v>808.23</x:v>
      </x:c>
      <x:c r="BJ132" s="5" t="n">
        <x:v>112.72</x:v>
      </x:c>
      <x:c r="BK132" s="5" t="n">
        <x:v>10.32</x:v>
      </x:c>
      <x:c r="BL132" s="5" t="n">
        <x:v>22.02</x:v>
      </x:c>
      <x:c r="BM132" s="5" t="n">
        <x:v>22.05</x:v>
      </x:c>
      <x:c r="BN132" s="5" t="n">
        <x:v>14.2</x:v>
      </x:c>
      <x:c r="BO132" s="5" t="n">
        <x:v>21.75</x:v>
      </x:c>
      <x:c r="BP132" s="5" t="n">
        <x:v>254.51</x:v>
      </x:c>
      <x:c r="BQ132" s="5"/>
      <x:c r="BR132" s="5"/>
      <x:c r="BS132" s="5"/>
      <x:c r="BT132" s="5"/>
      <x:c r="BU132" s="5"/>
      <x:c r="BV132" s="5"/>
      <x:c r="BW132" s="5"/>
      <x:c r="BX132" s="5"/>
      <x:c r="BY132" s="5"/>
      <x:c r="BZ132" s="5" t="n">
        <x:v>80.4633</x:v>
      </x:c>
      <x:c r="CA132" s="5" t="n">
        <x:v>88.6067</x:v>
      </x:c>
      <x:c r="CB132" s="5" t="n">
        <x:v>48.94</x:v>
      </x:c>
      <x:c r="CC132" s="5" t="n">
        <x:v>38.54</x:v>
      </x:c>
      <x:c r="CD132" s="5" t="n">
        <x:v>179.81</x:v>
      </x:c>
      <x:c r="CE132" s="5" t="n">
        <x:v>53.42</x:v>
      </x:c>
      <x:c r="CF132" s="5" t="n">
        <x:v>132.81</x:v>
      </x:c>
      <x:c r="CG132" s="5" t="n">
        <x:v>23.74</x:v>
      </x:c>
      <x:c r="CH132" s="5" t="n">
        <x:v>17.62</x:v>
      </x:c>
      <x:c r="CI132" s="5" t="n">
        <x:v>82.39</x:v>
      </x:c>
      <x:c r="CJ132" s="5" t="n">
        <x:v>344.8</x:v>
      </x:c>
      <x:c r="CK132" s="5" t="n">
        <x:v>240.95</x:v>
      </x:c>
      <x:c r="CL132" s="5" t="n">
        <x:v>176.12</x:v>
      </x:c>
      <x:c r="CM132" s="5" t="n">
        <x:v>123.78</x:v>
      </x:c>
      <x:c r="CN132" s="5" t="n">
        <x:v>5074</x:v>
      </x:c>
      <x:c r="CO132" s="5" t="n">
        <x:v>48008</x:v>
      </x:c>
      <x:c r="CP132" s="5" t="n">
        <x:v>7874</x:v>
      </x:c>
      <x:c r="CQ132" s="5" t="n">
        <x:v>10060</x:v>
      </x:c>
      <x:c r="CR132" s="5"/>
      <x:c r="CS132" s="5"/>
      <x:c r="CT132" s="5" t="n">
        <x:v>181.04</x:v>
      </x:c>
      <x:c r="CU132" s="5" t="n">
        <x:v>51.94</x:v>
      </x:c>
      <x:c r="CV132" s="5" t="n">
        <x:v>178.46</x:v>
      </x:c>
      <x:c r="CW132" s="5" t="n">
        <x:v>136.23</x:v>
      </x:c>
      <x:c r="CX132" s="5" t="n">
        <x:v>482.26</x:v>
      </x:c>
      <x:c r="CY132" s="5" t="n">
        <x:v>1647.1</x:v>
      </x:c>
      <x:c r="CZ132" s="5" t="n">
        <x:v>2037.72</x:v>
      </x:c>
      <x:c r="DA132" s="5" t="n">
        <x:v>1368.35</x:v>
      </x:c>
      <x:c r="DB132" s="5" t="n">
        <x:v>4362.65</x:v>
      </x:c>
      <x:c r="DC132" s="5" t="n">
        <x:v>567.37</x:v>
      </x:c>
      <x:c r="DD132" s="5" t="n">
        <x:v>3885</x:v>
      </x:c>
      <x:c r="DE132" s="5" t="n">
        <x:v>1994.63</x:v>
      </x:c>
      <x:c r="DF132" s="5" t="n">
        <x:v>77.16</x:v>
      </x:c>
      <x:c r="DG132" s="5" t="n">
        <x:v>645.95</x:v>
      </x:c>
      <x:c r="DH132" s="5" t="n">
        <x:v>325.31</x:v>
      </x:c>
      <x:c r="DI132" s="5" t="n">
        <x:v>110.79</x:v>
      </x:c>
      <x:c r="DJ132" s="5" t="n">
        <x:v>164.25</x:v>
      </x:c>
      <x:c r="DK132" s="5" t="n">
        <x:v>702.82</x:v>
      </x:c>
      <x:c r="DL132" s="5" t="n">
        <x:v>885.33</x:v>
      </x:c>
      <x:c r="DM132" s="5" t="n">
        <x:v>467.25</x:v>
      </x:c>
    </x:row>
    <x:row r="133">
      <x:c r="A133" s="5" t="n">
        <x:v>128</x:v>
      </x:c>
      <x:c r="B133" s="5" t="str">
        <x:v>1-壬醇</x:v>
      </x:c>
      <x:c r="C133" s="5" t="str">
        <x:v>143-08-8</x:v>
      </x:c>
      <x:c r="D133" s="5" t="n">
        <x:v>806</x:v>
      </x:c>
      <x:c r="E133" s="5"/>
      <x:c r="F133" s="5"/>
      <x:c r="G133" s="5"/>
      <x:c r="H133" s="5" t="n">
        <x:v>0.16</x:v>
      </x:c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 t="n">
        <x:v>1.5</x:v>
      </x:c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  <x:c r="BA133" s="5"/>
      <x:c r="BB133" s="5"/>
      <x:c r="BC133" s="5"/>
      <x:c r="BD133" s="5"/>
      <x:c r="BE133" s="5"/>
      <x:c r="BF133" s="5"/>
      <x:c r="BG133" s="5"/>
      <x:c r="BH133" s="5"/>
      <x:c r="BI133" s="5"/>
      <x:c r="BJ133" s="5"/>
      <x:c r="BK133" s="5"/>
      <x:c r="BL133" s="5"/>
      <x:c r="BM133" s="5"/>
      <x:c r="BN133" s="5"/>
      <x:c r="BO133" s="5"/>
      <x:c r="BP133" s="5"/>
      <x:c r="BQ133" s="5"/>
      <x:c r="BR133" s="5"/>
      <x:c r="BS133" s="5"/>
      <x:c r="BT133" s="5"/>
      <x:c r="BU133" s="5"/>
      <x:c r="BV133" s="5"/>
      <x:c r="BW133" s="5"/>
      <x:c r="BX133" s="5"/>
      <x:c r="BY133" s="5"/>
      <x:c r="BZ133" s="5" t="n">
        <x:v>10.335</x:v>
      </x:c>
      <x:c r="CA133" s="5" t="n">
        <x:v>41.735</x:v>
      </x:c>
      <x:c r="CB133" s="5" t="n">
        <x:v>188.86</x:v>
      </x:c>
      <x:c r="CC133" s="5" t="n">
        <x:v>71.62</x:v>
      </x:c>
      <x:c r="CD133" s="5" t="n">
        <x:v>507.06</x:v>
      </x:c>
      <x:c r="CE133" s="5" t="n">
        <x:v>176.27</x:v>
      </x:c>
      <x:c r="CF133" s="5" t="n">
        <x:v>85.9</x:v>
      </x:c>
      <x:c r="CG133" s="5" t="n">
        <x:v>243.42</x:v>
      </x:c>
      <x:c r="CH133" s="5" t="n">
        <x:v>216.03</x:v>
      </x:c>
      <x:c r="CI133" s="5" t="n">
        <x:v>177.67</x:v>
      </x:c>
      <x:c r="CJ133" s="5" t="n">
        <x:v>199.33</x:v>
      </x:c>
      <x:c r="CK133" s="5" t="n">
        <x:v>96.77</x:v>
      </x:c>
      <x:c r="CL133" s="5" t="n">
        <x:v>101.41</x:v>
      </x:c>
      <x:c r="CM133" s="5" t="n">
        <x:v>135.93</x:v>
      </x:c>
      <x:c r="CN133" s="5"/>
      <x:c r="CO133" s="5"/>
      <x:c r="CP133" s="5"/>
      <x:c r="CQ133" s="5"/>
      <x:c r="CR133" s="5"/>
      <x:c r="CS133" s="5"/>
      <x:c r="CT133" s="5"/>
      <x:c r="CU133" s="5"/>
      <x:c r="CV133" s="5"/>
      <x:c r="CW133" s="5"/>
      <x:c r="CX133" s="5"/>
      <x:c r="CY133" s="5" t="n">
        <x:v>218.47</x:v>
      </x:c>
      <x:c r="CZ133" s="5" t="n">
        <x:v>129.99</x:v>
      </x:c>
      <x:c r="DA133" s="5"/>
      <x:c r="DB133" s="5" t="n">
        <x:v>119.62</x:v>
      </x:c>
      <x:c r="DC133" s="5" t="n">
        <x:v>300.87</x:v>
      </x:c>
      <x:c r="DD133" s="5" t="n">
        <x:v>296.16</x:v>
      </x:c>
      <x:c r="DE133" s="5"/>
      <x:c r="DF133" s="5" t="n">
        <x:v>766.71</x:v>
      </x:c>
      <x:c r="DG133" s="5"/>
      <x:c r="DH133" s="5" t="n">
        <x:v>651.09</x:v>
      </x:c>
      <x:c r="DI133" s="5"/>
      <x:c r="DJ133" s="5" t="n">
        <x:v>435.92</x:v>
      </x:c>
      <x:c r="DK133" s="5"/>
      <x:c r="DL133" s="5" t="n">
        <x:v>533.06</x:v>
      </x:c>
      <x:c r="DM133" s="5"/>
    </x:row>
    <x:row r="134">
      <x:c r="A134" s="5" t="n">
        <x:v>129</x:v>
      </x:c>
      <x:c r="B134" s="5" t="str">
        <x:v>癸酸</x:v>
      </x:c>
      <x:c r="C134" s="5" t="str">
        <x:v>334-48-5</x:v>
      </x:c>
      <x:c r="D134" s="5"/>
      <x:c r="E134" s="5"/>
      <x:c r="F134" s="5"/>
      <x:c r="G134" s="5"/>
      <x:c r="H134" s="5"/>
      <x:c r="I134" s="5" t="n">
        <x:v>4.09</x:v>
      </x:c>
      <x:c r="J134" s="5" t="n">
        <x:v>5.22</x:v>
      </x:c>
      <x:c r="K134" s="5" t="n">
        <x:v>1.53</x:v>
      </x:c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  <x:c r="BA134" s="5"/>
      <x:c r="BB134" s="5"/>
      <x:c r="BC134" s="5"/>
      <x:c r="BD134" s="5"/>
      <x:c r="BE134" s="5"/>
      <x:c r="BF134" s="5"/>
      <x:c r="BG134" s="5"/>
      <x:c r="BH134" s="5"/>
      <x:c r="BI134" s="5"/>
      <x:c r="BJ134" s="5"/>
      <x:c r="BK134" s="5"/>
      <x:c r="BL134" s="5"/>
      <x:c r="BM134" s="5"/>
      <x:c r="BN134" s="5"/>
      <x:c r="BO134" s="5"/>
      <x:c r="BP134" s="5"/>
      <x:c r="BQ134" s="5"/>
      <x:c r="BR134" s="5"/>
      <x:c r="BS134" s="5"/>
      <x:c r="BT134" s="5"/>
      <x:c r="BU134" s="5"/>
      <x:c r="BV134" s="5"/>
      <x:c r="BW134" s="5"/>
      <x:c r="BX134" s="5"/>
      <x:c r="BY134" s="5"/>
      <x:c r="BZ134" s="5" t="n">
        <x:v>467.42</x:v>
      </x:c>
      <x:c r="CA134" s="5" t="n">
        <x:v>632.76</x:v>
      </x:c>
      <x:c r="CB134" s="5" t="n">
        <x:v>1287.12</x:v>
      </x:c>
      <x:c r="CC134" s="5" t="n">
        <x:v>1393.59</x:v>
      </x:c>
      <x:c r="CD134" s="5" t="n">
        <x:v>1626.93</x:v>
      </x:c>
      <x:c r="CE134" s="5" t="n">
        <x:v>2010.62</x:v>
      </x:c>
      <x:c r="CF134" s="5" t="n">
        <x:v>1419.53</x:v>
      </x:c>
      <x:c r="CG134" s="5" t="n">
        <x:v>693.6</x:v>
      </x:c>
      <x:c r="CH134" s="5" t="n">
        <x:v>693.6</x:v>
      </x:c>
      <x:c r="CI134" s="5" t="n">
        <x:v>1102.04</x:v>
      </x:c>
      <x:c r="CJ134" s="5" t="n">
        <x:v>1275.49</x:v>
      </x:c>
      <x:c r="CK134" s="5" t="n">
        <x:v>9977.76</x:v>
      </x:c>
      <x:c r="CL134" s="5" t="n">
        <x:v>5197.08</x:v>
      </x:c>
      <x:c r="CM134" s="5" t="n">
        <x:v>2761.98</x:v>
      </x:c>
      <x:c r="CN134" s="5"/>
      <x:c r="CO134" s="5"/>
      <x:c r="CP134" s="5"/>
      <x:c r="CQ134" s="5"/>
      <x:c r="CR134" s="5"/>
      <x:c r="CS134" s="5"/>
      <x:c r="CT134" s="5"/>
      <x:c r="CU134" s="5"/>
      <x:c r="CV134" s="5"/>
      <x:c r="CW134" s="5"/>
      <x:c r="CX134" s="5"/>
      <x:c r="CY134" s="5"/>
      <x:c r="CZ134" s="5"/>
      <x:c r="DA134" s="5"/>
      <x:c r="DB134" s="5"/>
      <x:c r="DC134" s="5"/>
      <x:c r="DD134" s="5"/>
      <x:c r="DE134" s="5"/>
      <x:c r="DF134" s="5"/>
      <x:c r="DG134" s="5"/>
      <x:c r="DH134" s="5"/>
      <x:c r="DI134" s="5"/>
      <x:c r="DJ134" s="5"/>
      <x:c r="DK134" s="5"/>
      <x:c r="DL134" s="5"/>
      <x:c r="DM134" s="5"/>
    </x:row>
    <x:row r="135">
      <x:c r="A135" s="5" t="n">
        <x:v>130</x:v>
      </x:c>
      <x:c r="B135" s="5"/>
      <x:c r="C135" s="5" t="str">
        <x:v>431-63-8</x:v>
      </x:c>
      <x:c r="D135" s="5"/>
      <x:c r="E135" s="5"/>
      <x:c r="F135" s="5"/>
      <x:c r="G135" s="5"/>
      <x:c r="H135" s="5" t="n">
        <x:v>0.97</x:v>
      </x:c>
      <x:c r="I135" s="5"/>
      <x:c r="J135" s="5" t="n">
        <x:v>5.73</x:v>
      </x:c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  <x:c r="BA135" s="5"/>
      <x:c r="BB135" s="5"/>
      <x:c r="BC135" s="5"/>
      <x:c r="BD135" s="5"/>
      <x:c r="BE135" s="5"/>
      <x:c r="BF135" s="5"/>
      <x:c r="BG135" s="5"/>
      <x:c r="BH135" s="5"/>
      <x:c r="BI135" s="5"/>
      <x:c r="BJ135" s="5"/>
      <x:c r="BK135" s="5"/>
      <x:c r="BL135" s="5"/>
      <x:c r="BM135" s="5"/>
      <x:c r="BN135" s="5"/>
      <x:c r="BO135" s="5"/>
      <x:c r="BP135" s="5"/>
      <x:c r="BQ135" s="5"/>
      <x:c r="BR135" s="5"/>
      <x:c r="BS135" s="5"/>
      <x:c r="BT135" s="5"/>
      <x:c r="BU135" s="5"/>
      <x:c r="BV135" s="5"/>
      <x:c r="BW135" s="5"/>
      <x:c r="BX135" s="5"/>
      <x:c r="BY135" s="5"/>
      <x:c r="BZ135" s="5"/>
      <x:c r="CA135" s="5"/>
      <x:c r="CB135" s="5"/>
      <x:c r="CC135" s="5"/>
      <x:c r="CD135" s="5"/>
      <x:c r="CE135" s="5"/>
      <x:c r="CF135" s="5"/>
      <x:c r="CG135" s="5"/>
      <x:c r="CH135" s="5"/>
      <x:c r="CI135" s="5"/>
      <x:c r="CJ135" s="5"/>
      <x:c r="CK135" s="5"/>
      <x:c r="CL135" s="5"/>
      <x:c r="CM135" s="5"/>
      <x:c r="CN135" s="5"/>
      <x:c r="CO135" s="5"/>
      <x:c r="CP135" s="5"/>
      <x:c r="CQ135" s="5"/>
      <x:c r="CR135" s="5"/>
      <x:c r="CS135" s="5"/>
      <x:c r="CT135" s="5"/>
      <x:c r="CU135" s="5"/>
      <x:c r="CV135" s="5"/>
      <x:c r="CW135" s="5"/>
      <x:c r="CX135" s="5"/>
      <x:c r="CY135" s="5"/>
      <x:c r="CZ135" s="5"/>
      <x:c r="DA135" s="5"/>
      <x:c r="DB135" s="5"/>
      <x:c r="DC135" s="5"/>
      <x:c r="DD135" s="5"/>
      <x:c r="DE135" s="5"/>
      <x:c r="DF135" s="5"/>
      <x:c r="DG135" s="5"/>
      <x:c r="DH135" s="5"/>
      <x:c r="DI135" s="5"/>
      <x:c r="DJ135" s="5"/>
      <x:c r="DK135" s="5"/>
      <x:c r="DL135" s="5"/>
      <x:c r="DM135" s="5"/>
    </x:row>
    <x:row r="136">
      <x:c r="A136" s="5" t="n">
        <x:v>131</x:v>
      </x:c>
      <x:c r="B136" s="5" t="str">
        <x:v>二乙氧基甲烷</x:v>
      </x:c>
      <x:c r="C136" s="5" t="str">
        <x:v>462-95-3</x:v>
      </x:c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  <x:c r="BA136" s="5" t="n">
        <x:v>23</x:v>
      </x:c>
      <x:c r="BB136" s="5"/>
      <x:c r="BC136" s="5"/>
      <x:c r="BD136" s="5"/>
      <x:c r="BE136" s="5"/>
      <x:c r="BF136" s="5"/>
      <x:c r="BG136" s="5"/>
      <x:c r="BH136" s="5"/>
      <x:c r="BI136" s="5"/>
      <x:c r="BJ136" s="5"/>
      <x:c r="BK136" s="5"/>
      <x:c r="BL136" s="5"/>
      <x:c r="BM136" s="5"/>
      <x:c r="BN136" s="5"/>
      <x:c r="BO136" s="5"/>
      <x:c r="BP136" s="5"/>
      <x:c r="BQ136" s="5"/>
      <x:c r="BR136" s="5"/>
      <x:c r="BS136" s="5"/>
      <x:c r="BT136" s="5"/>
      <x:c r="BU136" s="5"/>
      <x:c r="BV136" s="5"/>
      <x:c r="BW136" s="5"/>
      <x:c r="BX136" s="5"/>
      <x:c r="BY136" s="5"/>
      <x:c r="BZ136" s="5"/>
      <x:c r="CA136" s="5"/>
      <x:c r="CB136" s="5"/>
      <x:c r="CC136" s="5"/>
      <x:c r="CD136" s="5"/>
      <x:c r="CE136" s="5"/>
      <x:c r="CF136" s="5"/>
      <x:c r="CG136" s="5"/>
      <x:c r="CH136" s="5"/>
      <x:c r="CI136" s="5"/>
      <x:c r="CJ136" s="5"/>
      <x:c r="CK136" s="5"/>
      <x:c r="CL136" s="5"/>
      <x:c r="CM136" s="5"/>
      <x:c r="CN136" s="5"/>
      <x:c r="CO136" s="5"/>
      <x:c r="CP136" s="5"/>
      <x:c r="CQ136" s="5"/>
      <x:c r="CR136" s="5"/>
      <x:c r="CS136" s="5"/>
      <x:c r="CT136" s="5"/>
      <x:c r="CU136" s="5"/>
      <x:c r="CV136" s="5"/>
      <x:c r="CW136" s="5"/>
      <x:c r="CX136" s="5"/>
      <x:c r="CY136" s="5"/>
      <x:c r="CZ136" s="5"/>
      <x:c r="DA136" s="5"/>
      <x:c r="DB136" s="5"/>
      <x:c r="DC136" s="5"/>
      <x:c r="DD136" s="5"/>
      <x:c r="DE136" s="5"/>
      <x:c r="DF136" s="5"/>
      <x:c r="DG136" s="5"/>
      <x:c r="DH136" s="5"/>
      <x:c r="DI136" s="5"/>
      <x:c r="DJ136" s="5"/>
      <x:c r="DK136" s="5"/>
      <x:c r="DL136" s="5"/>
      <x:c r="DM136" s="5"/>
    </x:row>
    <x:row r="137">
      <x:c r="A137" s="5" t="n">
        <x:v>132</x:v>
      </x:c>
      <x:c r="B137" s="5"/>
      <x:c r="C137" s="5" t="str">
        <x:v>463-40-1</x:v>
      </x:c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 t="n">
        <x:v>479</x:v>
      </x:c>
      <x:c r="O137" s="5" t="n">
        <x:v>444</x:v>
      </x:c>
      <x:c r="P137" s="5" t="n">
        <x:v>445</x:v>
      </x:c>
      <x:c r="Q137" s="5" t="n">
        <x:v>442</x:v>
      </x:c>
      <x:c r="R137" s="5" t="n">
        <x:v>124</x:v>
      </x:c>
      <x:c r="S137" s="5" t="n">
        <x:v>478</x:v>
      </x:c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  <x:c r="BA137" s="5"/>
      <x:c r="BB137" s="5"/>
      <x:c r="BC137" s="5"/>
      <x:c r="BD137" s="5"/>
      <x:c r="BE137" s="5"/>
      <x:c r="BF137" s="5"/>
      <x:c r="BG137" s="5"/>
      <x:c r="BH137" s="5"/>
      <x:c r="BI137" s="5"/>
      <x:c r="BJ137" s="5"/>
      <x:c r="BK137" s="5"/>
      <x:c r="BL137" s="5"/>
      <x:c r="BM137" s="5"/>
      <x:c r="BN137" s="5"/>
      <x:c r="BO137" s="5"/>
      <x:c r="BP137" s="5"/>
      <x:c r="BQ137" s="5"/>
      <x:c r="BR137" s="5"/>
      <x:c r="BS137" s="5"/>
      <x:c r="BT137" s="5"/>
      <x:c r="BU137" s="5"/>
      <x:c r="BV137" s="5"/>
      <x:c r="BW137" s="5"/>
      <x:c r="BX137" s="5"/>
      <x:c r="BY137" s="5"/>
      <x:c r="BZ137" s="5"/>
      <x:c r="CA137" s="5"/>
      <x:c r="CB137" s="5"/>
      <x:c r="CC137" s="5"/>
      <x:c r="CD137" s="5"/>
      <x:c r="CE137" s="5"/>
      <x:c r="CF137" s="5"/>
      <x:c r="CG137" s="5"/>
      <x:c r="CH137" s="5"/>
      <x:c r="CI137" s="5"/>
      <x:c r="CJ137" s="5"/>
      <x:c r="CK137" s="5"/>
      <x:c r="CL137" s="5"/>
      <x:c r="CM137" s="5"/>
      <x:c r="CN137" s="5"/>
      <x:c r="CO137" s="5"/>
      <x:c r="CP137" s="5"/>
      <x:c r="CQ137" s="5"/>
      <x:c r="CR137" s="5"/>
      <x:c r="CS137" s="5"/>
      <x:c r="CT137" s="5"/>
      <x:c r="CU137" s="5"/>
      <x:c r="CV137" s="5"/>
      <x:c r="CW137" s="5"/>
      <x:c r="CX137" s="5"/>
      <x:c r="CY137" s="5"/>
      <x:c r="CZ137" s="5"/>
      <x:c r="DA137" s="5"/>
      <x:c r="DB137" s="5"/>
      <x:c r="DC137" s="5"/>
      <x:c r="DD137" s="5"/>
      <x:c r="DE137" s="5"/>
      <x:c r="DF137" s="5"/>
      <x:c r="DG137" s="5"/>
      <x:c r="DH137" s="5"/>
      <x:c r="DI137" s="5"/>
      <x:c r="DJ137" s="5"/>
      <x:c r="DK137" s="5"/>
      <x:c r="DL137" s="5"/>
      <x:c r="DM137" s="5"/>
    </x:row>
    <x:row r="138">
      <x:c r="A138" s="5" t="n">
        <x:v>133</x:v>
      </x:c>
      <x:c r="B138" s="5" t="str">
        <x:v>3-糠醛</x:v>
      </x:c>
      <x:c r="C138" s="5" t="str">
        <x:v>498-60-2</x:v>
      </x:c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 t="n">
        <x:v>5790</x:v>
      </x:c>
      <x:c r="AF138" s="5" t="n">
        <x:v>11980</x:v>
      </x:c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  <x:c r="BA138" s="5"/>
      <x:c r="BB138" s="5"/>
      <x:c r="BC138" s="5"/>
      <x:c r="BD138" s="5"/>
      <x:c r="BE138" s="5"/>
      <x:c r="BF138" s="5"/>
      <x:c r="BG138" s="5"/>
      <x:c r="BH138" s="5"/>
      <x:c r="BI138" s="5"/>
      <x:c r="BJ138" s="5"/>
      <x:c r="BK138" s="5"/>
      <x:c r="BL138" s="5"/>
      <x:c r="BM138" s="5"/>
      <x:c r="BN138" s="5"/>
      <x:c r="BO138" s="5"/>
      <x:c r="BP138" s="5"/>
      <x:c r="BQ138" s="5"/>
      <x:c r="BR138" s="5"/>
      <x:c r="BS138" s="5"/>
      <x:c r="BT138" s="5"/>
      <x:c r="BU138" s="5"/>
      <x:c r="BV138" s="5"/>
      <x:c r="BW138" s="5"/>
      <x:c r="BX138" s="5"/>
      <x:c r="BY138" s="5"/>
      <x:c r="BZ138" s="5"/>
      <x:c r="CA138" s="5"/>
      <x:c r="CB138" s="5"/>
      <x:c r="CC138" s="5"/>
      <x:c r="CD138" s="5"/>
      <x:c r="CE138" s="5"/>
      <x:c r="CF138" s="5"/>
      <x:c r="CG138" s="5"/>
      <x:c r="CH138" s="5"/>
      <x:c r="CI138" s="5"/>
      <x:c r="CJ138" s="5"/>
      <x:c r="CK138" s="5"/>
      <x:c r="CL138" s="5"/>
      <x:c r="CM138" s="5"/>
      <x:c r="CN138" s="5"/>
      <x:c r="CO138" s="5"/>
      <x:c r="CP138" s="5"/>
      <x:c r="CQ138" s="5"/>
      <x:c r="CR138" s="5"/>
      <x:c r="CS138" s="5"/>
      <x:c r="CT138" s="5"/>
      <x:c r="CU138" s="5"/>
      <x:c r="CV138" s="5"/>
      <x:c r="CW138" s="5"/>
      <x:c r="CX138" s="5"/>
      <x:c r="CY138" s="5"/>
      <x:c r="CZ138" s="5"/>
      <x:c r="DA138" s="5"/>
      <x:c r="DB138" s="5"/>
      <x:c r="DC138" s="5"/>
      <x:c r="DD138" s="5"/>
      <x:c r="DE138" s="5"/>
      <x:c r="DF138" s="5"/>
      <x:c r="DG138" s="5"/>
      <x:c r="DH138" s="5"/>
      <x:c r="DI138" s="5"/>
      <x:c r="DJ138" s="5"/>
      <x:c r="DK138" s="5"/>
      <x:c r="DL138" s="5"/>
      <x:c r="DM138" s="5"/>
    </x:row>
    <x:row r="139">
      <x:c r="A139" s="5" t="n">
        <x:v>134</x:v>
      </x:c>
      <x:c r="B139" s="5" t="str">
        <x:v>3-苯基丙酸</x:v>
      </x:c>
      <x:c r="C139" s="5" t="str">
        <x:v>501-52-0</x:v>
      </x:c>
      <x:c r="D139" s="5"/>
      <x:c r="E139" s="5" t="n">
        <x:v>473</x:v>
      </x:c>
      <x:c r="F139" s="5" t="n">
        <x:v>374</x:v>
      </x:c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  <x:c r="BA139" s="5"/>
      <x:c r="BB139" s="5"/>
      <x:c r="BC139" s="5"/>
      <x:c r="BD139" s="5"/>
      <x:c r="BE139" s="5"/>
      <x:c r="BF139" s="5"/>
      <x:c r="BG139" s="5"/>
      <x:c r="BH139" s="5"/>
      <x:c r="BI139" s="5"/>
      <x:c r="BJ139" s="5"/>
      <x:c r="BK139" s="5"/>
      <x:c r="BL139" s="5"/>
      <x:c r="BM139" s="5"/>
      <x:c r="BN139" s="5"/>
      <x:c r="BO139" s="5"/>
      <x:c r="BP139" s="5"/>
      <x:c r="BQ139" s="5"/>
      <x:c r="BR139" s="5"/>
      <x:c r="BS139" s="5"/>
      <x:c r="BT139" s="5"/>
      <x:c r="BU139" s="5"/>
      <x:c r="BV139" s="5"/>
      <x:c r="BW139" s="5"/>
      <x:c r="BX139" s="5"/>
      <x:c r="BY139" s="5"/>
      <x:c r="BZ139" s="5"/>
      <x:c r="CA139" s="5"/>
      <x:c r="CB139" s="5"/>
      <x:c r="CC139" s="5"/>
      <x:c r="CD139" s="5"/>
      <x:c r="CE139" s="5"/>
      <x:c r="CF139" s="5"/>
      <x:c r="CG139" s="5"/>
      <x:c r="CH139" s="5"/>
      <x:c r="CI139" s="5"/>
      <x:c r="CJ139" s="5"/>
      <x:c r="CK139" s="5"/>
      <x:c r="CL139" s="5"/>
      <x:c r="CM139" s="5"/>
      <x:c r="CN139" s="5"/>
      <x:c r="CO139" s="5"/>
      <x:c r="CP139" s="5"/>
      <x:c r="CQ139" s="5"/>
      <x:c r="CR139" s="5"/>
      <x:c r="CS139" s="5"/>
      <x:c r="CT139" s="5"/>
      <x:c r="CU139" s="5"/>
      <x:c r="CV139" s="5"/>
      <x:c r="CW139" s="5"/>
      <x:c r="CX139" s="5"/>
      <x:c r="CY139" s="5"/>
      <x:c r="CZ139" s="5"/>
      <x:c r="DA139" s="5"/>
      <x:c r="DB139" s="5"/>
      <x:c r="DC139" s="5"/>
      <x:c r="DD139" s="5"/>
      <x:c r="DE139" s="5"/>
      <x:c r="DF139" s="5"/>
      <x:c r="DG139" s="5"/>
      <x:c r="DH139" s="5"/>
      <x:c r="DI139" s="5"/>
      <x:c r="DJ139" s="5"/>
      <x:c r="DK139" s="5"/>
      <x:c r="DL139" s="5"/>
      <x:c r="DM139" s="5"/>
    </x:row>
    <x:row r="140">
      <x:c r="A140" s="5" t="n">
        <x:v>135</x:v>
      </x:c>
      <x:c r="B140" s="5"/>
      <x:c r="C140" s="5" t="str">
        <x:v>502-69-2</x:v>
      </x:c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 t="n">
        <x:v>508</x:v>
      </x:c>
      <x:c r="O140" s="5" t="n">
        <x:v>221</x:v>
      </x:c>
      <x:c r="P140" s="5" t="n">
        <x:v>384</x:v>
      </x:c>
      <x:c r="Q140" s="5" t="n">
        <x:v>314</x:v>
      </x:c>
      <x:c r="R140" s="5" t="n">
        <x:v>277</x:v>
      </x:c>
      <x:c r="S140" s="5" t="n">
        <x:v>449</x:v>
      </x:c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  <x:c r="BA140" s="5"/>
      <x:c r="BB140" s="5"/>
      <x:c r="BC140" s="5"/>
      <x:c r="BD140" s="5"/>
      <x:c r="BE140" s="5"/>
      <x:c r="BF140" s="5"/>
      <x:c r="BG140" s="5"/>
      <x:c r="BH140" s="5"/>
      <x:c r="BI140" s="5"/>
      <x:c r="BJ140" s="5"/>
      <x:c r="BK140" s="5"/>
      <x:c r="BL140" s="5"/>
      <x:c r="BM140" s="5"/>
      <x:c r="BN140" s="5"/>
      <x:c r="BO140" s="5"/>
      <x:c r="BP140" s="5"/>
      <x:c r="BQ140" s="5"/>
      <x:c r="BR140" s="5"/>
      <x:c r="BS140" s="5"/>
      <x:c r="BT140" s="5"/>
      <x:c r="BU140" s="5"/>
      <x:c r="BV140" s="5"/>
      <x:c r="BW140" s="5"/>
      <x:c r="BX140" s="5"/>
      <x:c r="BY140" s="5"/>
      <x:c r="BZ140" s="5"/>
      <x:c r="CA140" s="5"/>
      <x:c r="CB140" s="5"/>
      <x:c r="CC140" s="5"/>
      <x:c r="CD140" s="5"/>
      <x:c r="CE140" s="5"/>
      <x:c r="CF140" s="5"/>
      <x:c r="CG140" s="5"/>
      <x:c r="CH140" s="5"/>
      <x:c r="CI140" s="5"/>
      <x:c r="CJ140" s="5"/>
      <x:c r="CK140" s="5"/>
      <x:c r="CL140" s="5"/>
      <x:c r="CM140" s="5"/>
      <x:c r="CN140" s="5"/>
      <x:c r="CO140" s="5"/>
      <x:c r="CP140" s="5"/>
      <x:c r="CQ140" s="5"/>
      <x:c r="CR140" s="5"/>
      <x:c r="CS140" s="5"/>
      <x:c r="CT140" s="5"/>
      <x:c r="CU140" s="5"/>
      <x:c r="CV140" s="5"/>
      <x:c r="CW140" s="5"/>
      <x:c r="CX140" s="5"/>
      <x:c r="CY140" s="5"/>
      <x:c r="CZ140" s="5"/>
      <x:c r="DA140" s="5"/>
      <x:c r="DB140" s="5"/>
      <x:c r="DC140" s="5"/>
      <x:c r="DD140" s="5"/>
      <x:c r="DE140" s="5"/>
      <x:c r="DF140" s="5"/>
      <x:c r="DG140" s="5"/>
      <x:c r="DH140" s="5"/>
      <x:c r="DI140" s="5"/>
      <x:c r="DJ140" s="5"/>
      <x:c r="DK140" s="5"/>
      <x:c r="DL140" s="5"/>
      <x:c r="DM140" s="5"/>
    </x:row>
    <x:row r="141">
      <x:c r="A141" s="5" t="n">
        <x:v>136</x:v>
      </x:c>
      <x:c r="B141" s="5" t="str">
        <x:v>异戊酸/3-甲基丁酸</x:v>
      </x:c>
      <x:c r="C141" s="5" t="str">
        <x:v>503-74-2</x:v>
      </x:c>
      <x:c r="D141" s="5" t="n">
        <x:v>1050</x:v>
      </x:c>
      <x:c r="E141" s="5" t="n">
        <x:v>3885</x:v>
      </x:c>
      <x:c r="F141" s="5" t="n">
        <x:v>13702</x:v>
      </x:c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 t="n">
        <x:v>7</x:v>
      </x:c>
      <x:c r="U141" s="5" t="n">
        <x:v>9</x:v>
      </x:c>
      <x:c r="V141" s="5" t="n">
        <x:v>1.1875</x:v>
      </x:c>
      <x:c r="W141" s="5" t="n">
        <x:v>26500</x:v>
      </x:c>
      <x:c r="X141" s="5" t="n">
        <x:v>12100</x:v>
      </x:c>
      <x:c r="Y141" s="5" t="n">
        <x:v>26300</x:v>
      </x:c>
      <x:c r="Z141" s="5" t="n">
        <x:v>13600</x:v>
      </x:c>
      <x:c r="AA141" s="5" t="n">
        <x:v>44000</x:v>
      </x:c>
      <x:c r="AB141" s="5" t="n">
        <x:v>21000</x:v>
      </x:c>
      <x:c r="AC141" s="5" t="n">
        <x:v>33800</x:v>
      </x:c>
      <x:c r="AD141" s="5" t="n">
        <x:v>688</x:v>
      </x:c>
      <x:c r="AE141" s="5" t="n">
        <x:v>11210</x:v>
      </x:c>
      <x:c r="AF141" s="5" t="n">
        <x:v>10880</x:v>
      </x:c>
      <x:c r="AG141" s="5" t="n">
        <x:v>1185</x:v>
      </x:c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 t="n">
        <x:v>9.57</x:v>
      </x:c>
      <x:c r="AR141" s="5" t="n">
        <x:v>9.64</x:v>
      </x:c>
      <x:c r="AS141" s="5" t="n">
        <x:v>15.8</x:v>
      </x:c>
      <x:c r="AT141" s="5" t="n">
        <x:v>15.89</x:v>
      </x:c>
      <x:c r="AU141" s="5"/>
      <x:c r="AV141" s="5" t="n">
        <x:v>0</x:v>
      </x:c>
      <x:c r="AW141" s="5" t="n">
        <x:v>21</x:v>
      </x:c>
      <x:c r="AX141" s="5" t="n">
        <x:v>14564</x:v>
      </x:c>
      <x:c r="AY141" s="5" t="n">
        <x:v>0</x:v>
      </x:c>
      <x:c r="AZ141" s="5"/>
      <x:c r="BA141" s="5"/>
      <x:c r="BB141" s="5"/>
      <x:c r="BC141" s="5"/>
      <x:c r="BD141" s="5" t="n">
        <x:v>6.61</x:v>
      </x:c>
      <x:c r="BE141" s="5" t="n">
        <x:v>12.49</x:v>
      </x:c>
      <x:c r="BF141" s="5" t="n">
        <x:v>9.21</x:v>
      </x:c>
      <x:c r="BG141" s="5" t="n">
        <x:v>5.49</x:v>
      </x:c>
      <x:c r="BH141" s="5"/>
      <x:c r="BI141" s="5" t="n">
        <x:v>6.07</x:v>
      </x:c>
      <x:c r="BJ141" s="5"/>
      <x:c r="BK141" s="5" t="n">
        <x:v>7.38</x:v>
      </x:c>
      <x:c r="BL141" s="5" t="n">
        <x:v>3.2</x:v>
      </x:c>
      <x:c r="BM141" s="5" t="n">
        <x:v>10.33</x:v>
      </x:c>
      <x:c r="BN141" s="5" t="n">
        <x:v>2.44</x:v>
      </x:c>
      <x:c r="BO141" s="5" t="n">
        <x:v>9.157</x:v>
      </x:c>
      <x:c r="BP141" s="5"/>
      <x:c r="BQ141" s="5" t="n">
        <x:v>7100</x:v>
      </x:c>
      <x:c r="BR141" s="5" t="n">
        <x:v>18100</x:v>
      </x:c>
      <x:c r="BS141" s="5" t="n">
        <x:v>12600</x:v>
      </x:c>
      <x:c r="BT141" s="5" t="n">
        <x:v>15800</x:v>
      </x:c>
      <x:c r="BU141" s="5" t="n">
        <x:v>32300</x:v>
      </x:c>
      <x:c r="BV141" s="5" t="n">
        <x:v>7000</x:v>
      </x:c>
      <x:c r="BW141" s="5" t="n">
        <x:v>25600</x:v>
      </x:c>
      <x:c r="BX141" s="5" t="n">
        <x:v>16900</x:v>
      </x:c>
      <x:c r="BY141" s="5" t="n">
        <x:v>26000</x:v>
      </x:c>
      <x:c r="BZ141" s="5" t="n">
        <x:v>5.04</x:v>
      </x:c>
      <x:c r="CA141" s="5" t="n">
        <x:v>5.255</x:v>
      </x:c>
      <x:c r="CB141" s="5" t="n">
        <x:v>4.8</x:v>
      </x:c>
      <x:c r="CC141" s="5" t="n">
        <x:v>4.8</x:v>
      </x:c>
      <x:c r="CD141" s="5" t="n">
        <x:v>5.17</x:v>
      </x:c>
      <x:c r="CE141" s="5" t="n">
        <x:v>11.83</x:v>
      </x:c>
      <x:c r="CF141" s="5" t="n">
        <x:v>4.93</x:v>
      </x:c>
      <x:c r="CG141" s="5" t="n">
        <x:v>1.37</x:v>
      </x:c>
      <x:c r="CH141" s="5" t="n">
        <x:v>1.6</x:v>
      </x:c>
      <x:c r="CI141" s="5" t="n">
        <x:v>11.47</x:v>
      </x:c>
      <x:c r="CJ141" s="5" t="n">
        <x:v>12.74</x:v>
      </x:c>
      <x:c r="CK141" s="5" t="n">
        <x:v>12.71</x:v>
      </x:c>
      <x:c r="CL141" s="5" t="n">
        <x:v>13.17</x:v>
      </x:c>
      <x:c r="CM141" s="5" t="n">
        <x:v>7.44</x:v>
      </x:c>
      <x:c r="CN141" s="5"/>
      <x:c r="CO141" s="5"/>
      <x:c r="CP141" s="5"/>
      <x:c r="CQ141" s="5"/>
      <x:c r="CR141" s="5"/>
      <x:c r="CS141" s="5"/>
      <x:c r="CT141" s="5"/>
      <x:c r="CU141" s="5"/>
      <x:c r="CV141" s="5"/>
      <x:c r="CW141" s="5"/>
      <x:c r="CX141" s="5" t="n">
        <x:v>13694.63</x:v>
      </x:c>
      <x:c r="CY141" s="5" t="n">
        <x:v>10206.88</x:v>
      </x:c>
      <x:c r="CZ141" s="5" t="n">
        <x:v>6864.55</x:v>
      </x:c>
      <x:c r="DA141" s="5" t="n">
        <x:v>12747.1</x:v>
      </x:c>
      <x:c r="DB141" s="5" t="n">
        <x:v>4760.44</x:v>
      </x:c>
      <x:c r="DC141" s="5" t="n">
        <x:v>14470.96</x:v>
      </x:c>
      <x:c r="DD141" s="5" t="n">
        <x:v>12847.69</x:v>
      </x:c>
      <x:c r="DE141" s="5" t="n">
        <x:v>15474.39</x:v>
      </x:c>
      <x:c r="DF141" s="5" t="n">
        <x:v>7017.64</x:v>
      </x:c>
      <x:c r="DG141" s="5" t="n">
        <x:v>5762.54</x:v>
      </x:c>
      <x:c r="DH141" s="5" t="n">
        <x:v>8091.67</x:v>
      </x:c>
      <x:c r="DI141" s="5" t="n">
        <x:v>5175.73</x:v>
      </x:c>
      <x:c r="DJ141" s="5" t="n">
        <x:v>7943.99</x:v>
      </x:c>
      <x:c r="DK141" s="5" t="n">
        <x:v>6506.78</x:v>
      </x:c>
      <x:c r="DL141" s="5" t="n">
        <x:v>7716.44</x:v>
      </x:c>
      <x:c r="DM141" s="5" t="n">
        <x:v>6655.6</x:v>
      </x:c>
    </x:row>
    <x:row r="142">
      <x:c r="A142" s="5" t="n">
        <x:v>137</x:v>
      </x:c>
      <x:c r="B142" s="5"/>
      <x:c r="C142" s="5" t="str">
        <x:v>505-10-2</x:v>
      </x:c>
      <x:c r="D142" s="5"/>
      <x:c r="E142" s="5"/>
      <x:c r="F142" s="5" t="n">
        <x:v>205</x:v>
      </x:c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 t="n">
        <x:v>4000</x:v>
      </x:c>
      <x:c r="X142" s="5" t="n">
        <x:v>1100</x:v>
      </x:c>
      <x:c r="Y142" s="5" t="n">
        <x:v>3420</x:v>
      </x:c>
      <x:c r="Z142" s="5" t="n">
        <x:v>2420</x:v>
      </x:c>
      <x:c r="AA142" s="5" t="n">
        <x:v>8140</x:v>
      </x:c>
      <x:c r="AB142" s="5" t="n">
        <x:v>1080</x:v>
      </x:c>
      <x:c r="AC142" s="5" t="n">
        <x:v>8660</x:v>
      </x:c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  <x:c r="BA142" s="5"/>
      <x:c r="BB142" s="5"/>
      <x:c r="BC142" s="5"/>
      <x:c r="BD142" s="5"/>
      <x:c r="BE142" s="5"/>
      <x:c r="BF142" s="5"/>
      <x:c r="BG142" s="5"/>
      <x:c r="BH142" s="5"/>
      <x:c r="BI142" s="5"/>
      <x:c r="BJ142" s="5"/>
      <x:c r="BK142" s="5"/>
      <x:c r="BL142" s="5"/>
      <x:c r="BM142" s="5"/>
      <x:c r="BN142" s="5"/>
      <x:c r="BO142" s="5"/>
      <x:c r="BP142" s="5"/>
      <x:c r="BQ142" s="5"/>
      <x:c r="BR142" s="5"/>
      <x:c r="BS142" s="5"/>
      <x:c r="BT142" s="5"/>
      <x:c r="BU142" s="5"/>
      <x:c r="BV142" s="5"/>
      <x:c r="BW142" s="5"/>
      <x:c r="BX142" s="5"/>
      <x:c r="BY142" s="5"/>
      <x:c r="BZ142" s="5"/>
      <x:c r="CA142" s="5"/>
      <x:c r="CB142" s="5"/>
      <x:c r="CC142" s="5"/>
      <x:c r="CD142" s="5"/>
      <x:c r="CE142" s="5"/>
      <x:c r="CF142" s="5"/>
      <x:c r="CG142" s="5"/>
      <x:c r="CH142" s="5"/>
      <x:c r="CI142" s="5"/>
      <x:c r="CJ142" s="5"/>
      <x:c r="CK142" s="5"/>
      <x:c r="CL142" s="5"/>
      <x:c r="CM142" s="5"/>
      <x:c r="CN142" s="5"/>
      <x:c r="CO142" s="5"/>
      <x:c r="CP142" s="5"/>
      <x:c r="CQ142" s="5"/>
      <x:c r="CR142" s="5"/>
      <x:c r="CS142" s="5"/>
      <x:c r="CT142" s="5"/>
      <x:c r="CU142" s="5"/>
      <x:c r="CV142" s="5"/>
      <x:c r="CW142" s="5"/>
      <x:c r="CX142" s="5"/>
      <x:c r="CY142" s="5"/>
      <x:c r="CZ142" s="5"/>
      <x:c r="DA142" s="5"/>
      <x:c r="DB142" s="5"/>
      <x:c r="DC142" s="5"/>
      <x:c r="DD142" s="5"/>
      <x:c r="DE142" s="5"/>
      <x:c r="DF142" s="5"/>
      <x:c r="DG142" s="5"/>
      <x:c r="DH142" s="5"/>
      <x:c r="DI142" s="5"/>
      <x:c r="DJ142" s="5"/>
      <x:c r="DK142" s="5"/>
      <x:c r="DL142" s="5"/>
      <x:c r="DM142" s="5"/>
    </x:row>
    <x:row r="143">
      <x:c r="A143" s="5" t="n">
        <x:v>138</x:v>
      </x:c>
      <x:c r="B143" s="5" t="str">
        <x:v>苯甲酸乙酯</x:v>
      </x:c>
      <x:c r="C143" s="5" t="str">
        <x:v>513-85-9</x:v>
      </x:c>
      <x:c r="D143" s="5" t="n">
        <x:v>407</x:v>
      </x:c>
      <x:c r="E143" s="5"/>
      <x:c r="F143" s="5"/>
      <x:c r="G143" s="5" t="n">
        <x:v>2.32</x:v>
      </x:c>
      <x:c r="H143" s="5" t="n">
        <x:v>2.19</x:v>
      </x:c>
      <x:c r="I143" s="5" t="n">
        <x:v>1.25</x:v>
      </x:c>
      <x:c r="J143" s="5" t="n">
        <x:v>1.27</x:v>
      </x:c>
      <x:c r="K143" s="5" t="n">
        <x:v>2.34</x:v>
      </x:c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 t="n">
        <x:v>7.13</x:v>
      </x:c>
      <x:c r="AV143" s="5"/>
      <x:c r="AW143" s="5"/>
      <x:c r="AX143" s="5"/>
      <x:c r="AY143" s="5"/>
      <x:c r="AZ143" s="5"/>
      <x:c r="BA143" s="5"/>
      <x:c r="BB143" s="5"/>
      <x:c r="BC143" s="5"/>
      <x:c r="BD143" s="5"/>
      <x:c r="BE143" s="5"/>
      <x:c r="BF143" s="5"/>
      <x:c r="BG143" s="5"/>
      <x:c r="BH143" s="5"/>
      <x:c r="BI143" s="5"/>
      <x:c r="BJ143" s="5"/>
      <x:c r="BK143" s="5"/>
      <x:c r="BL143" s="5"/>
      <x:c r="BM143" s="5"/>
      <x:c r="BN143" s="5"/>
      <x:c r="BO143" s="5"/>
      <x:c r="BP143" s="5"/>
      <x:c r="BQ143" s="5"/>
      <x:c r="BR143" s="5"/>
      <x:c r="BS143" s="5"/>
      <x:c r="BT143" s="5"/>
      <x:c r="BU143" s="5"/>
      <x:c r="BV143" s="5"/>
      <x:c r="BW143" s="5"/>
      <x:c r="BX143" s="5"/>
      <x:c r="BY143" s="5"/>
      <x:c r="BZ143" s="5"/>
      <x:c r="CA143" s="5"/>
      <x:c r="CB143" s="5"/>
      <x:c r="CC143" s="5"/>
      <x:c r="CD143" s="5"/>
      <x:c r="CE143" s="5"/>
      <x:c r="CF143" s="5"/>
      <x:c r="CG143" s="5"/>
      <x:c r="CH143" s="5"/>
      <x:c r="CI143" s="5"/>
      <x:c r="CJ143" s="5"/>
      <x:c r="CK143" s="5"/>
      <x:c r="CL143" s="5"/>
      <x:c r="CM143" s="5"/>
      <x:c r="CN143" s="5"/>
      <x:c r="CO143" s="5"/>
      <x:c r="CP143" s="5"/>
      <x:c r="CQ143" s="5"/>
      <x:c r="CR143" s="5"/>
      <x:c r="CS143" s="5"/>
      <x:c r="CT143" s="5"/>
      <x:c r="CU143" s="5"/>
      <x:c r="CV143" s="5"/>
      <x:c r="CW143" s="5"/>
      <x:c r="CX143" s="5"/>
      <x:c r="CY143" s="5"/>
      <x:c r="CZ143" s="5"/>
      <x:c r="DA143" s="5"/>
      <x:c r="DB143" s="5"/>
      <x:c r="DC143" s="5"/>
      <x:c r="DD143" s="5"/>
      <x:c r="DE143" s="5"/>
      <x:c r="DF143" s="5"/>
      <x:c r="DG143" s="5"/>
      <x:c r="DH143" s="5"/>
      <x:c r="DI143" s="5"/>
      <x:c r="DJ143" s="5"/>
      <x:c r="DK143" s="5"/>
      <x:c r="DL143" s="5"/>
      <x:c r="DM143" s="5"/>
    </x:row>
    <x:row r="144">
      <x:c r="A144" s="5" t="n">
        <x:v>139</x:v>
      </x:c>
      <x:c r="B144" s="5" t="str">
        <x:v>3-羟基-2-丁酮</x:v>
      </x:c>
      <x:c r="C144" s="5" t="str">
        <x:v>513-86-0</x:v>
      </x:c>
      <x:c r="D144" s="5" t="n">
        <x:v>259</x:v>
      </x:c>
      <x:c r="E144" s="5"/>
      <x:c r="F144" s="5"/>
      <x:c r="G144" s="5" t="n">
        <x:v>4.1</x:v>
      </x:c>
      <x:c r="H144" s="5" t="n">
        <x:v>1.68</x:v>
      </x:c>
      <x:c r="I144" s="5" t="n">
        <x:v>0.95</x:v>
      </x:c>
      <x:c r="J144" s="5" t="n">
        <x:v>77.53</x:v>
      </x:c>
      <x:c r="K144" s="5" t="n">
        <x:v>55.38</x:v>
      </x:c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 t="n">
        <x:v>420</x:v>
      </x:c>
      <x:c r="AI144" s="5" t="n">
        <x:v>260</x:v>
      </x:c>
      <x:c r="AJ144" s="5" t="n">
        <x:v>180</x:v>
      </x:c>
      <x:c r="AK144" s="5"/>
      <x:c r="AL144" s="5"/>
      <x:c r="AM144" s="5"/>
      <x:c r="AN144" s="5"/>
      <x:c r="AO144" s="5"/>
      <x:c r="AP144" s="5"/>
      <x:c r="AQ144" s="5"/>
      <x:c r="AR144" s="5" t="n">
        <x:v>1.21</x:v>
      </x:c>
      <x:c r="AS144" s="5" t="n">
        <x:v>4.35</x:v>
      </x:c>
      <x:c r="AT144" s="5" t="n">
        <x:v>4.52</x:v>
      </x:c>
      <x:c r="AU144" s="5" t="n">
        <x:v>15.18</x:v>
      </x:c>
      <x:c r="AV144" s="5"/>
      <x:c r="AW144" s="5"/>
      <x:c r="AX144" s="5"/>
      <x:c r="AY144" s="5"/>
      <x:c r="AZ144" s="5"/>
      <x:c r="BA144" s="5"/>
      <x:c r="BB144" s="5"/>
      <x:c r="BC144" s="5"/>
      <x:c r="BD144" s="5"/>
      <x:c r="BE144" s="5"/>
      <x:c r="BF144" s="5"/>
      <x:c r="BG144" s="5"/>
      <x:c r="BH144" s="5"/>
      <x:c r="BI144" s="5"/>
      <x:c r="BJ144" s="5"/>
      <x:c r="BK144" s="5"/>
      <x:c r="BL144" s="5"/>
      <x:c r="BM144" s="5"/>
      <x:c r="BN144" s="5"/>
      <x:c r="BO144" s="5"/>
      <x:c r="BP144" s="5"/>
      <x:c r="BQ144" s="5"/>
      <x:c r="BR144" s="5"/>
      <x:c r="BS144" s="5"/>
      <x:c r="BT144" s="5"/>
      <x:c r="BU144" s="5"/>
      <x:c r="BV144" s="5"/>
      <x:c r="BW144" s="5"/>
      <x:c r="BX144" s="5"/>
      <x:c r="BY144" s="5"/>
      <x:c r="BZ144" s="5"/>
      <x:c r="CA144" s="5"/>
      <x:c r="CB144" s="5"/>
      <x:c r="CC144" s="5"/>
      <x:c r="CD144" s="5"/>
      <x:c r="CE144" s="5"/>
      <x:c r="CF144" s="5"/>
      <x:c r="CG144" s="5"/>
      <x:c r="CH144" s="5"/>
      <x:c r="CI144" s="5"/>
      <x:c r="CJ144" s="5"/>
      <x:c r="CK144" s="5"/>
      <x:c r="CL144" s="5"/>
      <x:c r="CM144" s="5"/>
      <x:c r="CN144" s="5"/>
      <x:c r="CO144" s="5"/>
      <x:c r="CP144" s="5"/>
      <x:c r="CQ144" s="5"/>
      <x:c r="CR144" s="5"/>
      <x:c r="CS144" s="5"/>
      <x:c r="CT144" s="5"/>
      <x:c r="CU144" s="5"/>
      <x:c r="CV144" s="5"/>
      <x:c r="CW144" s="5"/>
      <x:c r="CX144" s="5"/>
      <x:c r="CY144" s="5"/>
      <x:c r="CZ144" s="5"/>
      <x:c r="DA144" s="5"/>
      <x:c r="DB144" s="5"/>
      <x:c r="DC144" s="5"/>
      <x:c r="DD144" s="5"/>
      <x:c r="DE144" s="5"/>
      <x:c r="DF144" s="5"/>
      <x:c r="DG144" s="5"/>
      <x:c r="DH144" s="5"/>
      <x:c r="DI144" s="5"/>
      <x:c r="DJ144" s="5"/>
      <x:c r="DK144" s="5"/>
      <x:c r="DL144" s="5"/>
      <x:c r="DM144" s="5"/>
    </x:row>
    <x:row r="145">
      <x:c r="A145" s="5" t="n">
        <x:v>140</x:v>
      </x:c>
      <x:c r="B145" s="5" t="str">
        <x:v>2-甲基呋喃</x:v>
      </x:c>
      <x:c r="C145" s="5" t="str">
        <x:v>534-22-5</x:v>
      </x:c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  <x:c r="BA145" s="5" t="n">
        <x:v>3</x:v>
      </x:c>
      <x:c r="BB145" s="5"/>
      <x:c r="BC145" s="5"/>
      <x:c r="BD145" s="5"/>
      <x:c r="BE145" s="5"/>
      <x:c r="BF145" s="5"/>
      <x:c r="BG145" s="5"/>
      <x:c r="BH145" s="5"/>
      <x:c r="BI145" s="5"/>
      <x:c r="BJ145" s="5"/>
      <x:c r="BK145" s="5"/>
      <x:c r="BL145" s="5"/>
      <x:c r="BM145" s="5"/>
      <x:c r="BN145" s="5"/>
      <x:c r="BO145" s="5"/>
      <x:c r="BP145" s="5"/>
      <x:c r="BQ145" s="5"/>
      <x:c r="BR145" s="5"/>
      <x:c r="BS145" s="5"/>
      <x:c r="BT145" s="5"/>
      <x:c r="BU145" s="5"/>
      <x:c r="BV145" s="5"/>
      <x:c r="BW145" s="5"/>
      <x:c r="BX145" s="5"/>
      <x:c r="BY145" s="5"/>
      <x:c r="BZ145" s="5"/>
      <x:c r="CA145" s="5"/>
      <x:c r="CB145" s="5"/>
      <x:c r="CC145" s="5"/>
      <x:c r="CD145" s="5"/>
      <x:c r="CE145" s="5"/>
      <x:c r="CF145" s="5"/>
      <x:c r="CG145" s="5"/>
      <x:c r="CH145" s="5"/>
      <x:c r="CI145" s="5"/>
      <x:c r="CJ145" s="5"/>
      <x:c r="CK145" s="5"/>
      <x:c r="CL145" s="5"/>
      <x:c r="CM145" s="5"/>
      <x:c r="CN145" s="5"/>
      <x:c r="CO145" s="5"/>
      <x:c r="CP145" s="5"/>
      <x:c r="CQ145" s="5"/>
      <x:c r="CR145" s="5"/>
      <x:c r="CS145" s="5"/>
      <x:c r="CT145" s="5"/>
      <x:c r="CU145" s="5"/>
      <x:c r="CV145" s="5"/>
      <x:c r="CW145" s="5"/>
      <x:c r="CX145" s="5"/>
      <x:c r="CY145" s="5"/>
      <x:c r="CZ145" s="5"/>
      <x:c r="DA145" s="5"/>
      <x:c r="DB145" s="5"/>
      <x:c r="DC145" s="5"/>
      <x:c r="DD145" s="5"/>
      <x:c r="DE145" s="5"/>
      <x:c r="DF145" s="5"/>
      <x:c r="DG145" s="5"/>
      <x:c r="DH145" s="5"/>
      <x:c r="DI145" s="5"/>
      <x:c r="DJ145" s="5"/>
      <x:c r="DK145" s="5"/>
      <x:c r="DL145" s="5"/>
      <x:c r="DM145" s="5"/>
    </x:row>
    <x:row r="146">
      <x:c r="A146" s="5" t="n">
        <x:v>141</x:v>
      </x:c>
      <x:c r="B146" s="5" t="str">
        <x:v>戊酸乙酯</x:v>
      </x:c>
      <x:c r="C146" s="5" t="str">
        <x:v>539-82-2</x:v>
      </x:c>
      <x:c r="D146" s="5" t="n">
        <x:v>26.8</x:v>
      </x:c>
      <x:c r="E146" s="5" t="n">
        <x:v>44849</x:v>
      </x:c>
      <x:c r="F146" s="5" t="n">
        <x:v>143889</x:v>
      </x:c>
      <x:c r="G146" s="5" t="n">
        <x:v>439.66</x:v>
      </x:c>
      <x:c r="H146" s="5" t="n">
        <x:v>114.58</x:v>
      </x:c>
      <x:c r="I146" s="5" t="n">
        <x:v>80.4</x:v>
      </x:c>
      <x:c r="J146" s="5" t="n">
        <x:v>393.75</x:v>
      </x:c>
      <x:c r="K146" s="5" t="n">
        <x:v>82.3</x:v>
      </x:c>
      <x:c r="L146" s="5" t="n">
        <x:v>18031</x:v>
      </x:c>
      <x:c r="M146" s="5" t="n">
        <x:v>16080</x:v>
      </x:c>
      <x:c r="N146" s="5" t="n">
        <x:v>69105</x:v>
      </x:c>
      <x:c r="O146" s="5" t="n">
        <x:v>109528</x:v>
      </x:c>
      <x:c r="P146" s="5" t="n">
        <x:v>115971</x:v>
      </x:c>
      <x:c r="Q146" s="5" t="n">
        <x:v>124348</x:v>
      </x:c>
      <x:c r="R146" s="5" t="n">
        <x:v>106662</x:v>
      </x:c>
      <x:c r="S146" s="5" t="n">
        <x:v>127159</x:v>
      </x:c>
      <x:c r="T146" s="5" t="n">
        <x:v>0</x:v>
      </x:c>
      <x:c r="U146" s="5" t="n">
        <x:v>6665</x:v>
      </x:c>
      <x:c r="V146" s="5"/>
      <x:c r="W146" s="5" t="n">
        <x:v>193000</x:v>
      </x:c>
      <x:c r="X146" s="5" t="n">
        <x:v>46400</x:v>
      </x:c>
      <x:c r="Y146" s="5" t="n">
        <x:v>34100</x:v>
      </x:c>
      <x:c r="Z146" s="5" t="n">
        <x:v>25100</x:v>
      </x:c>
      <x:c r="AA146" s="5" t="n">
        <x:v>21000</x:v>
      </x:c>
      <x:c r="AB146" s="5" t="n">
        <x:v>15300</x:v>
      </x:c>
      <x:c r="AC146" s="5" t="n">
        <x:v>11900</x:v>
      </x:c>
      <x:c r="AD146" s="5" t="n">
        <x:v>7770</x:v>
      </x:c>
      <x:c r="AE146" s="5" t="n">
        <x:v>236260</x:v>
      </x:c>
      <x:c r="AF146" s="5" t="n">
        <x:v>93770</x:v>
      </x:c>
      <x:c r="AG146" s="5" t="n">
        <x:v>1039840</x:v>
      </x:c>
      <x:c r="AH146" s="5" t="n">
        <x:v>1130</x:v>
      </x:c>
      <x:c r="AI146" s="5" t="n">
        <x:v>9040</x:v>
      </x:c>
      <x:c r="AJ146" s="5" t="n">
        <x:v>3800</x:v>
      </x:c>
      <x:c r="AK146" s="5" t="n">
        <x:v>15550</x:v>
      </x:c>
      <x:c r="AL146" s="5" t="n">
        <x:v>46560</x:v>
      </x:c>
      <x:c r="AM146" s="5"/>
      <x:c r="AN146" s="5"/>
      <x:c r="AO146" s="5"/>
      <x:c r="AP146" s="5"/>
      <x:c r="AQ146" s="5" t="n">
        <x:v>343.15</x:v>
      </x:c>
      <x:c r="AR146" s="5" t="n">
        <x:v>94.67</x:v>
      </x:c>
      <x:c r="AS146" s="5" t="n">
        <x:v>83.73</x:v>
      </x:c>
      <x:c r="AT146" s="5" t="n">
        <x:v>127.85</x:v>
      </x:c>
      <x:c r="AU146" s="5" t="n">
        <x:v>17.71</x:v>
      </x:c>
      <x:c r="AV146" s="5" t="n">
        <x:v>18205</x:v>
      </x:c>
      <x:c r="AW146" s="5" t="n">
        <x:v>2388</x:v>
      </x:c>
      <x:c r="AX146" s="5" t="n">
        <x:v>17738</x:v>
      </x:c>
      <x:c r="AY146" s="5" t="n">
        <x:v>54100</x:v>
      </x:c>
      <x:c r="AZ146" s="5" t="n">
        <x:v>10567</x:v>
      </x:c>
      <x:c r="BA146" s="5" t="n">
        <x:v>8774</x:v>
      </x:c>
      <x:c r="BB146" s="5" t="n">
        <x:v>2.2</x:v>
      </x:c>
      <x:c r="BC146" s="5" t="n">
        <x:v>1326.5</x:v>
      </x:c>
      <x:c r="BD146" s="5" t="n">
        <x:v>22.79</x:v>
      </x:c>
      <x:c r="BE146" s="5" t="n">
        <x:v>540.83</x:v>
      </x:c>
      <x:c r="BF146" s="5" t="n">
        <x:v>439.41</x:v>
      </x:c>
      <x:c r="BG146" s="5" t="n">
        <x:v>10.46</x:v>
      </x:c>
      <x:c r="BH146" s="5" t="n">
        <x:v>37.66</x:v>
      </x:c>
      <x:c r="BI146" s="5" t="n">
        <x:v>5.81</x:v>
      </x:c>
      <x:c r="BJ146" s="5" t="n">
        <x:v>19.8</x:v>
      </x:c>
      <x:c r="BK146" s="5" t="n">
        <x:v>72.57</x:v>
      </x:c>
      <x:c r="BL146" s="5" t="n">
        <x:v>168.4</x:v>
      </x:c>
      <x:c r="BM146" s="5" t="n">
        <x:v>105.92</x:v>
      </x:c>
      <x:c r="BN146" s="5" t="n">
        <x:v>116.42</x:v>
      </x:c>
      <x:c r="BO146" s="5" t="n">
        <x:v>89.56</x:v>
      </x:c>
      <x:c r="BP146" s="5" t="n">
        <x:v>35.55</x:v>
      </x:c>
      <x:c r="BQ146" s="5"/>
      <x:c r="BR146" s="5"/>
      <x:c r="BS146" s="5"/>
      <x:c r="BT146" s="5"/>
      <x:c r="BU146" s="5"/>
      <x:c r="BV146" s="5"/>
      <x:c r="BW146" s="5"/>
      <x:c r="BX146" s="5"/>
      <x:c r="BY146" s="5"/>
      <x:c r="BZ146" s="5" t="n">
        <x:v>1647.0933</x:v>
      </x:c>
      <x:c r="CA146" s="5" t="n">
        <x:v>1713.9833</x:v>
      </x:c>
      <x:c r="CB146" s="5" t="n">
        <x:v>96.19</x:v>
      </x:c>
      <x:c r="CC146" s="5" t="n">
        <x:v>74.3</x:v>
      </x:c>
      <x:c r="CD146" s="5" t="n">
        <x:v>172.95</x:v>
      </x:c>
      <x:c r="CE146" s="5" t="n">
        <x:v>187.93</x:v>
      </x:c>
      <x:c r="CF146" s="5" t="n">
        <x:v>79.51</x:v>
      </x:c>
      <x:c r="CG146" s="5" t="n">
        <x:v>76.49</x:v>
      </x:c>
      <x:c r="CH146" s="5" t="n">
        <x:v>55.9</x:v>
      </x:c>
      <x:c r="CI146" s="5" t="n">
        <x:v>365.85</x:v>
      </x:c>
      <x:c r="CJ146" s="5" t="n">
        <x:v>450.7</x:v>
      </x:c>
      <x:c r="CK146" s="5" t="n">
        <x:v>214.2</x:v>
      </x:c>
      <x:c r="CL146" s="5" t="n">
        <x:v>202.97</x:v>
      </x:c>
      <x:c r="CM146" s="5" t="n">
        <x:v>157.26</x:v>
      </x:c>
      <x:c r="CN146" s="5" t="n">
        <x:v>34353</x:v>
      </x:c>
      <x:c r="CO146" s="5" t="n">
        <x:v>40919</x:v>
      </x:c>
      <x:c r="CP146" s="5" t="n">
        <x:v>44543</x:v>
      </x:c>
      <x:c r="CQ146" s="5" t="n">
        <x:v>47947</x:v>
      </x:c>
      <x:c r="CR146" s="5" t="n">
        <x:v>27166.51</x:v>
      </x:c>
      <x:c r="CS146" s="5" t="n">
        <x:v>33933.56</x:v>
      </x:c>
      <x:c r="CT146" s="5" t="n">
        <x:v>2434.67</x:v>
      </x:c>
      <x:c r="CU146" s="5" t="n">
        <x:v>1774.81</x:v>
      </x:c>
      <x:c r="CV146" s="5" t="n">
        <x:v>1443.09</x:v>
      </x:c>
      <x:c r="CW146" s="5" t="n">
        <x:v>2029.81</x:v>
      </x:c>
      <x:c r="CX146" s="5" t="n">
        <x:v>5905.54</x:v>
      </x:c>
      <x:c r="CY146" s="5" t="n">
        <x:v>9013.55</x:v>
      </x:c>
      <x:c r="CZ146" s="5" t="n">
        <x:v>17277.68</x:v>
      </x:c>
      <x:c r="DA146" s="5" t="n">
        <x:v>12621.33</x:v>
      </x:c>
      <x:c r="DB146" s="5" t="n">
        <x:v>6483.78</x:v>
      </x:c>
      <x:c r="DC146" s="5" t="n">
        <x:v>9898.88</x:v>
      </x:c>
      <x:c r="DD146" s="5" t="n">
        <x:v>10681.44</x:v>
      </x:c>
      <x:c r="DE146" s="5" t="n">
        <x:v>8344.03</x:v>
      </x:c>
      <x:c r="DF146" s="5" t="n">
        <x:v>27536.03</x:v>
      </x:c>
      <x:c r="DG146" s="5" t="n">
        <x:v>19926.68</x:v>
      </x:c>
      <x:c r="DH146" s="5" t="n">
        <x:v>27625.85</x:v>
      </x:c>
      <x:c r="DI146" s="5" t="n">
        <x:v>12113.61</x:v>
      </x:c>
      <x:c r="DJ146" s="5" t="n">
        <x:v>52302.3</x:v>
      </x:c>
      <x:c r="DK146" s="5" t="n">
        <x:v>12189.85</x:v>
      </x:c>
      <x:c r="DL146" s="5" t="n">
        <x:v>17249.93</x:v>
      </x:c>
      <x:c r="DM146" s="5" t="n">
        <x:v>14541.46</x:v>
      </x:c>
    </x:row>
    <x:row r="147">
      <x:c r="A147" s="5" t="n">
        <x:v>142</x:v>
      </x:c>
      <x:c r="B147" s="5" t="str">
        <x:v>丁酸异丁酯</x:v>
      </x:c>
      <x:c r="C147" s="5" t="str">
        <x:v>539-90-2</x:v>
      </x:c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 t="n">
        <x:v>222</x:v>
      </x:c>
      <x:c r="BA147" s="5" t="n">
        <x:v>119</x:v>
      </x:c>
      <x:c r="BB147" s="5"/>
      <x:c r="BC147" s="5"/>
      <x:c r="BD147" s="5"/>
      <x:c r="BE147" s="5"/>
      <x:c r="BF147" s="5"/>
      <x:c r="BG147" s="5"/>
      <x:c r="BH147" s="5"/>
      <x:c r="BI147" s="5"/>
      <x:c r="BJ147" s="5"/>
      <x:c r="BK147" s="5"/>
      <x:c r="BL147" s="5"/>
      <x:c r="BM147" s="5"/>
      <x:c r="BN147" s="5"/>
      <x:c r="BO147" s="5"/>
      <x:c r="BP147" s="5"/>
      <x:c r="BQ147" s="5"/>
      <x:c r="BR147" s="5"/>
      <x:c r="BS147" s="5"/>
      <x:c r="BT147" s="5"/>
      <x:c r="BU147" s="5"/>
      <x:c r="BV147" s="5"/>
      <x:c r="BW147" s="5"/>
      <x:c r="BX147" s="5"/>
      <x:c r="BY147" s="5"/>
      <x:c r="BZ147" s="5"/>
      <x:c r="CA147" s="5"/>
      <x:c r="CB147" s="5"/>
      <x:c r="CC147" s="5"/>
      <x:c r="CD147" s="5"/>
      <x:c r="CE147" s="5"/>
      <x:c r="CF147" s="5"/>
      <x:c r="CG147" s="5"/>
      <x:c r="CH147" s="5"/>
      <x:c r="CI147" s="5"/>
      <x:c r="CJ147" s="5"/>
      <x:c r="CK147" s="5"/>
      <x:c r="CL147" s="5"/>
      <x:c r="CM147" s="5"/>
      <x:c r="CN147" s="5"/>
      <x:c r="CO147" s="5"/>
      <x:c r="CP147" s="5"/>
      <x:c r="CQ147" s="5"/>
      <x:c r="CR147" s="5"/>
      <x:c r="CS147" s="5"/>
      <x:c r="CT147" s="5"/>
      <x:c r="CU147" s="5"/>
      <x:c r="CV147" s="5"/>
      <x:c r="CW147" s="5"/>
      <x:c r="CX147" s="5"/>
      <x:c r="CY147" s="5"/>
      <x:c r="CZ147" s="5"/>
      <x:c r="DA147" s="5"/>
      <x:c r="DB147" s="5"/>
      <x:c r="DC147" s="5"/>
      <x:c r="DD147" s="5"/>
      <x:c r="DE147" s="5"/>
      <x:c r="DF147" s="5"/>
      <x:c r="DG147" s="5"/>
      <x:c r="DH147" s="5"/>
      <x:c r="DI147" s="5"/>
      <x:c r="DJ147" s="5"/>
      <x:c r="DK147" s="5"/>
      <x:c r="DL147" s="5"/>
      <x:c r="DM147" s="5"/>
    </x:row>
    <x:row r="148">
      <x:c r="A148" s="5" t="n">
        <x:v>143</x:v>
      </x:c>
      <x:c r="B148" s="5" t="str">
        <x:v>4-甲基戊酸乙酯/异己酸乙酯</x:v>
      </x:c>
      <x:c r="C148" s="5" t="str">
        <x:v>540-07-8</x:v>
      </x:c>
      <x:c r="D148" s="5"/>
      <x:c r="E148" s="5"/>
      <x:c r="F148" s="5"/>
      <x:c r="G148" s="5"/>
      <x:c r="H148" s="5" t="n">
        <x:v>94.42</x:v>
      </x:c>
      <x:c r="I148" s="5" t="n">
        <x:v>3.48</x:v>
      </x:c>
      <x:c r="J148" s="5"/>
      <x:c r="K148" s="5"/>
      <x:c r="L148" s="5"/>
      <x:c r="M148" s="5"/>
      <x:c r="N148" s="5" t="n">
        <x:v>40843</x:v>
      </x:c>
      <x:c r="O148" s="5" t="n">
        <x:v>35625</x:v>
      </x:c>
      <x:c r="P148" s="5" t="n">
        <x:v>29245</x:v>
      </x:c>
      <x:c r="Q148" s="5" t="n">
        <x:v>24228</x:v>
      </x:c>
      <x:c r="R148" s="5" t="n">
        <x:v>24708</x:v>
      </x:c>
      <x:c r="S148" s="5" t="n">
        <x:v>23626</x:v>
      </x:c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 t="n">
        <x:v>1250</x:v>
      </x:c>
      <x:c r="AL148" s="5" t="n">
        <x:v>1300</x:v>
      </x:c>
      <x:c r="AM148" s="5" t="n">
        <x:v>2590</x:v>
      </x:c>
      <x:c r="AN148" s="5"/>
      <x:c r="AO148" s="5" t="n">
        <x:v>550</x:v>
      </x:c>
      <x:c r="AP148" s="5" t="n">
        <x:v>3350</x:v>
      </x:c>
      <x:c r="AQ148" s="5" t="n">
        <x:v>17.42</x:v>
      </x:c>
      <x:c r="AR148" s="5" t="n">
        <x:v>10.07</x:v>
      </x:c>
      <x:c r="AS148" s="5" t="n">
        <x:v>3.13</x:v>
      </x:c>
      <x:c r="AT148" s="5" t="n">
        <x:v>3.89</x:v>
      </x:c>
      <x:c r="AU148" s="5"/>
      <x:c r="AV148" s="5"/>
      <x:c r="AW148" s="5"/>
      <x:c r="AX148" s="5"/>
      <x:c r="AY148" s="5"/>
      <x:c r="AZ148" s="5"/>
      <x:c r="BA148" s="5" t="n">
        <x:v>2395</x:v>
      </x:c>
      <x:c r="BB148" s="5" t="n">
        <x:v>180.22</x:v>
      </x:c>
      <x:c r="BC148" s="5" t="n">
        <x:v>1</x:v>
      </x:c>
      <x:c r="BD148" s="5" t="n">
        <x:v>256.64</x:v>
      </x:c>
      <x:c r="BE148" s="5" t="n">
        <x:v>442.36</x:v>
      </x:c>
      <x:c r="BF148" s="5" t="n">
        <x:v>466.655</x:v>
      </x:c>
      <x:c r="BG148" s="5" t="n">
        <x:v>65.61</x:v>
      </x:c>
      <x:c r="BH148" s="5" t="n">
        <x:v>5583.96</x:v>
      </x:c>
      <x:c r="BI148" s="5" t="n">
        <x:v>57.34</x:v>
      </x:c>
      <x:c r="BJ148" s="5" t="n">
        <x:v>462.93</x:v>
      </x:c>
      <x:c r="BK148" s="5" t="n">
        <x:v>3412</x:v>
      </x:c>
      <x:c r="BL148" s="5" t="n">
        <x:v>4622.89</x:v>
      </x:c>
      <x:c r="BM148" s="5" t="n">
        <x:v>4350.22</x:v>
      </x:c>
      <x:c r="BN148" s="5" t="n">
        <x:v>4726.98</x:v>
      </x:c>
      <x:c r="BO148" s="5" t="n">
        <x:v>5390.31</x:v>
      </x:c>
      <x:c r="BP148" s="5" t="n">
        <x:v>511.61</x:v>
      </x:c>
      <x:c r="BQ148" s="5"/>
      <x:c r="BR148" s="5"/>
      <x:c r="BS148" s="5"/>
      <x:c r="BT148" s="5"/>
      <x:c r="BU148" s="5"/>
      <x:c r="BV148" s="5"/>
      <x:c r="BW148" s="5"/>
      <x:c r="BX148" s="5"/>
      <x:c r="BY148" s="5"/>
      <x:c r="BZ148" s="5" t="n">
        <x:v>1260.45</x:v>
      </x:c>
      <x:c r="CA148" s="5" t="n">
        <x:v>3043.17</x:v>
      </x:c>
      <x:c r="CB148" s="5" t="n">
        <x:v>2017.38</x:v>
      </x:c>
      <x:c r="CC148" s="5" t="n">
        <x:v>942.17</x:v>
      </x:c>
      <x:c r="CD148" s="5" t="n">
        <x:v>4059.33</x:v>
      </x:c>
      <x:c r="CE148" s="5" t="n">
        <x:v>2077.76</x:v>
      </x:c>
      <x:c r="CF148" s="5" t="n">
        <x:v>2359.92</x:v>
      </x:c>
      <x:c r="CG148" s="5" t="n">
        <x:v>750.18</x:v>
      </x:c>
      <x:c r="CH148" s="5" t="n">
        <x:v>503.8</x:v>
      </x:c>
      <x:c r="CI148" s="5" t="n">
        <x:v>4492.7</x:v>
      </x:c>
      <x:c r="CJ148" s="5" t="n">
        <x:v>8653.01</x:v>
      </x:c>
      <x:c r="CK148" s="5" t="n">
        <x:v>9281.16</x:v>
      </x:c>
      <x:c r="CL148" s="5" t="n">
        <x:v>2977.48</x:v>
      </x:c>
      <x:c r="CM148" s="5"/>
      <x:c r="CN148" s="5"/>
      <x:c r="CO148" s="5"/>
      <x:c r="CP148" s="5"/>
      <x:c r="CQ148" s="5"/>
      <x:c r="CR148" s="5"/>
      <x:c r="CS148" s="5"/>
      <x:c r="CT148" s="5"/>
      <x:c r="CU148" s="5"/>
      <x:c r="CV148" s="5"/>
      <x:c r="CW148" s="5"/>
      <x:c r="CX148" s="5" t="n">
        <x:v>31.17</x:v>
      </x:c>
      <x:c r="CY148" s="5" t="n">
        <x:v>298.54</x:v>
      </x:c>
      <x:c r="CZ148" s="5" t="n">
        <x:v>224.93</x:v>
      </x:c>
      <x:c r="DA148" s="5" t="n">
        <x:v>42.04</x:v>
      </x:c>
      <x:c r="DB148" s="5" t="n">
        <x:v>305.62</x:v>
      </x:c>
      <x:c r="DC148" s="5" t="n">
        <x:v>35.67</x:v>
      </x:c>
      <x:c r="DD148" s="5" t="n">
        <x:v>699.18</x:v>
      </x:c>
      <x:c r="DE148" s="5" t="n">
        <x:v>68.19</x:v>
      </x:c>
      <x:c r="DF148" s="5" t="n">
        <x:v>199.44</x:v>
      </x:c>
      <x:c r="DG148" s="5" t="n">
        <x:v>67.08</x:v>
      </x:c>
      <x:c r="DH148" s="5" t="n">
        <x:v>476.4</x:v>
      </x:c>
      <x:c r="DI148" s="5" t="n">
        <x:v>322.76</x:v>
      </x:c>
      <x:c r="DJ148" s="5" t="n">
        <x:v>208.29</x:v>
      </x:c>
      <x:c r="DK148" s="5" t="n">
        <x:v>73.46</x:v>
      </x:c>
      <x:c r="DL148" s="5" t="n">
        <x:v>2920.01</x:v>
      </x:c>
      <x:c r="DM148" s="5" t="n">
        <x:v>76.44</x:v>
      </x:c>
    </x:row>
    <x:row r="149">
      <x:c r="A149" s="5" t="n">
        <x:v>144</x:v>
      </x:c>
      <x:c r="B149" s="5"/>
      <x:c r="C149" s="5" t="str">
        <x:v>540-18-1</x:v>
      </x:c>
      <x:c r="D149" s="5"/>
      <x:c r="E149" s="5"/>
      <x:c r="F149" s="5"/>
      <x:c r="G149" s="5"/>
      <x:c r="H149" s="5" t="n">
        <x:v>0.05</x:v>
      </x:c>
      <x:c r="I149" s="5"/>
      <x:c r="J149" s="5"/>
      <x:c r="K149" s="5" t="n">
        <x:v>0.85</x:v>
      </x:c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  <x:c r="BA149" s="5"/>
      <x:c r="BB149" s="5"/>
      <x:c r="BC149" s="5"/>
      <x:c r="BD149" s="5"/>
      <x:c r="BE149" s="5"/>
      <x:c r="BF149" s="5"/>
      <x:c r="BG149" s="5"/>
      <x:c r="BH149" s="5"/>
      <x:c r="BI149" s="5"/>
      <x:c r="BJ149" s="5"/>
      <x:c r="BK149" s="5"/>
      <x:c r="BL149" s="5"/>
      <x:c r="BM149" s="5"/>
      <x:c r="BN149" s="5"/>
      <x:c r="BO149" s="5"/>
      <x:c r="BP149" s="5"/>
      <x:c r="BQ149" s="5"/>
      <x:c r="BR149" s="5"/>
      <x:c r="BS149" s="5"/>
      <x:c r="BT149" s="5"/>
      <x:c r="BU149" s="5"/>
      <x:c r="BV149" s="5"/>
      <x:c r="BW149" s="5"/>
      <x:c r="BX149" s="5"/>
      <x:c r="BY149" s="5"/>
      <x:c r="BZ149" s="5"/>
      <x:c r="CA149" s="5"/>
      <x:c r="CB149" s="5"/>
      <x:c r="CC149" s="5"/>
      <x:c r="CD149" s="5"/>
      <x:c r="CE149" s="5"/>
      <x:c r="CF149" s="5"/>
      <x:c r="CG149" s="5"/>
      <x:c r="CH149" s="5"/>
      <x:c r="CI149" s="5"/>
      <x:c r="CJ149" s="5"/>
      <x:c r="CK149" s="5"/>
      <x:c r="CL149" s="5"/>
      <x:c r="CM149" s="5"/>
      <x:c r="CN149" s="5"/>
      <x:c r="CO149" s="5"/>
      <x:c r="CP149" s="5"/>
      <x:c r="CQ149" s="5"/>
      <x:c r="CR149" s="5"/>
      <x:c r="CS149" s="5"/>
      <x:c r="CT149" s="5"/>
      <x:c r="CU149" s="5"/>
      <x:c r="CV149" s="5"/>
      <x:c r="CW149" s="5"/>
      <x:c r="CX149" s="5"/>
      <x:c r="CY149" s="5"/>
      <x:c r="CZ149" s="5"/>
      <x:c r="DA149" s="5"/>
      <x:c r="DB149" s="5"/>
      <x:c r="DC149" s="5"/>
      <x:c r="DD149" s="5"/>
      <x:c r="DE149" s="5"/>
      <x:c r="DF149" s="5"/>
      <x:c r="DG149" s="5"/>
      <x:c r="DH149" s="5"/>
      <x:c r="DI149" s="5"/>
      <x:c r="DJ149" s="5"/>
      <x:c r="DK149" s="5"/>
      <x:c r="DL149" s="5"/>
      <x:c r="DM149" s="5"/>
    </x:row>
    <x:row r="150">
      <x:c r="A150" s="5" t="n">
        <x:v>145</x:v>
      </x:c>
      <x:c r="B150" s="5"/>
      <x:c r="C150" s="5" t="str">
        <x:v>542-10-9</x:v>
      </x:c>
      <x:c r="D150" s="5"/>
      <x:c r="E150" s="5"/>
      <x:c r="F150" s="5"/>
      <x:c r="G150" s="5"/>
      <x:c r="H150" s="5" t="n">
        <x:v>0.73</x:v>
      </x:c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  <x:c r="BA150" s="5"/>
      <x:c r="BB150" s="5"/>
      <x:c r="BC150" s="5"/>
      <x:c r="BD150" s="5"/>
      <x:c r="BE150" s="5"/>
      <x:c r="BF150" s="5"/>
      <x:c r="BG150" s="5"/>
      <x:c r="BH150" s="5"/>
      <x:c r="BI150" s="5"/>
      <x:c r="BJ150" s="5"/>
      <x:c r="BK150" s="5"/>
      <x:c r="BL150" s="5"/>
      <x:c r="BM150" s="5"/>
      <x:c r="BN150" s="5"/>
      <x:c r="BO150" s="5"/>
      <x:c r="BP150" s="5"/>
      <x:c r="BQ150" s="5"/>
      <x:c r="BR150" s="5"/>
      <x:c r="BS150" s="5"/>
      <x:c r="BT150" s="5"/>
      <x:c r="BU150" s="5"/>
      <x:c r="BV150" s="5"/>
      <x:c r="BW150" s="5"/>
      <x:c r="BX150" s="5"/>
      <x:c r="BY150" s="5"/>
      <x:c r="BZ150" s="5"/>
      <x:c r="CA150" s="5"/>
      <x:c r="CB150" s="5"/>
      <x:c r="CC150" s="5"/>
      <x:c r="CD150" s="5"/>
      <x:c r="CE150" s="5"/>
      <x:c r="CF150" s="5"/>
      <x:c r="CG150" s="5"/>
      <x:c r="CH150" s="5"/>
      <x:c r="CI150" s="5"/>
      <x:c r="CJ150" s="5"/>
      <x:c r="CK150" s="5"/>
      <x:c r="CL150" s="5"/>
      <x:c r="CM150" s="5"/>
      <x:c r="CN150" s="5"/>
      <x:c r="CO150" s="5"/>
      <x:c r="CP150" s="5"/>
      <x:c r="CQ150" s="5"/>
      <x:c r="CR150" s="5"/>
      <x:c r="CS150" s="5"/>
      <x:c r="CT150" s="5"/>
      <x:c r="CU150" s="5"/>
      <x:c r="CV150" s="5"/>
      <x:c r="CW150" s="5"/>
      <x:c r="CX150" s="5"/>
      <x:c r="CY150" s="5"/>
      <x:c r="CZ150" s="5"/>
      <x:c r="DA150" s="5"/>
      <x:c r="DB150" s="5"/>
      <x:c r="DC150" s="5"/>
      <x:c r="DD150" s="5"/>
      <x:c r="DE150" s="5"/>
      <x:c r="DF150" s="5"/>
      <x:c r="DG150" s="5"/>
      <x:c r="DH150" s="5"/>
      <x:c r="DI150" s="5"/>
      <x:c r="DJ150" s="5"/>
      <x:c r="DK150" s="5"/>
      <x:c r="DL150" s="5"/>
      <x:c r="DM150" s="5"/>
    </x:row>
    <x:row r="151">
      <x:c r="A151" s="5" t="n">
        <x:v>146</x:v>
      </x:c>
      <x:c r="B151" s="5" t="str">
        <x:v>2-庚醇</x:v>
      </x:c>
      <x:c r="C151" s="5" t="str">
        <x:v>543-49-7</x:v>
      </x:c>
      <x:c r="D151" s="5" t="n">
        <x:v>1431</x:v>
      </x:c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 t="n">
        <x:v>0</x:v>
      </x:c>
      <x:c r="U151" s="5" t="n">
        <x:v>0</x:v>
      </x:c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  <x:c r="BA151" s="5"/>
      <x:c r="BB151" s="5"/>
      <x:c r="BC151" s="5"/>
      <x:c r="BD151" s="5"/>
      <x:c r="BE151" s="5"/>
      <x:c r="BF151" s="5"/>
      <x:c r="BG151" s="5"/>
      <x:c r="BH151" s="5"/>
      <x:c r="BI151" s="5"/>
      <x:c r="BJ151" s="5"/>
      <x:c r="BK151" s="5"/>
      <x:c r="BL151" s="5"/>
      <x:c r="BM151" s="5"/>
      <x:c r="BN151" s="5"/>
      <x:c r="BO151" s="5"/>
      <x:c r="BP151" s="5"/>
      <x:c r="BQ151" s="5"/>
      <x:c r="BR151" s="5"/>
      <x:c r="BS151" s="5"/>
      <x:c r="BT151" s="5"/>
      <x:c r="BU151" s="5"/>
      <x:c r="BV151" s="5"/>
      <x:c r="BW151" s="5"/>
      <x:c r="BX151" s="5"/>
      <x:c r="BY151" s="5"/>
      <x:c r="BZ151" s="5" t="n">
        <x:v>56.865</x:v>
      </x:c>
      <x:c r="CA151" s="5" t="n">
        <x:v>8.79</x:v>
      </x:c>
      <x:c r="CB151" s="5" t="n">
        <x:v>45.2</x:v>
      </x:c>
      <x:c r="CC151" s="5" t="n">
        <x:v>117.48</x:v>
      </x:c>
      <x:c r="CD151" s="5" t="n">
        <x:v>258.33</x:v>
      </x:c>
      <x:c r="CE151" s="5" t="n">
        <x:v>33.96</x:v>
      </x:c>
      <x:c r="CF151" s="5" t="n">
        <x:v>26.87</x:v>
      </x:c>
      <x:c r="CG151" s="5" t="n">
        <x:v>1.83</x:v>
      </x:c>
      <x:c r="CH151" s="5" t="n">
        <x:v>0.96</x:v>
      </x:c>
      <x:c r="CI151" s="5" t="n">
        <x:v>133.6</x:v>
      </x:c>
      <x:c r="CJ151" s="5" t="n">
        <x:v>104.47</x:v>
      </x:c>
      <x:c r="CK151" s="5" t="n">
        <x:v>107.51</x:v>
      </x:c>
      <x:c r="CL151" s="5" t="n">
        <x:v>17.38</x:v>
      </x:c>
      <x:c r="CM151" s="5" t="n">
        <x:v>74.38</x:v>
      </x:c>
      <x:c r="CN151" s="5"/>
      <x:c r="CO151" s="5"/>
      <x:c r="CP151" s="5"/>
      <x:c r="CQ151" s="5"/>
      <x:c r="CR151" s="5"/>
      <x:c r="CS151" s="5"/>
      <x:c r="CT151" s="5"/>
      <x:c r="CU151" s="5"/>
      <x:c r="CV151" s="5"/>
      <x:c r="CW151" s="5"/>
      <x:c r="CX151" s="5" t="n">
        <x:v>1104.03</x:v>
      </x:c>
      <x:c r="CY151" s="5" t="n">
        <x:v>644.44</x:v>
      </x:c>
      <x:c r="CZ151" s="5" t="n">
        <x:v>1354.91</x:v>
      </x:c>
      <x:c r="DA151" s="5" t="n">
        <x:v>660.21</x:v>
      </x:c>
      <x:c r="DB151" s="5"/>
      <x:c r="DC151" s="5" t="n">
        <x:v>625.33</x:v>
      </x:c>
      <x:c r="DD151" s="5" t="n">
        <x:v>1634.14</x:v>
      </x:c>
      <x:c r="DE151" s="5" t="n">
        <x:v>575.89</x:v>
      </x:c>
      <x:c r="DF151" s="5" t="n">
        <x:v>852.6</x:v>
      </x:c>
      <x:c r="DG151" s="5" t="n">
        <x:v>402.41</x:v>
      </x:c>
      <x:c r="DH151" s="5" t="n">
        <x:v>943.76</x:v>
      </x:c>
      <x:c r="DI151" s="5" t="n">
        <x:v>483.93</x:v>
      </x:c>
      <x:c r="DJ151" s="5" t="n">
        <x:v>904.38</x:v>
      </x:c>
      <x:c r="DK151" s="5" t="n">
        <x:v>383.54</x:v>
      </x:c>
      <x:c r="DL151" s="5" t="n">
        <x:v>1593.81</x:v>
      </x:c>
      <x:c r="DM151" s="5" t="n">
        <x:v>862.09</x:v>
      </x:c>
    </x:row>
    <x:row r="152">
      <x:c r="A152" s="5" t="n">
        <x:v>147</x:v>
      </x:c>
      <x:c r="B152" s="5" t="str">
        <x:v>亚油酸乙酯</x:v>
      </x:c>
      <x:c r="C152" s="5" t="str">
        <x:v>544-35-4</x:v>
      </x:c>
      <x:c r="D152" s="5"/>
      <x:c r="E152" s="5"/>
      <x:c r="F152" s="5"/>
      <x:c r="G152" s="5" t="n">
        <x:v>7.82</x:v>
      </x:c>
      <x:c r="H152" s="5" t="n">
        <x:v>103.61</x:v>
      </x:c>
      <x:c r="I152" s="5" t="n">
        <x:v>3.51</x:v>
      </x:c>
      <x:c r="J152" s="5" t="n">
        <x:v>2.03</x:v>
      </x:c>
      <x:c r="K152" s="5" t="n">
        <x:v>1.48</x:v>
      </x:c>
      <x:c r="L152" s="5"/>
      <x:c r="M152" s="5"/>
      <x:c r="N152" s="5" t="n">
        <x:v>31557</x:v>
      </x:c>
      <x:c r="O152" s="5" t="n">
        <x:v>14238</x:v>
      </x:c>
      <x:c r="P152" s="5" t="n">
        <x:v>15593</x:v>
      </x:c>
      <x:c r="Q152" s="5" t="n">
        <x:v>15490</x:v>
      </x:c>
      <x:c r="R152" s="5" t="n">
        <x:v>16625</x:v>
      </x:c>
      <x:c r="S152" s="5" t="n">
        <x:v>15487</x:v>
      </x:c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 t="n">
        <x:v>83690</x:v>
      </x:c>
      <x:c r="AL152" s="5" t="n">
        <x:v>75760</x:v>
      </x:c>
      <x:c r="AM152" s="5"/>
      <x:c r="AN152" s="5"/>
      <x:c r="AO152" s="5"/>
      <x:c r="AP152" s="5"/>
      <x:c r="AQ152" s="5" t="n">
        <x:v>49.81</x:v>
      </x:c>
      <x:c r="AR152" s="5"/>
      <x:c r="AS152" s="5"/>
      <x:c r="AT152" s="5"/>
      <x:c r="AU152" s="5"/>
      <x:c r="AV152" s="5"/>
      <x:c r="AW152" s="5"/>
      <x:c r="AX152" s="5"/>
      <x:c r="AY152" s="5"/>
      <x:c r="AZ152" s="5"/>
      <x:c r="BA152" s="5"/>
      <x:c r="BB152" s="5"/>
      <x:c r="BC152" s="5"/>
      <x:c r="BD152" s="5"/>
      <x:c r="BE152" s="5"/>
      <x:c r="BF152" s="5"/>
      <x:c r="BG152" s="5"/>
      <x:c r="BH152" s="5"/>
      <x:c r="BI152" s="5"/>
      <x:c r="BJ152" s="5"/>
      <x:c r="BK152" s="5"/>
      <x:c r="BL152" s="5"/>
      <x:c r="BM152" s="5"/>
      <x:c r="BN152" s="5"/>
      <x:c r="BO152" s="5"/>
      <x:c r="BP152" s="5"/>
      <x:c r="BQ152" s="5"/>
      <x:c r="BR152" s="5"/>
      <x:c r="BS152" s="5"/>
      <x:c r="BT152" s="5"/>
      <x:c r="BU152" s="5"/>
      <x:c r="BV152" s="5"/>
      <x:c r="BW152" s="5"/>
      <x:c r="BX152" s="5"/>
      <x:c r="BY152" s="5"/>
      <x:c r="BZ152" s="5"/>
      <x:c r="CA152" s="5"/>
      <x:c r="CB152" s="5"/>
      <x:c r="CC152" s="5"/>
      <x:c r="CD152" s="5"/>
      <x:c r="CE152" s="5"/>
      <x:c r="CF152" s="5"/>
      <x:c r="CG152" s="5"/>
      <x:c r="CH152" s="5"/>
      <x:c r="CI152" s="5"/>
      <x:c r="CJ152" s="5"/>
      <x:c r="CK152" s="5"/>
      <x:c r="CL152" s="5"/>
      <x:c r="CM152" s="5"/>
      <x:c r="CN152" s="5"/>
      <x:c r="CO152" s="5"/>
      <x:c r="CP152" s="5"/>
      <x:c r="CQ152" s="5"/>
      <x:c r="CR152" s="5"/>
      <x:c r="CS152" s="5"/>
      <x:c r="CT152" s="5" t="n">
        <x:v>314.29</x:v>
      </x:c>
      <x:c r="CU152" s="5" t="n">
        <x:v>252.57</x:v>
      </x:c>
      <x:c r="CV152" s="5" t="n">
        <x:v>200.82</x:v>
      </x:c>
      <x:c r="CW152" s="5" t="n">
        <x:v>141.65</x:v>
      </x:c>
      <x:c r="CX152" s="5"/>
      <x:c r="CY152" s="5"/>
      <x:c r="CZ152" s="5"/>
      <x:c r="DA152" s="5"/>
      <x:c r="DB152" s="5"/>
      <x:c r="DC152" s="5"/>
      <x:c r="DD152" s="5"/>
      <x:c r="DE152" s="5"/>
      <x:c r="DF152" s="5"/>
      <x:c r="DG152" s="5"/>
      <x:c r="DH152" s="5"/>
      <x:c r="DI152" s="5"/>
      <x:c r="DJ152" s="5"/>
      <x:c r="DK152" s="5"/>
      <x:c r="DL152" s="5"/>
      <x:c r="DM152" s="5"/>
    </x:row>
    <x:row r="153">
      <x:c r="A153" s="5" t="n">
        <x:v>148</x:v>
      </x:c>
      <x:c r="B153" s="5"/>
      <x:c r="C153" s="5" t="str">
        <x:v>545-49-7</x:v>
      </x:c>
      <x:c r="D153" s="5"/>
      <x:c r="E153" s="5"/>
      <x:c r="F153" s="5"/>
      <x:c r="G153" s="5" t="n">
        <x:v>0.74</x:v>
      </x:c>
      <x:c r="H153" s="5" t="n">
        <x:v>0.11</x:v>
      </x:c>
      <x:c r="I153" s="5" t="n">
        <x:v>0.87</x:v>
      </x:c>
      <x:c r="J153" s="5"/>
      <x:c r="K153" s="5" t="n">
        <x:v>0.13</x:v>
      </x:c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  <x:c r="BA153" s="5"/>
      <x:c r="BB153" s="5"/>
      <x:c r="BC153" s="5"/>
      <x:c r="BD153" s="5"/>
      <x:c r="BE153" s="5"/>
      <x:c r="BF153" s="5"/>
      <x:c r="BG153" s="5"/>
      <x:c r="BH153" s="5"/>
      <x:c r="BI153" s="5"/>
      <x:c r="BJ153" s="5"/>
      <x:c r="BK153" s="5"/>
      <x:c r="BL153" s="5"/>
      <x:c r="BM153" s="5"/>
      <x:c r="BN153" s="5"/>
      <x:c r="BO153" s="5"/>
      <x:c r="BP153" s="5"/>
      <x:c r="BQ153" s="5"/>
      <x:c r="BR153" s="5"/>
      <x:c r="BS153" s="5"/>
      <x:c r="BT153" s="5"/>
      <x:c r="BU153" s="5"/>
      <x:c r="BV153" s="5"/>
      <x:c r="BW153" s="5"/>
      <x:c r="BX153" s="5"/>
      <x:c r="BY153" s="5"/>
      <x:c r="BZ153" s="5"/>
      <x:c r="CA153" s="5"/>
      <x:c r="CB153" s="5"/>
      <x:c r="CC153" s="5"/>
      <x:c r="CD153" s="5"/>
      <x:c r="CE153" s="5"/>
      <x:c r="CF153" s="5"/>
      <x:c r="CG153" s="5"/>
      <x:c r="CH153" s="5"/>
      <x:c r="CI153" s="5"/>
      <x:c r="CJ153" s="5"/>
      <x:c r="CK153" s="5"/>
      <x:c r="CL153" s="5"/>
      <x:c r="CM153" s="5"/>
      <x:c r="CN153" s="5"/>
      <x:c r="CO153" s="5"/>
      <x:c r="CP153" s="5"/>
      <x:c r="CQ153" s="5"/>
      <x:c r="CR153" s="5"/>
      <x:c r="CS153" s="5"/>
      <x:c r="CT153" s="5"/>
      <x:c r="CU153" s="5"/>
      <x:c r="CV153" s="5"/>
      <x:c r="CW153" s="5"/>
      <x:c r="CX153" s="5"/>
      <x:c r="CY153" s="5"/>
      <x:c r="CZ153" s="5"/>
      <x:c r="DA153" s="5"/>
      <x:c r="DB153" s="5"/>
      <x:c r="DC153" s="5"/>
      <x:c r="DD153" s="5"/>
      <x:c r="DE153" s="5"/>
      <x:c r="DF153" s="5"/>
      <x:c r="DG153" s="5"/>
      <x:c r="DH153" s="5"/>
      <x:c r="DI153" s="5"/>
      <x:c r="DJ153" s="5"/>
      <x:c r="DK153" s="5"/>
      <x:c r="DL153" s="5"/>
      <x:c r="DM153" s="5"/>
    </x:row>
    <x:row r="154">
      <x:c r="A154" s="5" t="n">
        <x:v>149</x:v>
      </x:c>
      <x:c r="B154" s="5" t="str">
        <x:v>反,顺-2,6-壬二烯醛</x:v>
      </x:c>
      <x:c r="C154" s="5" t="str">
        <x:v>557-48-2</x:v>
      </x:c>
      <x:c r="D154" s="5" t="n">
        <x:v>0.64</x:v>
      </x:c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  <x:c r="BA154" s="5"/>
      <x:c r="BB154" s="5"/>
      <x:c r="BC154" s="5"/>
      <x:c r="BD154" s="5"/>
      <x:c r="BE154" s="5"/>
      <x:c r="BF154" s="5"/>
      <x:c r="BG154" s="5"/>
      <x:c r="BH154" s="5"/>
      <x:c r="BI154" s="5"/>
      <x:c r="BJ154" s="5"/>
      <x:c r="BK154" s="5"/>
      <x:c r="BL154" s="5"/>
      <x:c r="BM154" s="5"/>
      <x:c r="BN154" s="5"/>
      <x:c r="BO154" s="5"/>
      <x:c r="BP154" s="5"/>
      <x:c r="BQ154" s="5"/>
      <x:c r="BR154" s="5"/>
      <x:c r="BS154" s="5"/>
      <x:c r="BT154" s="5"/>
      <x:c r="BU154" s="5"/>
      <x:c r="BV154" s="5"/>
      <x:c r="BW154" s="5"/>
      <x:c r="BX154" s="5"/>
      <x:c r="BY154" s="5"/>
      <x:c r="BZ154" s="5"/>
      <x:c r="CA154" s="5"/>
      <x:c r="CB154" s="5"/>
      <x:c r="CC154" s="5"/>
      <x:c r="CD154" s="5"/>
      <x:c r="CE154" s="5"/>
      <x:c r="CF154" s="5"/>
      <x:c r="CG154" s="5"/>
      <x:c r="CH154" s="5"/>
      <x:c r="CI154" s="5"/>
      <x:c r="CJ154" s="5"/>
      <x:c r="CK154" s="5"/>
      <x:c r="CL154" s="5"/>
      <x:c r="CM154" s="5"/>
      <x:c r="CN154" s="5"/>
      <x:c r="CO154" s="5"/>
      <x:c r="CP154" s="5"/>
      <x:c r="CQ154" s="5"/>
      <x:c r="CR154" s="5"/>
      <x:c r="CS154" s="5"/>
      <x:c r="CT154" s="5"/>
      <x:c r="CU154" s="5"/>
      <x:c r="CV154" s="5"/>
      <x:c r="CW154" s="5"/>
      <x:c r="CX154" s="5" t="n">
        <x:v>4.69</x:v>
      </x:c>
      <x:c r="CY154" s="5" t="n">
        <x:v>378.79</x:v>
      </x:c>
      <x:c r="CZ154" s="5" t="n">
        <x:v>261.01</x:v>
      </x:c>
      <x:c r="DA154" s="5" t="n">
        <x:v>5.05</x:v>
      </x:c>
      <x:c r="DB154" s="5" t="n">
        <x:v>138.48</x:v>
      </x:c>
      <x:c r="DC154" s="5" t="n">
        <x:v>54.85</x:v>
      </x:c>
      <x:c r="DD154" s="5" t="n">
        <x:v>125.12</x:v>
      </x:c>
      <x:c r="DE154" s="5" t="n">
        <x:v>27.53</x:v>
      </x:c>
      <x:c r="DF154" s="5" t="n">
        <x:v>68.18</x:v>
      </x:c>
      <x:c r="DG154" s="5" t="n">
        <x:v>190.6</x:v>
      </x:c>
      <x:c r="DH154" s="5" t="n">
        <x:v>104.38</x:v>
      </x:c>
      <x:c r="DI154" s="5" t="n">
        <x:v>477.36</x:v>
      </x:c>
      <x:c r="DJ154" s="5" t="n">
        <x:v>47.1</x:v>
      </x:c>
      <x:c r="DK154" s="5" t="n">
        <x:v>317.91</x:v>
      </x:c>
      <x:c r="DL154" s="5" t="n">
        <x:v>296.56</x:v>
      </x:c>
      <x:c r="DM154" s="5" t="n">
        <x:v>127.09</x:v>
      </x:c>
    </x:row>
    <x:row r="155">
      <x:c r="A155" s="5" t="n">
        <x:v>150</x:v>
      </x:c>
      <x:c r="B155" s="5" t="str">
        <x:v>乳酸异丁酯</x:v>
      </x:c>
      <x:c r="C155" s="5" t="str">
        <x:v>585-24-0</x:v>
      </x:c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  <x:c r="BA155" s="5"/>
      <x:c r="BB155" s="5"/>
      <x:c r="BC155" s="5"/>
      <x:c r="BD155" s="5"/>
      <x:c r="BE155" s="5"/>
      <x:c r="BF155" s="5"/>
      <x:c r="BG155" s="5"/>
      <x:c r="BH155" s="5"/>
      <x:c r="BI155" s="5"/>
      <x:c r="BJ155" s="5"/>
      <x:c r="BK155" s="5"/>
      <x:c r="BL155" s="5"/>
      <x:c r="BM155" s="5"/>
      <x:c r="BN155" s="5"/>
      <x:c r="BO155" s="5"/>
      <x:c r="BP155" s="5"/>
      <x:c r="BQ155" s="5"/>
      <x:c r="BR155" s="5"/>
      <x:c r="BS155" s="5"/>
      <x:c r="BT155" s="5"/>
      <x:c r="BU155" s="5"/>
      <x:c r="BV155" s="5"/>
      <x:c r="BW155" s="5"/>
      <x:c r="BX155" s="5"/>
      <x:c r="BY155" s="5"/>
      <x:c r="BZ155" s="5"/>
      <x:c r="CA155" s="5"/>
      <x:c r="CB155" s="5"/>
      <x:c r="CC155" s="5"/>
      <x:c r="CD155" s="5"/>
      <x:c r="CE155" s="5"/>
      <x:c r="CF155" s="5"/>
      <x:c r="CG155" s="5"/>
      <x:c r="CH155" s="5"/>
      <x:c r="CI155" s="5"/>
      <x:c r="CJ155" s="5"/>
      <x:c r="CK155" s="5"/>
      <x:c r="CL155" s="5"/>
      <x:c r="CM155" s="5"/>
      <x:c r="CN155" s="5"/>
      <x:c r="CO155" s="5"/>
      <x:c r="CP155" s="5"/>
      <x:c r="CQ155" s="5"/>
      <x:c r="CR155" s="5"/>
      <x:c r="CS155" s="5"/>
      <x:c r="CT155" s="5"/>
      <x:c r="CU155" s="5"/>
      <x:c r="CV155" s="5"/>
      <x:c r="CW155" s="5"/>
      <x:c r="CX155" s="5" t="n">
        <x:v>251.42</x:v>
      </x:c>
      <x:c r="CY155" s="5" t="n">
        <x:v>1949.26</x:v>
      </x:c>
      <x:c r="CZ155" s="5" t="n">
        <x:v>963.24</x:v>
      </x:c>
      <x:c r="DA155" s="5" t="n">
        <x:v>259.68</x:v>
      </x:c>
      <x:c r="DB155" s="5" t="n">
        <x:v>809.26</x:v>
      </x:c>
      <x:c r="DC155" s="5" t="n">
        <x:v>189.62</x:v>
      </x:c>
      <x:c r="DD155" s="5" t="n">
        <x:v>2053.95</x:v>
      </x:c>
      <x:c r="DE155" s="5" t="n">
        <x:v>371.48</x:v>
      </x:c>
      <x:c r="DF155" s="5" t="n">
        <x:v>2503.88</x:v>
      </x:c>
      <x:c r="DG155" s="5" t="n">
        <x:v>81.36</x:v>
      </x:c>
      <x:c r="DH155" s="5" t="n">
        <x:v>1987.16</x:v>
      </x:c>
      <x:c r="DI155" s="5" t="n">
        <x:v>177.62</x:v>
      </x:c>
      <x:c r="DJ155" s="5" t="n">
        <x:v>1979.03</x:v>
      </x:c>
      <x:c r="DK155" s="5" t="n">
        <x:v>145.92</x:v>
      </x:c>
      <x:c r="DL155" s="5" t="n">
        <x:v>2033.26</x:v>
      </x:c>
      <x:c r="DM155" s="5" t="n">
        <x:v>168.26</x:v>
      </x:c>
    </x:row>
    <x:row r="156">
      <x:c r="A156" s="5" t="n">
        <x:v>151</x:v>
      </x:c>
      <x:c r="B156" s="5" t="str">
        <x:v>3-辛醇</x:v>
      </x:c>
      <x:c r="C156" s="5" t="str">
        <x:v>589-98-0</x:v>
      </x:c>
      <x:c r="D156" s="5" t="n">
        <x:v>483</x:v>
      </x:c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  <x:c r="BA156" s="5"/>
      <x:c r="BB156" s="5"/>
      <x:c r="BC156" s="5"/>
      <x:c r="BD156" s="5"/>
      <x:c r="BE156" s="5"/>
      <x:c r="BF156" s="5"/>
      <x:c r="BG156" s="5"/>
      <x:c r="BH156" s="5"/>
      <x:c r="BI156" s="5"/>
      <x:c r="BJ156" s="5"/>
      <x:c r="BK156" s="5"/>
      <x:c r="BL156" s="5"/>
      <x:c r="BM156" s="5"/>
      <x:c r="BN156" s="5"/>
      <x:c r="BO156" s="5"/>
      <x:c r="BP156" s="5"/>
      <x:c r="BQ156" s="5"/>
      <x:c r="BR156" s="5"/>
      <x:c r="BS156" s="5"/>
      <x:c r="BT156" s="5"/>
      <x:c r="BU156" s="5"/>
      <x:c r="BV156" s="5"/>
      <x:c r="BW156" s="5"/>
      <x:c r="BX156" s="5"/>
      <x:c r="BY156" s="5"/>
      <x:c r="BZ156" s="5" t="n">
        <x:v>28.25</x:v>
      </x:c>
      <x:c r="CA156" s="5" t="n">
        <x:v>31.38</x:v>
      </x:c>
      <x:c r="CB156" s="5" t="n">
        <x:v>48.01</x:v>
      </x:c>
      <x:c r="CC156" s="5" t="n">
        <x:v>24.46</x:v>
      </x:c>
      <x:c r="CD156" s="5" t="n">
        <x:v>394.15</x:v>
      </x:c>
      <x:c r="CE156" s="5" t="n">
        <x:v>27.76</x:v>
      </x:c>
      <x:c r="CF156" s="5" t="n">
        <x:v>188.2</x:v>
      </x:c>
      <x:c r="CG156" s="5" t="n">
        <x:v>60.85</x:v>
      </x:c>
      <x:c r="CH156" s="5" t="n">
        <x:v>30.38</x:v>
      </x:c>
      <x:c r="CI156" s="5" t="n">
        <x:v>180.66</x:v>
      </x:c>
      <x:c r="CJ156" s="5" t="n">
        <x:v>142.34</x:v>
      </x:c>
      <x:c r="CK156" s="5" t="n">
        <x:v>116.2</x:v>
      </x:c>
      <x:c r="CL156" s="5" t="n">
        <x:v>69.86</x:v>
      </x:c>
      <x:c r="CM156" s="5" t="n">
        <x:v>103.8</x:v>
      </x:c>
      <x:c r="CN156" s="5"/>
      <x:c r="CO156" s="5"/>
      <x:c r="CP156" s="5"/>
      <x:c r="CQ156" s="5"/>
      <x:c r="CR156" s="5"/>
      <x:c r="CS156" s="5"/>
      <x:c r="CT156" s="5"/>
      <x:c r="CU156" s="5"/>
      <x:c r="CV156" s="5"/>
      <x:c r="CW156" s="5"/>
      <x:c r="CX156" s="5" t="n">
        <x:v>104.53</x:v>
      </x:c>
      <x:c r="CY156" s="5" t="n">
        <x:v>119.93</x:v>
      </x:c>
      <x:c r="CZ156" s="5" t="n">
        <x:v>120.69</x:v>
      </x:c>
      <x:c r="DA156" s="5" t="n">
        <x:v>8.1</x:v>
      </x:c>
      <x:c r="DB156" s="5" t="n">
        <x:v>131.25</x:v>
      </x:c>
      <x:c r="DC156" s="5" t="n">
        <x:v>77.59</x:v>
      </x:c>
      <x:c r="DD156" s="5" t="n">
        <x:v>135.32</x:v>
      </x:c>
      <x:c r="DE156" s="5" t="n">
        <x:v>107.8</x:v>
      </x:c>
      <x:c r="DF156" s="5" t="n">
        <x:v>102.88</x:v>
      </x:c>
      <x:c r="DG156" s="5" t="n">
        <x:v>57.44</x:v>
      </x:c>
      <x:c r="DH156" s="5" t="n">
        <x:v>119.14</x:v>
      </x:c>
      <x:c r="DI156" s="5" t="n">
        <x:v>126.4</x:v>
      </x:c>
      <x:c r="DJ156" s="5" t="n">
        <x:v>156.82</x:v>
      </x:c>
      <x:c r="DK156" s="5" t="n">
        <x:v>104.03</x:v>
      </x:c>
      <x:c r="DL156" s="5" t="n">
        <x:v>144.26</x:v>
      </x:c>
      <x:c r="DM156" s="5" t="n">
        <x:v>53.59</x:v>
      </x:c>
    </x:row>
    <x:row r="157">
      <x:c r="A157" s="5" t="n">
        <x:v>152</x:v>
      </x:c>
      <x:c r="B157" s="5" t="str">
        <x:v>异戊醛</x:v>
      </x:c>
      <x:c r="C157" s="5" t="str">
        <x:v>590-86-3</x:v>
      </x:c>
      <x:c r="D157" s="5" t="n">
        <x:v>16.5</x:v>
      </x:c>
      <x:c r="E157" s="5"/>
      <x:c r="F157" s="5"/>
      <x:c r="G157" s="5"/>
      <x:c r="H157" s="5"/>
      <x:c r="I157" s="5"/>
      <x:c r="J157" s="5"/>
      <x:c r="K157" s="5"/>
      <x:c r="L157" s="5"/>
      <x:c r="M157" s="5"/>
      <x:c r="N157" s="5" t="n">
        <x:v>3576</x:v>
      </x:c>
      <x:c r="O157" s="5" t="n">
        <x:v>5626</x:v>
      </x:c>
      <x:c r="P157" s="5" t="n">
        <x:v>6706</x:v>
      </x:c>
      <x:c r="Q157" s="5" t="n">
        <x:v>5371</x:v>
      </x:c>
      <x:c r="R157" s="5" t="n">
        <x:v>5545</x:v>
      </x:c>
      <x:c r="S157" s="5" t="n">
        <x:v>6509</x:v>
      </x:c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 t="n">
        <x:v>330</x:v>
      </x:c>
      <x:c r="AI157" s="5" t="n">
        <x:v>130</x:v>
      </x:c>
      <x:c r="AJ157" s="5"/>
      <x:c r="AK157" s="5"/>
      <x:c r="AL157" s="5"/>
      <x:c r="AM157" s="5"/>
      <x:c r="AN157" s="5"/>
      <x:c r="AO157" s="5"/>
      <x:c r="AP157" s="5"/>
      <x:c r="AQ157" s="5" t="n">
        <x:v>20.19</x:v>
      </x:c>
      <x:c r="AR157" s="5" t="n">
        <x:v>43.58</x:v>
      </x:c>
      <x:c r="AS157" s="5" t="n">
        <x:v>17.21</x:v>
      </x:c>
      <x:c r="AT157" s="5" t="n">
        <x:v>17.43</x:v>
      </x:c>
      <x:c r="AU157" s="5"/>
      <x:c r="AV157" s="5"/>
      <x:c r="AW157" s="5"/>
      <x:c r="AX157" s="5"/>
      <x:c r="AY157" s="5"/>
      <x:c r="AZ157" s="5" t="n">
        <x:v>905</x:v>
      </x:c>
      <x:c r="BA157" s="5" t="n">
        <x:v>2489</x:v>
      </x:c>
      <x:c r="BB157" s="5"/>
      <x:c r="BC157" s="5"/>
      <x:c r="BD157" s="5"/>
      <x:c r="BE157" s="5"/>
      <x:c r="BF157" s="5"/>
      <x:c r="BG157" s="5"/>
      <x:c r="BH157" s="5"/>
      <x:c r="BI157" s="5"/>
      <x:c r="BJ157" s="5"/>
      <x:c r="BK157" s="5"/>
      <x:c r="BL157" s="5"/>
      <x:c r="BM157" s="5"/>
      <x:c r="BN157" s="5"/>
      <x:c r="BO157" s="5"/>
      <x:c r="BP157" s="5"/>
      <x:c r="BQ157" s="5" t="n">
        <x:v>55200</x:v>
      </x:c>
      <x:c r="BR157" s="5" t="n">
        <x:v>227200</x:v>
      </x:c>
      <x:c r="BS157" s="5" t="n">
        <x:v>81000</x:v>
      </x:c>
      <x:c r="BT157" s="5" t="n">
        <x:v>152900</x:v>
      </x:c>
      <x:c r="BU157" s="5" t="n">
        <x:v>127600</x:v>
      </x:c>
      <x:c r="BV157" s="5" t="n">
        <x:v>13900</x:v>
      </x:c>
      <x:c r="BW157" s="5" t="n">
        <x:v>21700</x:v>
      </x:c>
      <x:c r="BX157" s="5" t="n">
        <x:v>64300</x:v>
      </x:c>
      <x:c r="BY157" s="5" t="n">
        <x:v>21600</x:v>
      </x:c>
      <x:c r="BZ157" s="5" t="n">
        <x:v>964.5633</x:v>
      </x:c>
      <x:c r="CA157" s="5" t="n">
        <x:v>1302.6667</x:v>
      </x:c>
      <x:c r="CB157" s="5" t="n">
        <x:v>58.31</x:v>
      </x:c>
      <x:c r="CC157" s="5" t="n">
        <x:v>31.91</x:v>
      </x:c>
      <x:c r="CD157" s="5" t="n">
        <x:v>99.89</x:v>
      </x:c>
      <x:c r="CE157" s="5" t="n">
        <x:v>84.44</x:v>
      </x:c>
      <x:c r="CF157" s="5" t="n">
        <x:v>29.11</x:v>
      </x:c>
      <x:c r="CG157" s="5" t="n">
        <x:v>10.35</x:v>
      </x:c>
      <x:c r="CH157" s="5" t="n">
        <x:v>4.84</x:v>
      </x:c>
      <x:c r="CI157" s="5" t="n">
        <x:v>140.44</x:v>
      </x:c>
      <x:c r="CJ157" s="5" t="n">
        <x:v>225.04</x:v>
      </x:c>
      <x:c r="CK157" s="5" t="n">
        <x:v>63.71</x:v>
      </x:c>
      <x:c r="CL157" s="5" t="n">
        <x:v>51.95</x:v>
      </x:c>
      <x:c r="CM157" s="5" t="n">
        <x:v>68.88</x:v>
      </x:c>
      <x:c r="CN157" s="5"/>
      <x:c r="CO157" s="5"/>
      <x:c r="CP157" s="5"/>
      <x:c r="CQ157" s="5"/>
      <x:c r="CR157" s="5"/>
      <x:c r="CS157" s="5"/>
      <x:c r="CT157" s="5"/>
      <x:c r="CU157" s="5"/>
      <x:c r="CV157" s="5"/>
      <x:c r="CW157" s="5"/>
      <x:c r="CX157" s="5" t="n">
        <x:v>6050.65</x:v>
      </x:c>
      <x:c r="CY157" s="5" t="n">
        <x:v>19433.43</x:v>
      </x:c>
      <x:c r="CZ157" s="5" t="n">
        <x:v>17781.5</x:v>
      </x:c>
      <x:c r="DA157" s="5" t="n">
        <x:v>5473.49</x:v>
      </x:c>
      <x:c r="DB157" s="5" t="n">
        <x:v>11359.54</x:v>
      </x:c>
      <x:c r="DC157" s="5" t="n">
        <x:v>2236.48</x:v>
      </x:c>
      <x:c r="DD157" s="5" t="n">
        <x:v>19993.9</x:v>
      </x:c>
      <x:c r="DE157" s="5" t="n">
        <x:v>8664.22</x:v>
      </x:c>
      <x:c r="DF157" s="5" t="n">
        <x:v>8319.89</x:v>
      </x:c>
      <x:c r="DG157" s="5" t="n">
        <x:v>5838.39</x:v>
      </x:c>
      <x:c r="DH157" s="5" t="n">
        <x:v>14218.54</x:v>
      </x:c>
      <x:c r="DI157" s="5" t="n">
        <x:v>6586.96</x:v>
      </x:c>
      <x:c r="DJ157" s="5" t="n">
        <x:v>24592.53</x:v>
      </x:c>
      <x:c r="DK157" s="5" t="n">
        <x:v>17769.13</x:v>
      </x:c>
      <x:c r="DL157" s="5" t="n">
        <x:v>19134.36</x:v>
      </x:c>
      <x:c r="DM157" s="5" t="n">
        <x:v>9323.91</x:v>
      </x:c>
    </x:row>
    <x:row r="158">
      <x:c r="A158" s="5" t="n">
        <x:v>153</x:v>
      </x:c>
      <x:c r="B158" s="5" t="str">
        <x:v>戊酸丁酯</x:v>
      </x:c>
      <x:c r="C158" s="5" t="str">
        <x:v>591-68-4</x:v>
      </x:c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 t="n">
        <x:v>3118</x:v>
      </x:c>
      <x:c r="O158" s="5" t="n">
        <x:v>108</x:v>
      </x:c>
      <x:c r="P158" s="5" t="n">
        <x:v>360</x:v>
      </x:c>
      <x:c r="Q158" s="5" t="n">
        <x:v>1652</x:v>
      </x:c>
      <x:c r="R158" s="5" t="n">
        <x:v>1795</x:v>
      </x:c>
      <x:c r="S158" s="5" t="n">
        <x:v>3381</x:v>
      </x:c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 t="n">
        <x:v>230</x:v>
      </x:c>
      <x:c r="AQ158" s="5" t="n">
        <x:v>4.05</x:v>
      </x:c>
      <x:c r="AR158" s="5"/>
      <x:c r="AS158" s="5" t="n">
        <x:v>1.05</x:v>
      </x:c>
      <x:c r="AT158" s="5" t="n">
        <x:v>1.11</x:v>
      </x:c>
      <x:c r="AU158" s="5"/>
      <x:c r="AV158" s="5"/>
      <x:c r="AW158" s="5"/>
      <x:c r="AX158" s="5"/>
      <x:c r="AY158" s="5"/>
      <x:c r="AZ158" s="5" t="n">
        <x:v>250</x:v>
      </x:c>
      <x:c r="BA158" s="5" t="n">
        <x:v>139</x:v>
      </x:c>
      <x:c r="BB158" s="5"/>
      <x:c r="BC158" s="5"/>
      <x:c r="BD158" s="5"/>
      <x:c r="BE158" s="5"/>
      <x:c r="BF158" s="5"/>
      <x:c r="BG158" s="5"/>
      <x:c r="BH158" s="5"/>
      <x:c r="BI158" s="5"/>
      <x:c r="BJ158" s="5"/>
      <x:c r="BK158" s="5"/>
      <x:c r="BL158" s="5"/>
      <x:c r="BM158" s="5"/>
      <x:c r="BN158" s="5"/>
      <x:c r="BO158" s="5"/>
      <x:c r="BP158" s="5"/>
      <x:c r="BQ158" s="5"/>
      <x:c r="BR158" s="5"/>
      <x:c r="BS158" s="5"/>
      <x:c r="BT158" s="5"/>
      <x:c r="BU158" s="5"/>
      <x:c r="BV158" s="5"/>
      <x:c r="BW158" s="5"/>
      <x:c r="BX158" s="5"/>
      <x:c r="BY158" s="5"/>
      <x:c r="BZ158" s="5"/>
      <x:c r="CA158" s="5"/>
      <x:c r="CB158" s="5"/>
      <x:c r="CC158" s="5"/>
      <x:c r="CD158" s="5"/>
      <x:c r="CE158" s="5"/>
      <x:c r="CF158" s="5"/>
      <x:c r="CG158" s="5"/>
      <x:c r="CH158" s="5"/>
      <x:c r="CI158" s="5"/>
      <x:c r="CJ158" s="5"/>
      <x:c r="CK158" s="5"/>
      <x:c r="CL158" s="5"/>
      <x:c r="CM158" s="5"/>
      <x:c r="CN158" s="5"/>
      <x:c r="CO158" s="5"/>
      <x:c r="CP158" s="5"/>
      <x:c r="CQ158" s="5"/>
      <x:c r="CR158" s="5"/>
      <x:c r="CS158" s="5"/>
      <x:c r="CT158" s="5"/>
      <x:c r="CU158" s="5"/>
      <x:c r="CV158" s="5"/>
      <x:c r="CW158" s="5"/>
      <x:c r="CX158" s="5"/>
      <x:c r="CY158" s="5"/>
      <x:c r="CZ158" s="5"/>
      <x:c r="DA158" s="5"/>
      <x:c r="DB158" s="5"/>
      <x:c r="DC158" s="5"/>
      <x:c r="DD158" s="5"/>
      <x:c r="DE158" s="5"/>
      <x:c r="DF158" s="5"/>
      <x:c r="DG158" s="5"/>
      <x:c r="DH158" s="5"/>
      <x:c r="DI158" s="5"/>
      <x:c r="DJ158" s="5"/>
      <x:c r="DK158" s="5"/>
      <x:c r="DL158" s="5"/>
      <x:c r="DM158" s="5"/>
    </x:row>
    <x:row r="159">
      <x:c r="A159" s="5" t="n">
        <x:v>154</x:v>
      </x:c>
      <x:c r="B159" s="5"/>
      <x:c r="C159" s="5" t="str">
        <x:v>592-84-7</x:v>
      </x:c>
      <x:c r="D159" s="5"/>
      <x:c r="E159" s="5"/>
      <x:c r="F159" s="5"/>
      <x:c r="G159" s="5"/>
      <x:c r="H159" s="5"/>
      <x:c r="I159" s="5"/>
      <x:c r="J159" s="5" t="n">
        <x:v>0.63</x:v>
      </x:c>
      <x:c r="K159" s="5" t="n">
        <x:v>0.12</x:v>
      </x:c>
      <x:c r="L159" s="5"/>
      <x:c r="M159" s="5"/>
      <x:c r="N159" s="5"/>
      <x:c r="O159" s="5"/>
      <x:c r="P159" s="5"/>
      <x:c r="Q159" s="5"/>
      <x:c r="R159" s="5"/>
      <x:c r="S159" s="5"/>
      <x:c r="T159" s="5" t="n">
        <x:v>64</x:v>
      </x:c>
      <x:c r="U159" s="5" t="n">
        <x:v>71</x:v>
      </x:c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  <x:c r="BA159" s="5"/>
      <x:c r="BB159" s="5"/>
      <x:c r="BC159" s="5"/>
      <x:c r="BD159" s="5"/>
      <x:c r="BE159" s="5"/>
      <x:c r="BF159" s="5"/>
      <x:c r="BG159" s="5"/>
      <x:c r="BH159" s="5"/>
      <x:c r="BI159" s="5"/>
      <x:c r="BJ159" s="5"/>
      <x:c r="BK159" s="5"/>
      <x:c r="BL159" s="5"/>
      <x:c r="BM159" s="5"/>
      <x:c r="BN159" s="5"/>
      <x:c r="BO159" s="5"/>
      <x:c r="BP159" s="5"/>
      <x:c r="BQ159" s="5"/>
      <x:c r="BR159" s="5"/>
      <x:c r="BS159" s="5"/>
      <x:c r="BT159" s="5"/>
      <x:c r="BU159" s="5"/>
      <x:c r="BV159" s="5"/>
      <x:c r="BW159" s="5"/>
      <x:c r="BX159" s="5"/>
      <x:c r="BY159" s="5"/>
      <x:c r="BZ159" s="5"/>
      <x:c r="CA159" s="5"/>
      <x:c r="CB159" s="5"/>
      <x:c r="CC159" s="5"/>
      <x:c r="CD159" s="5"/>
      <x:c r="CE159" s="5"/>
      <x:c r="CF159" s="5"/>
      <x:c r="CG159" s="5"/>
      <x:c r="CH159" s="5"/>
      <x:c r="CI159" s="5"/>
      <x:c r="CJ159" s="5"/>
      <x:c r="CK159" s="5"/>
      <x:c r="CL159" s="5"/>
      <x:c r="CM159" s="5"/>
      <x:c r="CN159" s="5"/>
      <x:c r="CO159" s="5"/>
      <x:c r="CP159" s="5"/>
      <x:c r="CQ159" s="5"/>
      <x:c r="CR159" s="5"/>
      <x:c r="CS159" s="5"/>
      <x:c r="CT159" s="5"/>
      <x:c r="CU159" s="5"/>
      <x:c r="CV159" s="5"/>
      <x:c r="CW159" s="5"/>
      <x:c r="CX159" s="5"/>
      <x:c r="CY159" s="5"/>
      <x:c r="CZ159" s="5"/>
      <x:c r="DA159" s="5"/>
      <x:c r="DB159" s="5"/>
      <x:c r="DC159" s="5"/>
      <x:c r="DD159" s="5"/>
      <x:c r="DE159" s="5"/>
      <x:c r="DF159" s="5"/>
      <x:c r="DG159" s="5"/>
      <x:c r="DH159" s="5"/>
      <x:c r="DI159" s="5"/>
      <x:c r="DJ159" s="5"/>
      <x:c r="DK159" s="5"/>
      <x:c r="DL159" s="5"/>
      <x:c r="DM159" s="5"/>
    </x:row>
    <x:row r="160">
      <x:c r="A160" s="5" t="n">
        <x:v>155</x:v>
      </x:c>
      <x:c r="B160" s="5"/>
      <x:c r="C160" s="5" t="str">
        <x:v>598-75-4</x:v>
      </x:c>
      <x:c r="D160" s="5"/>
      <x:c r="E160" s="5"/>
      <x:c r="F160" s="5"/>
      <x:c r="G160" s="5" t="n">
        <x:v>5.82</x:v>
      </x:c>
      <x:c r="H160" s="5" t="n">
        <x:v>1.78</x:v>
      </x:c>
      <x:c r="I160" s="5" t="n">
        <x:v>2</x:v>
      </x:c>
      <x:c r="J160" s="5" t="n">
        <x:v>8.43</x:v>
      </x:c>
      <x:c r="K160" s="5" t="n">
        <x:v>3.39</x:v>
      </x:c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  <x:c r="BA160" s="5"/>
      <x:c r="BB160" s="5"/>
      <x:c r="BC160" s="5"/>
      <x:c r="BD160" s="5"/>
      <x:c r="BE160" s="5"/>
      <x:c r="BF160" s="5"/>
      <x:c r="BG160" s="5"/>
      <x:c r="BH160" s="5"/>
      <x:c r="BI160" s="5"/>
      <x:c r="BJ160" s="5"/>
      <x:c r="BK160" s="5"/>
      <x:c r="BL160" s="5"/>
      <x:c r="BM160" s="5"/>
      <x:c r="BN160" s="5"/>
      <x:c r="BO160" s="5"/>
      <x:c r="BP160" s="5"/>
      <x:c r="BQ160" s="5"/>
      <x:c r="BR160" s="5"/>
      <x:c r="BS160" s="5"/>
      <x:c r="BT160" s="5"/>
      <x:c r="BU160" s="5"/>
      <x:c r="BV160" s="5"/>
      <x:c r="BW160" s="5"/>
      <x:c r="BX160" s="5"/>
      <x:c r="BY160" s="5"/>
      <x:c r="BZ160" s="5"/>
      <x:c r="CA160" s="5"/>
      <x:c r="CB160" s="5"/>
      <x:c r="CC160" s="5"/>
      <x:c r="CD160" s="5"/>
      <x:c r="CE160" s="5"/>
      <x:c r="CF160" s="5"/>
      <x:c r="CG160" s="5"/>
      <x:c r="CH160" s="5"/>
      <x:c r="CI160" s="5"/>
      <x:c r="CJ160" s="5"/>
      <x:c r="CK160" s="5"/>
      <x:c r="CL160" s="5"/>
      <x:c r="CM160" s="5"/>
      <x:c r="CN160" s="5"/>
      <x:c r="CO160" s="5"/>
      <x:c r="CP160" s="5"/>
      <x:c r="CQ160" s="5"/>
      <x:c r="CR160" s="5"/>
      <x:c r="CS160" s="5"/>
      <x:c r="CT160" s="5"/>
      <x:c r="CU160" s="5"/>
      <x:c r="CV160" s="5"/>
      <x:c r="CW160" s="5"/>
      <x:c r="CX160" s="5"/>
      <x:c r="CY160" s="5"/>
      <x:c r="CZ160" s="5"/>
      <x:c r="DA160" s="5"/>
      <x:c r="DB160" s="5"/>
      <x:c r="DC160" s="5"/>
      <x:c r="DD160" s="5"/>
      <x:c r="DE160" s="5"/>
      <x:c r="DF160" s="5"/>
      <x:c r="DG160" s="5"/>
      <x:c r="DH160" s="5"/>
      <x:c r="DI160" s="5"/>
      <x:c r="DJ160" s="5"/>
      <x:c r="DK160" s="5"/>
      <x:c r="DL160" s="5"/>
      <x:c r="DM160" s="5"/>
    </x:row>
    <x:row r="161">
      <x:c r="A161" s="5" t="n">
        <x:v>156</x:v>
      </x:c>
      <x:c r="B161" s="5" t="str">
        <x:v>2-糠醛乙酯</x:v>
      </x:c>
      <x:c r="C161" s="5" t="str">
        <x:v>614-99-3</x:v>
      </x:c>
      <x:c r="D161" s="5"/>
      <x:c r="E161" s="5" t="n">
        <x:v>166</x:v>
      </x:c>
      <x:c r="F161" s="5" t="n">
        <x:v>31</x:v>
      </x:c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  <x:c r="BA161" s="5"/>
      <x:c r="BB161" s="5"/>
      <x:c r="BC161" s="5"/>
      <x:c r="BD161" s="5"/>
      <x:c r="BE161" s="5"/>
      <x:c r="BF161" s="5"/>
      <x:c r="BG161" s="5"/>
      <x:c r="BH161" s="5"/>
      <x:c r="BI161" s="5"/>
      <x:c r="BJ161" s="5"/>
      <x:c r="BK161" s="5"/>
      <x:c r="BL161" s="5"/>
      <x:c r="BM161" s="5"/>
      <x:c r="BN161" s="5"/>
      <x:c r="BO161" s="5"/>
      <x:c r="BP161" s="5"/>
      <x:c r="BQ161" s="5"/>
      <x:c r="BR161" s="5"/>
      <x:c r="BS161" s="5"/>
      <x:c r="BT161" s="5"/>
      <x:c r="BU161" s="5"/>
      <x:c r="BV161" s="5"/>
      <x:c r="BW161" s="5"/>
      <x:c r="BX161" s="5"/>
      <x:c r="BY161" s="5"/>
      <x:c r="BZ161" s="5" t="n">
        <x:v>649.72</x:v>
      </x:c>
      <x:c r="CA161" s="5" t="n">
        <x:v>643.78</x:v>
      </x:c>
      <x:c r="CB161" s="5" t="n">
        <x:v>765.55</x:v>
      </x:c>
      <x:c r="CC161" s="5" t="n">
        <x:v>799.4</x:v>
      </x:c>
      <x:c r="CD161" s="5" t="n">
        <x:v>829.99</x:v>
      </x:c>
      <x:c r="CE161" s="5" t="n">
        <x:v>771.04</x:v>
      </x:c>
      <x:c r="CF161" s="5" t="n">
        <x:v>900.27</x:v>
      </x:c>
      <x:c r="CG161" s="5" t="n">
        <x:v>654.93</x:v>
      </x:c>
      <x:c r="CH161" s="5" t="n">
        <x:v>652.33</x:v>
      </x:c>
      <x:c r="CI161" s="5" t="n">
        <x:v>869.27</x:v>
      </x:c>
      <x:c r="CJ161" s="5" t="n">
        <x:v>822.12</x:v>
      </x:c>
      <x:c r="CK161" s="5" t="n">
        <x:v>805.76</x:v>
      </x:c>
      <x:c r="CL161" s="5" t="n">
        <x:v>826.39</x:v>
      </x:c>
      <x:c r="CM161" s="5"/>
      <x:c r="CN161" s="5"/>
      <x:c r="CO161" s="5"/>
      <x:c r="CP161" s="5"/>
      <x:c r="CQ161" s="5"/>
      <x:c r="CR161" s="5"/>
      <x:c r="CS161" s="5"/>
      <x:c r="CT161" s="5"/>
      <x:c r="CU161" s="5"/>
      <x:c r="CV161" s="5"/>
      <x:c r="CW161" s="5"/>
      <x:c r="CX161" s="5"/>
      <x:c r="CY161" s="5"/>
      <x:c r="CZ161" s="5"/>
      <x:c r="DA161" s="5"/>
      <x:c r="DB161" s="5"/>
      <x:c r="DC161" s="5"/>
      <x:c r="DD161" s="5"/>
      <x:c r="DE161" s="5"/>
      <x:c r="DF161" s="5"/>
      <x:c r="DG161" s="5"/>
      <x:c r="DH161" s="5"/>
      <x:c r="DI161" s="5"/>
      <x:c r="DJ161" s="5"/>
      <x:c r="DK161" s="5"/>
      <x:c r="DL161" s="5"/>
      <x:c r="DM161" s="5"/>
    </x:row>
    <x:row r="162">
      <x:c r="A162" s="5" t="n">
        <x:v>157</x:v>
      </x:c>
      <x:c r="B162" s="5" t="str">
        <x:v>乳酸丙酯</x:v>
      </x:c>
      <x:c r="C162" s="5" t="str">
        <x:v>616-09-1</x:v>
      </x:c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 t="n">
        <x:v>2470</x:v>
      </x:c>
      <x:c r="AL162" s="5" t="n">
        <x:v>9190</x:v>
      </x:c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  <x:c r="BA162" s="5"/>
      <x:c r="BB162" s="5"/>
      <x:c r="BC162" s="5"/>
      <x:c r="BD162" s="5"/>
      <x:c r="BE162" s="5"/>
      <x:c r="BF162" s="5"/>
      <x:c r="BG162" s="5"/>
      <x:c r="BH162" s="5"/>
      <x:c r="BI162" s="5"/>
      <x:c r="BJ162" s="5"/>
      <x:c r="BK162" s="5"/>
      <x:c r="BL162" s="5"/>
      <x:c r="BM162" s="5"/>
      <x:c r="BN162" s="5"/>
      <x:c r="BO162" s="5"/>
      <x:c r="BP162" s="5"/>
      <x:c r="BQ162" s="5"/>
      <x:c r="BR162" s="5"/>
      <x:c r="BS162" s="5"/>
      <x:c r="BT162" s="5"/>
      <x:c r="BU162" s="5"/>
      <x:c r="BV162" s="5"/>
      <x:c r="BW162" s="5"/>
      <x:c r="BX162" s="5"/>
      <x:c r="BY162" s="5"/>
      <x:c r="BZ162" s="5"/>
      <x:c r="CA162" s="5"/>
      <x:c r="CB162" s="5"/>
      <x:c r="CC162" s="5"/>
      <x:c r="CD162" s="5"/>
      <x:c r="CE162" s="5"/>
      <x:c r="CF162" s="5"/>
      <x:c r="CG162" s="5"/>
      <x:c r="CH162" s="5"/>
      <x:c r="CI162" s="5"/>
      <x:c r="CJ162" s="5"/>
      <x:c r="CK162" s="5"/>
      <x:c r="CL162" s="5"/>
      <x:c r="CM162" s="5"/>
      <x:c r="CN162" s="5"/>
      <x:c r="CO162" s="5"/>
      <x:c r="CP162" s="5"/>
      <x:c r="CQ162" s="5"/>
      <x:c r="CR162" s="5"/>
      <x:c r="CS162" s="5"/>
      <x:c r="CT162" s="5"/>
      <x:c r="CU162" s="5"/>
      <x:c r="CV162" s="5"/>
      <x:c r="CW162" s="5"/>
      <x:c r="CX162" s="5"/>
      <x:c r="CY162" s="5"/>
      <x:c r="CZ162" s="5"/>
      <x:c r="DA162" s="5"/>
      <x:c r="DB162" s="5"/>
      <x:c r="DC162" s="5"/>
      <x:c r="DD162" s="5"/>
      <x:c r="DE162" s="5"/>
      <x:c r="DF162" s="5"/>
      <x:c r="DG162" s="5"/>
      <x:c r="DH162" s="5"/>
      <x:c r="DI162" s="5"/>
      <x:c r="DJ162" s="5"/>
      <x:c r="DK162" s="5"/>
      <x:c r="DL162" s="5"/>
      <x:c r="DM162" s="5"/>
    </x:row>
    <x:row r="163">
      <x:c r="A163" s="5" t="n">
        <x:v>158</x:v>
      </x:c>
      <x:c r="B163" s="5"/>
      <x:c r="C163" s="5" t="str">
        <x:v>617-35-6</x:v>
      </x:c>
      <x:c r="D163" s="5"/>
      <x:c r="E163" s="5"/>
      <x:c r="F163" s="5"/>
      <x:c r="G163" s="5"/>
      <x:c r="H163" s="5" t="n">
        <x:v>2.19</x:v>
      </x:c>
      <x:c r="I163" s="5"/>
      <x:c r="J163" s="5"/>
      <x:c r="K163" s="5"/>
      <x:c r="L163" s="5"/>
      <x:c r="M163" s="5"/>
      <x:c r="N163" s="5" t="n">
        <x:v>2555</x:v>
      </x:c>
      <x:c r="O163" s="5" t="n">
        <x:v>2571</x:v>
      </x:c>
      <x:c r="P163" s="5" t="n">
        <x:v>2518</x:v>
      </x:c>
      <x:c r="Q163" s="5" t="n">
        <x:v>2468</x:v>
      </x:c>
      <x:c r="R163" s="5" t="n">
        <x:v>2201</x:v>
      </x:c>
      <x:c r="S163" s="5" t="n">
        <x:v>4034</x:v>
      </x:c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  <x:c r="BA163" s="5"/>
      <x:c r="BB163" s="5"/>
      <x:c r="BC163" s="5"/>
      <x:c r="BD163" s="5"/>
      <x:c r="BE163" s="5"/>
      <x:c r="BF163" s="5"/>
      <x:c r="BG163" s="5"/>
      <x:c r="BH163" s="5"/>
      <x:c r="BI163" s="5"/>
      <x:c r="BJ163" s="5"/>
      <x:c r="BK163" s="5"/>
      <x:c r="BL163" s="5"/>
      <x:c r="BM163" s="5"/>
      <x:c r="BN163" s="5"/>
      <x:c r="BO163" s="5"/>
      <x:c r="BP163" s="5"/>
      <x:c r="BQ163" s="5"/>
      <x:c r="BR163" s="5"/>
      <x:c r="BS163" s="5"/>
      <x:c r="BT163" s="5"/>
      <x:c r="BU163" s="5"/>
      <x:c r="BV163" s="5"/>
      <x:c r="BW163" s="5"/>
      <x:c r="BX163" s="5"/>
      <x:c r="BY163" s="5"/>
      <x:c r="BZ163" s="5"/>
      <x:c r="CA163" s="5"/>
      <x:c r="CB163" s="5"/>
      <x:c r="CC163" s="5"/>
      <x:c r="CD163" s="5"/>
      <x:c r="CE163" s="5"/>
      <x:c r="CF163" s="5"/>
      <x:c r="CG163" s="5"/>
      <x:c r="CH163" s="5"/>
      <x:c r="CI163" s="5"/>
      <x:c r="CJ163" s="5"/>
      <x:c r="CK163" s="5"/>
      <x:c r="CL163" s="5"/>
      <x:c r="CM163" s="5"/>
      <x:c r="CN163" s="5"/>
      <x:c r="CO163" s="5"/>
      <x:c r="CP163" s="5"/>
      <x:c r="CQ163" s="5"/>
      <x:c r="CR163" s="5"/>
      <x:c r="CS163" s="5"/>
      <x:c r="CT163" s="5"/>
      <x:c r="CU163" s="5"/>
      <x:c r="CV163" s="5"/>
      <x:c r="CW163" s="5"/>
      <x:c r="CX163" s="5"/>
      <x:c r="CY163" s="5"/>
      <x:c r="CZ163" s="5"/>
      <x:c r="DA163" s="5"/>
      <x:c r="DB163" s="5"/>
      <x:c r="DC163" s="5"/>
      <x:c r="DD163" s="5"/>
      <x:c r="DE163" s="5"/>
      <x:c r="DF163" s="5"/>
      <x:c r="DG163" s="5"/>
      <x:c r="DH163" s="5"/>
      <x:c r="DI163" s="5"/>
      <x:c r="DJ163" s="5"/>
      <x:c r="DK163" s="5"/>
      <x:c r="DL163" s="5"/>
      <x:c r="DM163" s="5"/>
    </x:row>
    <x:row r="164">
      <x:c r="A164" s="5" t="n">
        <x:v>159</x:v>
      </x:c>
      <x:c r="B164" s="5" t="str">
        <x:v>5-甲基-2-糠醛</x:v>
      </x:c>
      <x:c r="C164" s="5" t="str">
        <x:v>620-02-0</x:v>
      </x:c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  <x:c r="BA164" s="5"/>
      <x:c r="BB164" s="5"/>
      <x:c r="BC164" s="5"/>
      <x:c r="BD164" s="5"/>
      <x:c r="BE164" s="5"/>
      <x:c r="BF164" s="5"/>
      <x:c r="BG164" s="5"/>
      <x:c r="BH164" s="5"/>
      <x:c r="BI164" s="5"/>
      <x:c r="BJ164" s="5"/>
      <x:c r="BK164" s="5"/>
      <x:c r="BL164" s="5"/>
      <x:c r="BM164" s="5"/>
      <x:c r="BN164" s="5"/>
      <x:c r="BO164" s="5"/>
      <x:c r="BP164" s="5"/>
      <x:c r="BQ164" s="5"/>
      <x:c r="BR164" s="5"/>
      <x:c r="BS164" s="5"/>
      <x:c r="BT164" s="5"/>
      <x:c r="BU164" s="5"/>
      <x:c r="BV164" s="5"/>
      <x:c r="BW164" s="5"/>
      <x:c r="BX164" s="5"/>
      <x:c r="BY164" s="5"/>
      <x:c r="BZ164" s="5" t="n">
        <x:v>299.015</x:v>
      </x:c>
      <x:c r="CA164" s="5" t="n">
        <x:v>195.135</x:v>
      </x:c>
      <x:c r="CB164" s="5" t="n">
        <x:v>160.61</x:v>
      </x:c>
      <x:c r="CC164" s="5" t="n">
        <x:v>210.76</x:v>
      </x:c>
      <x:c r="CD164" s="5" t="n">
        <x:v>69.89</x:v>
      </x:c>
      <x:c r="CE164" s="5" t="n">
        <x:v>110.9</x:v>
      </x:c>
      <x:c r="CF164" s="5" t="n">
        <x:v>120.4</x:v>
      </x:c>
      <x:c r="CG164" s="5" t="n">
        <x:v>165.96</x:v>
      </x:c>
      <x:c r="CH164" s="5" t="n">
        <x:v>82.16</x:v>
      </x:c>
      <x:c r="CI164" s="5" t="n">
        <x:v>364.85</x:v>
      </x:c>
      <x:c r="CJ164" s="5" t="n">
        <x:v>379.83</x:v>
      </x:c>
      <x:c r="CK164" s="5" t="n">
        <x:v>529.51</x:v>
      </x:c>
      <x:c r="CL164" s="5" t="n">
        <x:v>293.69</x:v>
      </x:c>
      <x:c r="CM164" s="5" t="n">
        <x:v>252.1</x:v>
      </x:c>
      <x:c r="CN164" s="5"/>
      <x:c r="CO164" s="5"/>
      <x:c r="CP164" s="5"/>
      <x:c r="CQ164" s="5"/>
      <x:c r="CR164" s="5"/>
      <x:c r="CS164" s="5"/>
      <x:c r="CT164" s="5"/>
      <x:c r="CU164" s="5"/>
      <x:c r="CV164" s="5"/>
      <x:c r="CW164" s="5"/>
      <x:c r="CX164" s="5"/>
      <x:c r="CY164" s="5"/>
      <x:c r="CZ164" s="5"/>
      <x:c r="DA164" s="5"/>
      <x:c r="DB164" s="5"/>
      <x:c r="DC164" s="5"/>
      <x:c r="DD164" s="5"/>
      <x:c r="DE164" s="5"/>
      <x:c r="DF164" s="5"/>
      <x:c r="DG164" s="5"/>
      <x:c r="DH164" s="5"/>
      <x:c r="DI164" s="5"/>
      <x:c r="DJ164" s="5"/>
      <x:c r="DK164" s="5"/>
      <x:c r="DL164" s="5"/>
      <x:c r="DM164" s="5"/>
    </x:row>
    <x:row r="165">
      <x:c r="A165" s="5" t="n">
        <x:v>160</x:v>
      </x:c>
      <x:c r="B165" s="5" t="str">
        <x:v>乙酸糠酯</x:v>
      </x:c>
      <x:c r="C165" s="5" t="str">
        <x:v>623-17-6</x:v>
      </x:c>
      <x:c r="D165" s="5" t="n">
        <x:v>26050</x:v>
      </x:c>
      <x:c r="E165" s="5" t="n">
        <x:v>13</x:v>
      </x:c>
      <x:c r="F165" s="5" t="n">
        <x:v>114</x:v>
      </x:c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  <x:c r="BA165" s="5"/>
      <x:c r="BB165" s="5"/>
      <x:c r="BC165" s="5"/>
      <x:c r="BD165" s="5"/>
      <x:c r="BE165" s="5"/>
      <x:c r="BF165" s="5"/>
      <x:c r="BG165" s="5"/>
      <x:c r="BH165" s="5"/>
      <x:c r="BI165" s="5"/>
      <x:c r="BJ165" s="5"/>
      <x:c r="BK165" s="5"/>
      <x:c r="BL165" s="5"/>
      <x:c r="BM165" s="5"/>
      <x:c r="BN165" s="5"/>
      <x:c r="BO165" s="5"/>
      <x:c r="BP165" s="5"/>
      <x:c r="BQ165" s="5"/>
      <x:c r="BR165" s="5"/>
      <x:c r="BS165" s="5"/>
      <x:c r="BT165" s="5"/>
      <x:c r="BU165" s="5"/>
      <x:c r="BV165" s="5"/>
      <x:c r="BW165" s="5"/>
      <x:c r="BX165" s="5"/>
      <x:c r="BY165" s="5"/>
      <x:c r="BZ165" s="5"/>
      <x:c r="CA165" s="5"/>
      <x:c r="CB165" s="5"/>
      <x:c r="CC165" s="5"/>
      <x:c r="CD165" s="5"/>
      <x:c r="CE165" s="5"/>
      <x:c r="CF165" s="5"/>
      <x:c r="CG165" s="5"/>
      <x:c r="CH165" s="5"/>
      <x:c r="CI165" s="5"/>
      <x:c r="CJ165" s="5"/>
      <x:c r="CK165" s="5"/>
      <x:c r="CL165" s="5"/>
      <x:c r="CM165" s="5"/>
      <x:c r="CN165" s="5"/>
      <x:c r="CO165" s="5"/>
      <x:c r="CP165" s="5"/>
      <x:c r="CQ165" s="5"/>
      <x:c r="CR165" s="5"/>
      <x:c r="CS165" s="5"/>
      <x:c r="CT165" s="5"/>
      <x:c r="CU165" s="5"/>
      <x:c r="CV165" s="5"/>
      <x:c r="CW165" s="5"/>
      <x:c r="CX165" s="5" t="n">
        <x:v>34.4</x:v>
      </x:c>
      <x:c r="CY165" s="5" t="n">
        <x:v>97.85</x:v>
      </x:c>
      <x:c r="CZ165" s="5" t="n">
        <x:v>69.76</x:v>
      </x:c>
      <x:c r="DA165" s="5" t="n">
        <x:v>41.22</x:v>
      </x:c>
      <x:c r="DB165" s="5" t="n">
        <x:v>71.24</x:v>
      </x:c>
      <x:c r="DC165" s="5" t="n">
        <x:v>52.53</x:v>
      </x:c>
      <x:c r="DD165" s="5" t="n">
        <x:v>95.72</x:v>
      </x:c>
      <x:c r="DE165" s="5" t="n">
        <x:v>56.58</x:v>
      </x:c>
      <x:c r="DF165" s="5" t="n">
        <x:v>103.45</x:v>
      </x:c>
      <x:c r="DG165" s="5" t="n">
        <x:v>30.1</x:v>
      </x:c>
      <x:c r="DH165" s="5" t="n">
        <x:v>97.46</x:v>
      </x:c>
      <x:c r="DI165" s="5" t="n">
        <x:v>102.74</x:v>
      </x:c>
      <x:c r="DJ165" s="5" t="n">
        <x:v>99.76</x:v>
      </x:c>
      <x:c r="DK165" s="5" t="n">
        <x:v>30.52</x:v>
      </x:c>
      <x:c r="DL165" s="5" t="n">
        <x:v>98.58</x:v>
      </x:c>
      <x:c r="DM165" s="5" t="n">
        <x:v>34.9</x:v>
      </x:c>
    </x:row>
    <x:row r="166">
      <x:c r="A166" s="5" t="n">
        <x:v>161</x:v>
      </x:c>
      <x:c r="B166" s="5" t="str">
        <x:v>丁酸糠酯</x:v>
      </x:c>
      <x:c r="C166" s="5" t="str">
        <x:v>623-21-2</x:v>
      </x:c>
      <x:c r="D166" s="5" t="n">
        <x:v>4900</x:v>
      </x:c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  <x:c r="BA166" s="5"/>
      <x:c r="BB166" s="5"/>
      <x:c r="BC166" s="5"/>
      <x:c r="BD166" s="5"/>
      <x:c r="BE166" s="5"/>
      <x:c r="BF166" s="5"/>
      <x:c r="BG166" s="5"/>
      <x:c r="BH166" s="5"/>
      <x:c r="BI166" s="5"/>
      <x:c r="BJ166" s="5"/>
      <x:c r="BK166" s="5"/>
      <x:c r="BL166" s="5"/>
      <x:c r="BM166" s="5"/>
      <x:c r="BN166" s="5"/>
      <x:c r="BO166" s="5"/>
      <x:c r="BP166" s="5"/>
      <x:c r="BQ166" s="5"/>
      <x:c r="BR166" s="5"/>
      <x:c r="BS166" s="5"/>
      <x:c r="BT166" s="5"/>
      <x:c r="BU166" s="5"/>
      <x:c r="BV166" s="5"/>
      <x:c r="BW166" s="5"/>
      <x:c r="BX166" s="5"/>
      <x:c r="BY166" s="5"/>
      <x:c r="BZ166" s="5"/>
      <x:c r="CA166" s="5"/>
      <x:c r="CB166" s="5"/>
      <x:c r="CC166" s="5"/>
      <x:c r="CD166" s="5"/>
      <x:c r="CE166" s="5"/>
      <x:c r="CF166" s="5"/>
      <x:c r="CG166" s="5"/>
      <x:c r="CH166" s="5"/>
      <x:c r="CI166" s="5"/>
      <x:c r="CJ166" s="5"/>
      <x:c r="CK166" s="5"/>
      <x:c r="CL166" s="5"/>
      <x:c r="CM166" s="5"/>
      <x:c r="CN166" s="5"/>
      <x:c r="CO166" s="5"/>
      <x:c r="CP166" s="5"/>
      <x:c r="CQ166" s="5"/>
      <x:c r="CR166" s="5"/>
      <x:c r="CS166" s="5"/>
      <x:c r="CT166" s="5"/>
      <x:c r="CU166" s="5"/>
      <x:c r="CV166" s="5"/>
      <x:c r="CW166" s="5"/>
      <x:c r="CX166" s="5" t="n">
        <x:v>14.55</x:v>
      </x:c>
      <x:c r="CY166" s="5" t="n">
        <x:v>42.54</x:v>
      </x:c>
      <x:c r="CZ166" s="5"/>
      <x:c r="DA166" s="5" t="n">
        <x:v>14.06</x:v>
      </x:c>
      <x:c r="DB166" s="5" t="n">
        <x:v>33.15</x:v>
      </x:c>
      <x:c r="DC166" s="5" t="n">
        <x:v>4.66</x:v>
      </x:c>
      <x:c r="DD166" s="5"/>
      <x:c r="DE166" s="5" t="n">
        <x:v>30.66</x:v>
      </x:c>
      <x:c r="DF166" s="5" t="n">
        <x:v>112.8</x:v>
      </x:c>
      <x:c r="DG166" s="5" t="n">
        <x:v>11.54</x:v>
      </x:c>
      <x:c r="DH166" s="5" t="n">
        <x:v>66.27</x:v>
      </x:c>
      <x:c r="DI166" s="5" t="n">
        <x:v>66.08</x:v>
      </x:c>
      <x:c r="DJ166" s="5" t="n">
        <x:v>101.21</x:v>
      </x:c>
      <x:c r="DK166" s="5" t="n">
        <x:v>14.56</x:v>
      </x:c>
      <x:c r="DL166" s="5" t="n">
        <x:v>152.91</x:v>
      </x:c>
      <x:c r="DM166" s="5" t="n">
        <x:v>17.4</x:v>
      </x:c>
    </x:row>
    <x:row r="167">
      <x:c r="A167" s="5" t="n">
        <x:v>162</x:v>
      </x:c>
      <x:c r="B167" s="5" t="str">
        <x:v>辛酸丙酯</x:v>
      </x:c>
      <x:c r="C167" s="5" t="str">
        <x:v>624-13-5</x:v>
      </x:c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 t="n">
        <x:v>4186</x:v>
      </x:c>
      <x:c r="O167" s="5" t="n">
        <x:v>2650</x:v>
      </x:c>
      <x:c r="P167" s="5" t="n">
        <x:v>3236</x:v>
      </x:c>
      <x:c r="Q167" s="5" t="n">
        <x:v>2377</x:v>
      </x:c>
      <x:c r="R167" s="5" t="n">
        <x:v>2477</x:v>
      </x:c>
      <x:c r="S167" s="5" t="n">
        <x:v>2725</x:v>
      </x:c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  <x:c r="BA167" s="5"/>
      <x:c r="BB167" s="5"/>
      <x:c r="BC167" s="5"/>
      <x:c r="BD167" s="5"/>
      <x:c r="BE167" s="5"/>
      <x:c r="BF167" s="5"/>
      <x:c r="BG167" s="5"/>
      <x:c r="BH167" s="5"/>
      <x:c r="BI167" s="5"/>
      <x:c r="BJ167" s="5"/>
      <x:c r="BK167" s="5"/>
      <x:c r="BL167" s="5"/>
      <x:c r="BM167" s="5"/>
      <x:c r="BN167" s="5"/>
      <x:c r="BO167" s="5"/>
      <x:c r="BP167" s="5"/>
      <x:c r="BQ167" s="5"/>
      <x:c r="BR167" s="5"/>
      <x:c r="BS167" s="5"/>
      <x:c r="BT167" s="5"/>
      <x:c r="BU167" s="5"/>
      <x:c r="BV167" s="5"/>
      <x:c r="BW167" s="5"/>
      <x:c r="BX167" s="5"/>
      <x:c r="BY167" s="5"/>
      <x:c r="BZ167" s="5"/>
      <x:c r="CA167" s="5"/>
      <x:c r="CB167" s="5"/>
      <x:c r="CC167" s="5"/>
      <x:c r="CD167" s="5"/>
      <x:c r="CE167" s="5"/>
      <x:c r="CF167" s="5"/>
      <x:c r="CG167" s="5"/>
      <x:c r="CH167" s="5"/>
      <x:c r="CI167" s="5"/>
      <x:c r="CJ167" s="5"/>
      <x:c r="CK167" s="5"/>
      <x:c r="CL167" s="5"/>
      <x:c r="CM167" s="5"/>
      <x:c r="CN167" s="5"/>
      <x:c r="CO167" s="5"/>
      <x:c r="CP167" s="5"/>
      <x:c r="CQ167" s="5"/>
      <x:c r="CR167" s="5"/>
      <x:c r="CS167" s="5"/>
      <x:c r="CT167" s="5"/>
      <x:c r="CU167" s="5"/>
      <x:c r="CV167" s="5"/>
      <x:c r="CW167" s="5"/>
      <x:c r="CX167" s="5" t="n">
        <x:v>285.29</x:v>
      </x:c>
      <x:c r="CY167" s="5" t="n">
        <x:v>786.24</x:v>
      </x:c>
      <x:c r="CZ167" s="5" t="n">
        <x:v>973.42</x:v>
      </x:c>
      <x:c r="DA167" s="5" t="n">
        <x:v>424.22</x:v>
      </x:c>
      <x:c r="DB167" s="5" t="n">
        <x:v>947.61</x:v>
      </x:c>
      <x:c r="DC167" s="5" t="n">
        <x:v>84.63</x:v>
      </x:c>
      <x:c r="DD167" s="5" t="n">
        <x:v>905.08</x:v>
      </x:c>
      <x:c r="DE167" s="5" t="n">
        <x:v>187.75</x:v>
      </x:c>
      <x:c r="DF167" s="5" t="n">
        <x:v>2885.79</x:v>
      </x:c>
      <x:c r="DG167" s="5" t="n">
        <x:v>192.83</x:v>
      </x:c>
      <x:c r="DH167" s="5" t="n">
        <x:v>854.58</x:v>
      </x:c>
      <x:c r="DI167" s="5" t="n">
        <x:v>249.07</x:v>
      </x:c>
      <x:c r="DJ167" s="5" t="n">
        <x:v>4014.28</x:v>
      </x:c>
      <x:c r="DK167" s="5" t="n">
        <x:v>162.51</x:v>
      </x:c>
      <x:c r="DL167" s="5" t="n">
        <x:v>1037.56</x:v>
      </x:c>
      <x:c r="DM167" s="5" t="n">
        <x:v>269.2</x:v>
      </x:c>
    </x:row>
    <x:row r="168">
      <x:c r="A168" s="5" t="n">
        <x:v>163</x:v>
      </x:c>
      <x:c r="B168" s="5" t="str">
        <x:v>二甲基二硫</x:v>
      </x:c>
      <x:c r="C168" s="5" t="str">
        <x:v>624-92-0</x:v>
      </x:c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 t="n">
        <x:v>43</x:v>
      </x:c>
      <x:c r="BA168" s="5" t="n">
        <x:v>155</x:v>
      </x:c>
      <x:c r="BB168" s="5"/>
      <x:c r="BC168" s="5"/>
      <x:c r="BD168" s="5"/>
      <x:c r="BE168" s="5"/>
      <x:c r="BF168" s="5"/>
      <x:c r="BG168" s="5"/>
      <x:c r="BH168" s="5"/>
      <x:c r="BI168" s="5"/>
      <x:c r="BJ168" s="5"/>
      <x:c r="BK168" s="5"/>
      <x:c r="BL168" s="5"/>
      <x:c r="BM168" s="5"/>
      <x:c r="BN168" s="5"/>
      <x:c r="BO168" s="5"/>
      <x:c r="BP168" s="5"/>
      <x:c r="BQ168" s="5"/>
      <x:c r="BR168" s="5"/>
      <x:c r="BS168" s="5"/>
      <x:c r="BT168" s="5"/>
      <x:c r="BU168" s="5"/>
      <x:c r="BV168" s="5"/>
      <x:c r="BW168" s="5"/>
      <x:c r="BX168" s="5"/>
      <x:c r="BY168" s="5"/>
      <x:c r="BZ168" s="5" t="n">
        <x:v>299.94</x:v>
      </x:c>
      <x:c r="CA168" s="5" t="n">
        <x:v>348.77</x:v>
      </x:c>
      <x:c r="CB168" s="5" t="n">
        <x:v>1046.31</x:v>
      </x:c>
      <x:c r="CC168" s="5" t="n">
        <x:v>654.41</x:v>
      </x:c>
      <x:c r="CD168" s="5" t="n">
        <x:v>790.32</x:v>
      </x:c>
      <x:c r="CE168" s="5" t="n">
        <x:v>1068.51</x:v>
      </x:c>
      <x:c r="CF168" s="5" t="n">
        <x:v>1078.31</x:v>
      </x:c>
      <x:c r="CG168" s="5" t="n">
        <x:v>833.56</x:v>
      </x:c>
      <x:c r="CH168" s="5" t="n">
        <x:v>284.54</x:v>
      </x:c>
      <x:c r="CI168" s="5" t="n">
        <x:v>1633.97</x:v>
      </x:c>
      <x:c r="CJ168" s="5" t="n">
        <x:v>1504.26</x:v>
      </x:c>
      <x:c r="CK168" s="5" t="n">
        <x:v>1140.77</x:v>
      </x:c>
      <x:c r="CL168" s="5" t="n">
        <x:v>758.68</x:v>
      </x:c>
      <x:c r="CM168" s="5"/>
      <x:c r="CN168" s="5"/>
      <x:c r="CO168" s="5"/>
      <x:c r="CP168" s="5"/>
      <x:c r="CQ168" s="5"/>
      <x:c r="CR168" s="5"/>
      <x:c r="CS168" s="5"/>
      <x:c r="CT168" s="5"/>
      <x:c r="CU168" s="5"/>
      <x:c r="CV168" s="5"/>
      <x:c r="CW168" s="5"/>
      <x:c r="CX168" s="5"/>
      <x:c r="CY168" s="5"/>
      <x:c r="CZ168" s="5"/>
      <x:c r="DA168" s="5"/>
      <x:c r="DB168" s="5"/>
      <x:c r="DC168" s="5"/>
      <x:c r="DD168" s="5"/>
      <x:c r="DE168" s="5"/>
      <x:c r="DF168" s="5"/>
      <x:c r="DG168" s="5"/>
      <x:c r="DH168" s="5"/>
      <x:c r="DI168" s="5"/>
      <x:c r="DJ168" s="5"/>
      <x:c r="DK168" s="5"/>
      <x:c r="DL168" s="5"/>
      <x:c r="DM168" s="5"/>
    </x:row>
    <x:row r="169">
      <x:c r="A169" s="5" t="n">
        <x:v>164</x:v>
      </x:c>
      <x:c r="B169" s="5" t="str">
        <x:v>己酸丙酯a</x:v>
      </x:c>
      <x:c r="C169" s="5" t="str">
        <x:v>626-77-7</x:v>
      </x:c>
      <x:c r="D169" s="5" t="n">
        <x:v>12784</x:v>
      </x:c>
      <x:c r="E169" s="5" t="n">
        <x:v>146</x:v>
      </x:c>
      <x:c r="F169" s="5" t="n">
        <x:v>28416</x:v>
      </x:c>
      <x:c r="G169" s="5" t="n">
        <x:v>4.67</x:v>
      </x:c>
      <x:c r="H169" s="5" t="n">
        <x:v>101.73</x:v>
      </x:c>
      <x:c r="I169" s="5" t="n">
        <x:v>4.66</x:v>
      </x:c>
      <x:c r="J169" s="5" t="n">
        <x:v>8.35</x:v>
      </x:c>
      <x:c r="K169" s="5" t="n">
        <x:v>1.35</x:v>
      </x:c>
      <x:c r="L169" s="5"/>
      <x:c r="M169" s="5"/>
      <x:c r="N169" s="5" t="n">
        <x:v>35818</x:v>
      </x:c>
      <x:c r="O169" s="5" t="n">
        <x:v>26679</x:v>
      </x:c>
      <x:c r="P169" s="5" t="n">
        <x:v>34411</x:v>
      </x:c>
      <x:c r="Q169" s="5" t="n">
        <x:v>27427</x:v>
      </x:c>
      <x:c r="R169" s="5" t="n">
        <x:v>30692</x:v>
      </x:c>
      <x:c r="S169" s="5" t="n">
        <x:v>27106</x:v>
      </x:c>
      <x:c r="T169" s="5" t="n">
        <x:v>1</x:v>
      </x:c>
      <x:c r="U169" s="5" t="n">
        <x:v>0</x:v>
      </x:c>
      <x:c r="V169" s="5"/>
      <x:c r="W169" s="5"/>
      <x:c r="X169" s="5"/>
      <x:c r="Y169" s="5" t="n">
        <x:v>349</x:v>
      </x:c>
      <x:c r="Z169" s="5" t="n">
        <x:v>431</x:v>
      </x:c>
      <x:c r="AA169" s="5"/>
      <x:c r="AB169" s="5" t="n">
        <x:v>670</x:v>
      </x:c>
      <x:c r="AC169" s="5" t="n">
        <x:v>987</x:v>
      </x:c>
      <x:c r="AD169" s="5" t="n">
        <x:v>1200</x:v>
      </x:c>
      <x:c r="AE169" s="5"/>
      <x:c r="AF169" s="5"/>
      <x:c r="AG169" s="5"/>
      <x:c r="AH169" s="5"/>
      <x:c r="AI169" s="5"/>
      <x:c r="AJ169" s="5"/>
      <x:c r="AK169" s="5" t="n">
        <x:v>5920</x:v>
      </x:c>
      <x:c r="AL169" s="5" t="n">
        <x:v>7980</x:v>
      </x:c>
      <x:c r="AM169" s="5" t="n">
        <x:v>1070</x:v>
      </x:c>
      <x:c r="AN169" s="5" t="n">
        <x:v>240</x:v>
      </x:c>
      <x:c r="AO169" s="5" t="n">
        <x:v>310</x:v>
      </x:c>
      <x:c r="AP169" s="5" t="n">
        <x:v>1080</x:v>
      </x:c>
      <x:c r="AQ169" s="5" t="n">
        <x:v>48.74</x:v>
      </x:c>
      <x:c r="AR169" s="5" t="n">
        <x:v>14.41</x:v>
      </x:c>
      <x:c r="AS169" s="5" t="n">
        <x:v>9.41</x:v>
      </x:c>
      <x:c r="AT169" s="5" t="n">
        <x:v>10.51</x:v>
      </x:c>
      <x:c r="AU169" s="5"/>
      <x:c r="AV169" s="5"/>
      <x:c r="AW169" s="5"/>
      <x:c r="AX169" s="5"/>
      <x:c r="AY169" s="5"/>
      <x:c r="AZ169" s="5" t="n">
        <x:v>3646</x:v>
      </x:c>
      <x:c r="BA169" s="5" t="n">
        <x:v>3267</x:v>
      </x:c>
      <x:c r="BB169" s="5" t="n">
        <x:v>1.58</x:v>
      </x:c>
      <x:c r="BC169" s="5" t="n">
        <x:v>1</x:v>
      </x:c>
      <x:c r="BD169" s="5" t="n">
        <x:v>6.12</x:v>
      </x:c>
      <x:c r="BE169" s="5" t="n">
        <x:v>4.325</x:v>
      </x:c>
      <x:c r="BF169" s="5" t="n">
        <x:v>6.435</x:v>
      </x:c>
      <x:c r="BG169" s="5" t="n">
        <x:v>3.31</x:v>
      </x:c>
      <x:c r="BH169" s="5" t="n">
        <x:v>15.89</x:v>
      </x:c>
      <x:c r="BI169" s="5" t="n">
        <x:v>2.77</x:v>
      </x:c>
      <x:c r="BJ169" s="5" t="n">
        <x:v>1.39</x:v>
      </x:c>
      <x:c r="BK169" s="5" t="n">
        <x:v>28.56</x:v>
      </x:c>
      <x:c r="BL169" s="5" t="n">
        <x:v>35.6</x:v>
      </x:c>
      <x:c r="BM169" s="5" t="n">
        <x:v>44.41</x:v>
      </x:c>
      <x:c r="BN169" s="5" t="n">
        <x:v>29.49</x:v>
      </x:c>
      <x:c r="BO169" s="5" t="n">
        <x:v>45.59</x:v>
      </x:c>
      <x:c r="BP169" s="5" t="n">
        <x:v>4.98</x:v>
      </x:c>
      <x:c r="BQ169" s="5"/>
      <x:c r="BR169" s="5"/>
      <x:c r="BS169" s="5"/>
      <x:c r="BT169" s="5"/>
      <x:c r="BU169" s="5"/>
      <x:c r="BV169" s="5"/>
      <x:c r="BW169" s="5"/>
      <x:c r="BX169" s="5"/>
      <x:c r="BY169" s="5"/>
      <x:c r="BZ169" s="5" t="n">
        <x:v>1.605</x:v>
      </x:c>
      <x:c r="CA169" s="5" t="n">
        <x:v>1.635</x:v>
      </x:c>
      <x:c r="CB169" s="5" t="n">
        <x:v>18.55</x:v>
      </x:c>
      <x:c r="CC169" s="5" t="n">
        <x:v>7.36</x:v>
      </x:c>
      <x:c r="CD169" s="5" t="n">
        <x:v>3.1</x:v>
      </x:c>
      <x:c r="CE169" s="5" t="n">
        <x:v>3.44</x:v>
      </x:c>
      <x:c r="CF169" s="5" t="n">
        <x:v>2.71</x:v>
      </x:c>
      <x:c r="CG169" s="5" t="n">
        <x:v>1</x:v>
      </x:c>
      <x:c r="CH169" s="5" t="n">
        <x:v>0.64</x:v>
      </x:c>
      <x:c r="CI169" s="5" t="n">
        <x:v>7.18</x:v>
      </x:c>
      <x:c r="CJ169" s="5" t="n">
        <x:v>10.94</x:v>
      </x:c>
      <x:c r="CK169" s="5" t="n">
        <x:v>11.1</x:v>
      </x:c>
      <x:c r="CL169" s="5" t="n">
        <x:v>3.98</x:v>
      </x:c>
      <x:c r="CM169" s="5" t="n">
        <x:v>5.39</x:v>
      </x:c>
      <x:c r="CN169" s="5" t="n">
        <x:v>2130</x:v>
      </x:c>
      <x:c r="CO169" s="5" t="n">
        <x:v>3491</x:v>
      </x:c>
      <x:c r="CP169" s="5" t="n">
        <x:v>2558</x:v>
      </x:c>
      <x:c r="CQ169" s="5" t="n">
        <x:v>2837</x:v>
      </x:c>
      <x:c r="CR169" s="5"/>
      <x:c r="CS169" s="5"/>
      <x:c r="CT169" s="5" t="n">
        <x:v>601.19</x:v>
      </x:c>
      <x:c r="CU169" s="5" t="n">
        <x:v>178.07</x:v>
      </x:c>
      <x:c r="CV169" s="5" t="n">
        <x:v>274.12</x:v>
      </x:c>
      <x:c r="CW169" s="5" t="n">
        <x:v>568.38</x:v>
      </x:c>
      <x:c r="CX169" s="5" t="n">
        <x:v>5071.84</x:v>
      </x:c>
      <x:c r="CY169" s="5" t="n">
        <x:v>19114.67</x:v>
      </x:c>
      <x:c r="CZ169" s="5" t="n">
        <x:v>18770.54</x:v>
      </x:c>
      <x:c r="DA169" s="5" t="n">
        <x:v>3655.91</x:v>
      </x:c>
      <x:c r="DB169" s="5" t="n">
        <x:v>24200.46</x:v>
      </x:c>
      <x:c r="DC169" s="5" t="n">
        <x:v>2473.35</x:v>
      </x:c>
      <x:c r="DD169" s="5" t="n">
        <x:v>19122.94</x:v>
      </x:c>
      <x:c r="DE169" s="5" t="n">
        <x:v>8484.44</x:v>
      </x:c>
      <x:c r="DF169" s="5" t="n">
        <x:v>45868.92</x:v>
      </x:c>
      <x:c r="DG169" s="5" t="n">
        <x:v>9875.29</x:v>
      </x:c>
      <x:c r="DH169" s="5" t="n">
        <x:v>29142.25</x:v>
      </x:c>
      <x:c r="DI169" s="5" t="n">
        <x:v>9041.23</x:v>
      </x:c>
      <x:c r="DJ169" s="5" t="n">
        <x:v>32848.88</x:v>
      </x:c>
      <x:c r="DK169" s="5" t="n">
        <x:v>7306.11</x:v>
      </x:c>
      <x:c r="DL169" s="5" t="n">
        <x:v>28993.91</x:v>
      </x:c>
      <x:c r="DM169" s="5" t="n">
        <x:v>12536.11</x:v>
      </x:c>
    </x:row>
    <x:row r="170">
      <x:c r="A170" s="5" t="n">
        <x:v>165</x:v>
      </x:c>
      <x:c r="B170" s="5" t="str">
        <x:v>己酸丁酯</x:v>
      </x:c>
      <x:c r="C170" s="5" t="str">
        <x:v>626-82-4</x:v>
      </x:c>
      <x:c r="D170" s="5" t="n">
        <x:v>677.84</x:v>
      </x:c>
      <x:c r="E170" s="5"/>
      <x:c r="F170" s="5"/>
      <x:c r="G170" s="5" t="n">
        <x:v>36.04</x:v>
      </x:c>
      <x:c r="H170" s="5" t="n">
        <x:v>45.49</x:v>
      </x:c>
      <x:c r="I170" s="5" t="n">
        <x:v>31.18</x:v>
      </x:c>
      <x:c r="J170" s="5" t="n">
        <x:v>47.71</x:v>
      </x:c>
      <x:c r="K170" s="5" t="n">
        <x:v>11.06</x:v>
      </x:c>
      <x:c r="L170" s="5" t="n">
        <x:v>675</x:v>
      </x:c>
      <x:c r="M170" s="5" t="n">
        <x:v>848</x:v>
      </x:c>
      <x:c r="N170" s="5" t="n">
        <x:v>86300</x:v>
      </x:c>
      <x:c r="O170" s="5" t="n">
        <x:v>67344</x:v>
      </x:c>
      <x:c r="P170" s="5" t="n">
        <x:v>72534</x:v>
      </x:c>
      <x:c r="Q170" s="5" t="n">
        <x:v>69305</x:v>
      </x:c>
      <x:c r="R170" s="5" t="n">
        <x:v>32877</x:v>
      </x:c>
      <x:c r="S170" s="5" t="n">
        <x:v>59224</x:v>
      </x:c>
      <x:c r="T170" s="5" t="n">
        <x:v>21</x:v>
      </x:c>
      <x:c r="U170" s="5" t="n">
        <x:v>29</x:v>
      </x:c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 t="n">
        <x:v>20910</x:v>
      </x:c>
      <x:c r="AF170" s="5" t="n">
        <x:v>6410</x:v>
      </x:c>
      <x:c r="AG170" s="5"/>
      <x:c r="AH170" s="5" t="n">
        <x:v>550</x:v>
      </x:c>
      <x:c r="AI170" s="5" t="n">
        <x:v>560</x:v>
      </x:c>
      <x:c r="AJ170" s="5" t="n">
        <x:v>15</x:v>
      </x:c>
      <x:c r="AK170" s="5" t="n">
        <x:v>5090</x:v>
      </x:c>
      <x:c r="AL170" s="5" t="n">
        <x:v>5610</x:v>
      </x:c>
      <x:c r="AM170" s="5" t="n">
        <x:v>5000</x:v>
      </x:c>
      <x:c r="AN170" s="5" t="n">
        <x:v>480</x:v>
      </x:c>
      <x:c r="AO170" s="5" t="n">
        <x:v>700</x:v>
      </x:c>
      <x:c r="AP170" s="5" t="n">
        <x:v>6990</x:v>
      </x:c>
      <x:c r="AQ170" s="5" t="n">
        <x:v>77</x:v>
      </x:c>
      <x:c r="AR170" s="5" t="n">
        <x:v>32.48</x:v>
      </x:c>
      <x:c r="AS170" s="5" t="n">
        <x:v>11.31</x:v>
      </x:c>
      <x:c r="AT170" s="5" t="n">
        <x:v>13.83</x:v>
      </x:c>
      <x:c r="AU170" s="5"/>
      <x:c r="AV170" s="5"/>
      <x:c r="AW170" s="5"/>
      <x:c r="AX170" s="5"/>
      <x:c r="AY170" s="5"/>
      <x:c r="AZ170" s="5" t="n">
        <x:v>11399</x:v>
      </x:c>
      <x:c r="BA170" s="5"/>
      <x:c r="BB170" s="5" t="n">
        <x:v>3.24</x:v>
      </x:c>
      <x:c r="BC170" s="5" t="n">
        <x:v>22.5</x:v>
      </x:c>
      <x:c r="BD170" s="5" t="n">
        <x:v>7.3</x:v>
      </x:c>
      <x:c r="BE170" s="5" t="n">
        <x:v>19.86</x:v>
      </x:c>
      <x:c r="BF170" s="5" t="n">
        <x:v>13.01</x:v>
      </x:c>
      <x:c r="BG170" s="5" t="n">
        <x:v>2.79</x:v>
      </x:c>
      <x:c r="BH170" s="5" t="n">
        <x:v>37.41</x:v>
      </x:c>
      <x:c r="BI170" s="5" t="n">
        <x:v>2.86</x:v>
      </x:c>
      <x:c r="BJ170" s="5" t="n">
        <x:v>3.78</x:v>
      </x:c>
      <x:c r="BK170" s="5" t="n">
        <x:v>49.99</x:v>
      </x:c>
      <x:c r="BL170" s="5" t="n">
        <x:v>61.77</x:v>
      </x:c>
      <x:c r="BM170" s="5" t="n">
        <x:v>95.51</x:v>
      </x:c>
      <x:c r="BN170" s="5" t="n">
        <x:v>67.74</x:v>
      </x:c>
      <x:c r="BO170" s="5" t="n">
        <x:v>98.83</x:v>
      </x:c>
      <x:c r="BP170" s="5" t="n">
        <x:v>4.69</x:v>
      </x:c>
      <x:c r="BQ170" s="5"/>
      <x:c r="BR170" s="5"/>
      <x:c r="BS170" s="5"/>
      <x:c r="BT170" s="5"/>
      <x:c r="BU170" s="5"/>
      <x:c r="BV170" s="5"/>
      <x:c r="BW170" s="5"/>
      <x:c r="BX170" s="5"/>
      <x:c r="BY170" s="5"/>
      <x:c r="BZ170" s="5" t="n">
        <x:v>3138.08</x:v>
      </x:c>
      <x:c r="CA170" s="5" t="n">
        <x:v>3602.1033</x:v>
      </x:c>
      <x:c r="CB170" s="5" t="n">
        <x:v>8916.18</x:v>
      </x:c>
      <x:c r="CC170" s="5" t="n">
        <x:v>2694.41</x:v>
      </x:c>
      <x:c r="CD170" s="5" t="n">
        <x:v>24918.47</x:v>
      </x:c>
      <x:c r="CE170" s="5" t="n">
        <x:v>8707.78</x:v>
      </x:c>
      <x:c r="CF170" s="5" t="n">
        <x:v>7818.61</x:v>
      </x:c>
      <x:c r="CG170" s="5" t="n">
        <x:v>1491.19</x:v>
      </x:c>
      <x:c r="CH170" s="5" t="n">
        <x:v>799.47</x:v>
      </x:c>
      <x:c r="CI170" s="5" t="n">
        <x:v>17820.66</x:v>
      </x:c>
      <x:c r="CJ170" s="5" t="n">
        <x:v>36995.29</x:v>
      </x:c>
      <x:c r="CK170" s="5" t="n">
        <x:v>43495.18</x:v>
      </x:c>
      <x:c r="CL170" s="5" t="n">
        <x:v>12475.5</x:v>
      </x:c>
      <x:c r="CM170" s="5" t="n">
        <x:v>14941.38</x:v>
      </x:c>
      <x:c r="CN170" s="5" t="n">
        <x:v>1801</x:v>
      </x:c>
      <x:c r="CO170" s="5" t="n">
        <x:v>8339</x:v>
      </x:c>
      <x:c r="CP170" s="5" t="n">
        <x:v>2256</x:v>
      </x:c>
      <x:c r="CQ170" s="5" t="n">
        <x:v>2796</x:v>
      </x:c>
      <x:c r="CR170" s="5"/>
      <x:c r="CS170" s="5"/>
      <x:c r="CT170" s="5" t="n">
        <x:v>1911.38</x:v>
      </x:c>
      <x:c r="CU170" s="5" t="n">
        <x:v>454.98</x:v>
      </x:c>
      <x:c r="CV170" s="5" t="n">
        <x:v>1268.03</x:v>
      </x:c>
      <x:c r="CW170" s="5" t="n">
        <x:v>1433.29</x:v>
      </x:c>
      <x:c r="CX170" s="5"/>
      <x:c r="CY170" s="5"/>
      <x:c r="CZ170" s="5"/>
      <x:c r="DA170" s="5"/>
      <x:c r="DB170" s="5"/>
      <x:c r="DC170" s="5"/>
      <x:c r="DD170" s="5"/>
      <x:c r="DE170" s="5"/>
      <x:c r="DF170" s="5"/>
      <x:c r="DG170" s="5"/>
      <x:c r="DH170" s="5"/>
      <x:c r="DI170" s="5"/>
      <x:c r="DJ170" s="5"/>
      <x:c r="DK170" s="5"/>
      <x:c r="DL170" s="5"/>
      <x:c r="DM170" s="5"/>
    </x:row>
    <x:row r="171">
      <x:c r="A171" s="5" t="n">
        <x:v>166</x:v>
      </x:c>
      <x:c r="B171" s="5" t="str">
        <x:v>2-己醇</x:v>
      </x:c>
      <x:c r="C171" s="5" t="str">
        <x:v>626-93-7</x:v>
      </x:c>
      <x:c r="D171" s="5"/>
      <x:c r="E171" s="5"/>
      <x:c r="F171" s="5"/>
      <x:c r="G171" s="5"/>
      <x:c r="H171" s="5"/>
      <x:c r="I171" s="5" t="n">
        <x:v>0.15</x:v>
      </x:c>
      <x:c r="J171" s="5"/>
      <x:c r="K171" s="5" t="n">
        <x:v>0.14</x:v>
      </x:c>
      <x:c r="L171" s="5"/>
      <x:c r="M171" s="5"/>
      <x:c r="N171" s="5"/>
      <x:c r="O171" s="5"/>
      <x:c r="P171" s="5"/>
      <x:c r="Q171" s="5"/>
      <x:c r="R171" s="5"/>
      <x:c r="S171" s="5"/>
      <x:c r="T171" s="5" t="n">
        <x:v>0</x:v>
      </x:c>
      <x:c r="U171" s="5" t="n">
        <x:v>0</x:v>
      </x:c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 t="n">
        <x:v>5.96</x:v>
      </x:c>
      <x:c r="AR171" s="5" t="n">
        <x:v>2.4</x:v>
      </x:c>
      <x:c r="AS171" s="5" t="n">
        <x:v>2.38</x:v>
      </x:c>
      <x:c r="AT171" s="5" t="n">
        <x:v>2.02</x:v>
      </x:c>
      <x:c r="AU171" s="5"/>
      <x:c r="AV171" s="5"/>
      <x:c r="AW171" s="5"/>
      <x:c r="AX171" s="5"/>
      <x:c r="AY171" s="5"/>
      <x:c r="AZ171" s="5"/>
      <x:c r="BA171" s="5"/>
      <x:c r="BB171" s="5"/>
      <x:c r="BC171" s="5"/>
      <x:c r="BD171" s="5"/>
      <x:c r="BE171" s="5"/>
      <x:c r="BF171" s="5"/>
      <x:c r="BG171" s="5"/>
      <x:c r="BH171" s="5"/>
      <x:c r="BI171" s="5"/>
      <x:c r="BJ171" s="5"/>
      <x:c r="BK171" s="5"/>
      <x:c r="BL171" s="5"/>
      <x:c r="BM171" s="5"/>
      <x:c r="BN171" s="5"/>
      <x:c r="BO171" s="5"/>
      <x:c r="BP171" s="5"/>
      <x:c r="BQ171" s="5"/>
      <x:c r="BR171" s="5"/>
      <x:c r="BS171" s="5"/>
      <x:c r="BT171" s="5"/>
      <x:c r="BU171" s="5"/>
      <x:c r="BV171" s="5"/>
      <x:c r="BW171" s="5"/>
      <x:c r="BX171" s="5"/>
      <x:c r="BY171" s="5"/>
      <x:c r="BZ171" s="5"/>
      <x:c r="CA171" s="5"/>
      <x:c r="CB171" s="5"/>
      <x:c r="CC171" s="5"/>
      <x:c r="CD171" s="5"/>
      <x:c r="CE171" s="5"/>
      <x:c r="CF171" s="5"/>
      <x:c r="CG171" s="5"/>
      <x:c r="CH171" s="5"/>
      <x:c r="CI171" s="5"/>
      <x:c r="CJ171" s="5"/>
      <x:c r="CK171" s="5"/>
      <x:c r="CL171" s="5"/>
      <x:c r="CM171" s="5"/>
      <x:c r="CN171" s="5"/>
      <x:c r="CO171" s="5"/>
      <x:c r="CP171" s="5"/>
      <x:c r="CQ171" s="5"/>
      <x:c r="CR171" s="5"/>
      <x:c r="CS171" s="5"/>
      <x:c r="CT171" s="5"/>
      <x:c r="CU171" s="5"/>
      <x:c r="CV171" s="5"/>
      <x:c r="CW171" s="5"/>
      <x:c r="CX171" s="5"/>
      <x:c r="CY171" s="5"/>
      <x:c r="CZ171" s="5"/>
      <x:c r="DA171" s="5"/>
      <x:c r="DB171" s="5"/>
      <x:c r="DC171" s="5"/>
      <x:c r="DD171" s="5"/>
      <x:c r="DE171" s="5"/>
      <x:c r="DF171" s="5"/>
      <x:c r="DG171" s="5"/>
      <x:c r="DH171" s="5"/>
      <x:c r="DI171" s="5"/>
      <x:c r="DJ171" s="5"/>
      <x:c r="DK171" s="5"/>
      <x:c r="DL171" s="5"/>
      <x:c r="DM171" s="5"/>
    </x:row>
    <x:row r="172">
      <x:c r="A172" s="5" t="n">
        <x:v>167</x:v>
      </x:c>
      <x:c r="B172" s="5" t="str">
        <x:v>十一酸乙酯</x:v>
      </x:c>
      <x:c r="C172" s="5" t="str">
        <x:v>627-90-7</x:v>
      </x:c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 t="n">
        <x:v>2149</x:v>
      </x:c>
      <x:c r="O172" s="5" t="n">
        <x:v>1046</x:v>
      </x:c>
      <x:c r="P172" s="5" t="n">
        <x:v>1373</x:v>
      </x:c>
      <x:c r="Q172" s="5" t="n">
        <x:v>785</x:v>
      </x:c>
      <x:c r="R172" s="5" t="n">
        <x:v>1142</x:v>
      </x:c>
      <x:c r="S172" s="5" t="n">
        <x:v>1349</x:v>
      </x:c>
      <x:c r="T172" s="5"/>
      <x:c r="U172" s="5"/>
      <x:c r="V172" s="5" t="n">
        <x:v>1.6667</x:v>
      </x:c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  <x:c r="BA172" s="5"/>
      <x:c r="BB172" s="5"/>
      <x:c r="BC172" s="5"/>
      <x:c r="BD172" s="5"/>
      <x:c r="BE172" s="5"/>
      <x:c r="BF172" s="5"/>
      <x:c r="BG172" s="5"/>
      <x:c r="BH172" s="5"/>
      <x:c r="BI172" s="5"/>
      <x:c r="BJ172" s="5"/>
      <x:c r="BK172" s="5"/>
      <x:c r="BL172" s="5"/>
      <x:c r="BM172" s="5"/>
      <x:c r="BN172" s="5"/>
      <x:c r="BO172" s="5"/>
      <x:c r="BP172" s="5"/>
      <x:c r="BQ172" s="5"/>
      <x:c r="BR172" s="5"/>
      <x:c r="BS172" s="5"/>
      <x:c r="BT172" s="5"/>
      <x:c r="BU172" s="5"/>
      <x:c r="BV172" s="5"/>
      <x:c r="BW172" s="5"/>
      <x:c r="BX172" s="5"/>
      <x:c r="BY172" s="5"/>
      <x:c r="BZ172" s="5" t="n">
        <x:v>16.18</x:v>
      </x:c>
      <x:c r="CA172" s="5" t="n">
        <x:v>17.035</x:v>
      </x:c>
      <x:c r="CB172" s="5" t="n">
        <x:v>39.98</x:v>
      </x:c>
      <x:c r="CC172" s="5" t="n">
        <x:v>34.78</x:v>
      </x:c>
      <x:c r="CD172" s="5" t="n">
        <x:v>36.36</x:v>
      </x:c>
      <x:c r="CE172" s="5" t="n">
        <x:v>34.37</x:v>
      </x:c>
      <x:c r="CF172" s="5" t="n">
        <x:v>39.49</x:v>
      </x:c>
      <x:c r="CG172" s="5" t="n">
        <x:v>15.09</x:v>
      </x:c>
      <x:c r="CH172" s="5" t="n">
        <x:v>13.37</x:v>
      </x:c>
      <x:c r="CI172" s="5" t="n">
        <x:v>51.15</x:v>
      </x:c>
      <x:c r="CJ172" s="5" t="n">
        <x:v>32.5</x:v>
      </x:c>
      <x:c r="CK172" s="5" t="n">
        <x:v>52.61</x:v>
      </x:c>
      <x:c r="CL172" s="5" t="n">
        <x:v>33.94</x:v>
      </x:c>
      <x:c r="CM172" s="5"/>
      <x:c r="CN172" s="5" t="n">
        <x:v>20</x:v>
      </x:c>
      <x:c r="CO172" s="5" t="n">
        <x:v>23</x:v>
      </x:c>
      <x:c r="CP172" s="5" t="n">
        <x:v>16</x:v>
      </x:c>
      <x:c r="CQ172" s="5" t="n">
        <x:v>21</x:v>
      </x:c>
      <x:c r="CR172" s="5"/>
      <x:c r="CS172" s="5"/>
      <x:c r="CT172" s="5"/>
      <x:c r="CU172" s="5"/>
      <x:c r="CV172" s="5"/>
      <x:c r="CW172" s="5"/>
      <x:c r="CX172" s="5" t="n">
        <x:v>37.6</x:v>
      </x:c>
      <x:c r="CY172" s="5" t="n">
        <x:v>6.83</x:v>
      </x:c>
      <x:c r="CZ172" s="5" t="n">
        <x:v>3.16</x:v>
      </x:c>
      <x:c r="DA172" s="5" t="n">
        <x:v>24.89</x:v>
      </x:c>
      <x:c r="DB172" s="5" t="n">
        <x:v>3.65</x:v>
      </x:c>
      <x:c r="DC172" s="5" t="n">
        <x:v>19.52</x:v>
      </x:c>
      <x:c r="DD172" s="5" t="n">
        <x:v>13.37</x:v>
      </x:c>
      <x:c r="DE172" s="5" t="n">
        <x:v>67.38</x:v>
      </x:c>
      <x:c r="DF172" s="5" t="n">
        <x:v>5.48</x:v>
      </x:c>
      <x:c r="DG172" s="5" t="n">
        <x:v>4.73</x:v>
      </x:c>
      <x:c r="DH172" s="5" t="n">
        <x:v>6.84</x:v>
      </x:c>
      <x:c r="DI172" s="5" t="n">
        <x:v>4.74</x:v>
      </x:c>
      <x:c r="DJ172" s="5" t="n">
        <x:v>4.49</x:v>
      </x:c>
      <x:c r="DK172" s="5" t="n">
        <x:v>4.6</x:v>
      </x:c>
      <x:c r="DL172" s="5" t="n">
        <x:v>10.33</x:v>
      </x:c>
      <x:c r="DM172" s="5" t="n">
        <x:v>70.2</x:v>
      </x:c>
    </x:row>
    <x:row r="173">
      <x:c r="A173" s="5" t="n">
        <x:v>168</x:v>
      </x:c>
      <x:c r="B173" s="5" t="str">
        <x:v>乙酸戊酯</x:v>
      </x:c>
      <x:c r="C173" s="5" t="str">
        <x:v>628-63-7</x:v>
      </x:c>
      <x:c r="D173" s="5"/>
      <x:c r="E173" s="5"/>
      <x:c r="F173" s="5"/>
      <x:c r="G173" s="5" t="n">
        <x:v>3.6</x:v>
      </x:c>
      <x:c r="H173" s="5" t="n">
        <x:v>0.15</x:v>
      </x:c>
      <x:c r="I173" s="5"/>
      <x:c r="J173" s="5" t="n">
        <x:v>20.24</x:v>
      </x:c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 t="n">
        <x:v>318</x:v>
      </x:c>
      <x:c r="BA173" s="5" t="n">
        <x:v>321</x:v>
      </x:c>
      <x:c r="BB173" s="5"/>
      <x:c r="BC173" s="5"/>
      <x:c r="BD173" s="5"/>
      <x:c r="BE173" s="5"/>
      <x:c r="BF173" s="5"/>
      <x:c r="BG173" s="5"/>
      <x:c r="BH173" s="5"/>
      <x:c r="BI173" s="5"/>
      <x:c r="BJ173" s="5"/>
      <x:c r="BK173" s="5"/>
      <x:c r="BL173" s="5"/>
      <x:c r="BM173" s="5"/>
      <x:c r="BN173" s="5"/>
      <x:c r="BO173" s="5"/>
      <x:c r="BP173" s="5"/>
      <x:c r="BQ173" s="5"/>
      <x:c r="BR173" s="5"/>
      <x:c r="BS173" s="5"/>
      <x:c r="BT173" s="5"/>
      <x:c r="BU173" s="5"/>
      <x:c r="BV173" s="5"/>
      <x:c r="BW173" s="5"/>
      <x:c r="BX173" s="5"/>
      <x:c r="BY173" s="5"/>
      <x:c r="BZ173" s="5"/>
      <x:c r="CA173" s="5"/>
      <x:c r="CB173" s="5"/>
      <x:c r="CC173" s="5"/>
      <x:c r="CD173" s="5"/>
      <x:c r="CE173" s="5"/>
      <x:c r="CF173" s="5"/>
      <x:c r="CG173" s="5"/>
      <x:c r="CH173" s="5"/>
      <x:c r="CI173" s="5"/>
      <x:c r="CJ173" s="5"/>
      <x:c r="CK173" s="5"/>
      <x:c r="CL173" s="5"/>
      <x:c r="CM173" s="5"/>
      <x:c r="CN173" s="5"/>
      <x:c r="CO173" s="5"/>
      <x:c r="CP173" s="5"/>
      <x:c r="CQ173" s="5"/>
      <x:c r="CR173" s="5"/>
      <x:c r="CS173" s="5"/>
      <x:c r="CT173" s="5"/>
      <x:c r="CU173" s="5"/>
      <x:c r="CV173" s="5"/>
      <x:c r="CW173" s="5"/>
      <x:c r="CX173" s="5"/>
      <x:c r="CY173" s="5"/>
      <x:c r="CZ173" s="5"/>
      <x:c r="DA173" s="5"/>
      <x:c r="DB173" s="5"/>
      <x:c r="DC173" s="5"/>
      <x:c r="DD173" s="5"/>
      <x:c r="DE173" s="5"/>
      <x:c r="DF173" s="5"/>
      <x:c r="DG173" s="5"/>
      <x:c r="DH173" s="5"/>
      <x:c r="DI173" s="5"/>
      <x:c r="DJ173" s="5"/>
      <x:c r="DK173" s="5"/>
      <x:c r="DL173" s="5"/>
      <x:c r="DM173" s="5"/>
    </x:row>
    <x:row r="174">
      <x:c r="A174" s="5" t="n">
        <x:v>169</x:v>
      </x:c>
      <x:c r="B174" s="5" t="str">
        <x:v>棕榈酸乙酯</x:v>
      </x:c>
      <x:c r="C174" s="5" t="str">
        <x:v>628-97-7</x:v>
      </x:c>
      <x:c r="D174" s="5"/>
      <x:c r="E174" s="5" t="n">
        <x:v>601</x:v>
      </x:c>
      <x:c r="F174" s="5" t="n">
        <x:v>14044</x:v>
      </x:c>
      <x:c r="G174" s="5" t="n">
        <x:v>41.84</x:v>
      </x:c>
      <x:c r="H174" s="5" t="n">
        <x:v>47.81</x:v>
      </x:c>
      <x:c r="I174" s="5" t="n">
        <x:v>14.02</x:v>
      </x:c>
      <x:c r="J174" s="5" t="n">
        <x:v>34.52</x:v>
      </x:c>
      <x:c r="K174" s="5" t="n">
        <x:v>3.56</x:v>
      </x:c>
      <x:c r="L174" s="5"/>
      <x:c r="M174" s="5"/>
      <x:c r="N174" s="5" t="n">
        <x:v>156714</x:v>
      </x:c>
      <x:c r="O174" s="5" t="n">
        <x:v>106419</x:v>
      </x:c>
      <x:c r="P174" s="5" t="n">
        <x:v>115440</x:v>
      </x:c>
      <x:c r="Q174" s="5" t="n">
        <x:v>98682</x:v>
      </x:c>
      <x:c r="R174" s="5" t="n">
        <x:v>99126</x:v>
      </x:c>
      <x:c r="S174" s="5" t="n">
        <x:v>114452</x:v>
      </x:c>
      <x:c r="T174" s="5" t="n">
        <x:v>53</x:v>
      </x:c>
      <x:c r="U174" s="5" t="n">
        <x:v>16</x:v>
      </x:c>
      <x:c r="V174" s="5" t="n">
        <x:v>1.875</x:v>
      </x:c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 t="n">
        <x:v>0.4</x:v>
      </x:c>
      <x:c r="AJ174" s="5"/>
      <x:c r="AK174" s="5" t="n">
        <x:v>1140</x:v>
      </x:c>
      <x:c r="AL174" s="5" t="n">
        <x:v>6380</x:v>
      </x:c>
      <x:c r="AM174" s="5"/>
      <x:c r="AN174" s="5"/>
      <x:c r="AO174" s="5"/>
      <x:c r="AP174" s="5"/>
      <x:c r="AQ174" s="5" t="n">
        <x:v>94.55</x:v>
      </x:c>
      <x:c r="AR174" s="5" t="n">
        <x:v>38.12</x:v>
      </x:c>
      <x:c r="AS174" s="5" t="n">
        <x:v>48.09</x:v>
      </x:c>
      <x:c r="AT174" s="5" t="n">
        <x:v>50.57</x:v>
      </x:c>
      <x:c r="AU174" s="5"/>
      <x:c r="AV174" s="5"/>
      <x:c r="AW174" s="5"/>
      <x:c r="AX174" s="5"/>
      <x:c r="AY174" s="5"/>
      <x:c r="AZ174" s="5"/>
      <x:c r="BA174" s="5"/>
      <x:c r="BB174" s="5"/>
      <x:c r="BC174" s="5"/>
      <x:c r="BD174" s="5"/>
      <x:c r="BE174" s="5"/>
      <x:c r="BF174" s="5"/>
      <x:c r="BG174" s="5"/>
      <x:c r="BH174" s="5"/>
      <x:c r="BI174" s="5"/>
      <x:c r="BJ174" s="5"/>
      <x:c r="BK174" s="5"/>
      <x:c r="BL174" s="5"/>
      <x:c r="BM174" s="5"/>
      <x:c r="BN174" s="5"/>
      <x:c r="BO174" s="5"/>
      <x:c r="BP174" s="5"/>
      <x:c r="BQ174" s="5"/>
      <x:c r="BR174" s="5"/>
      <x:c r="BS174" s="5"/>
      <x:c r="BT174" s="5"/>
      <x:c r="BU174" s="5"/>
      <x:c r="BV174" s="5"/>
      <x:c r="BW174" s="5"/>
      <x:c r="BX174" s="5"/>
      <x:c r="BY174" s="5"/>
      <x:c r="BZ174" s="5"/>
      <x:c r="CA174" s="5"/>
      <x:c r="CB174" s="5"/>
      <x:c r="CC174" s="5"/>
      <x:c r="CD174" s="5"/>
      <x:c r="CE174" s="5"/>
      <x:c r="CF174" s="5"/>
      <x:c r="CG174" s="5"/>
      <x:c r="CH174" s="5"/>
      <x:c r="CI174" s="5"/>
      <x:c r="CJ174" s="5"/>
      <x:c r="CK174" s="5"/>
      <x:c r="CL174" s="5"/>
      <x:c r="CM174" s="5"/>
      <x:c r="CN174" s="5"/>
      <x:c r="CO174" s="5"/>
      <x:c r="CP174" s="5"/>
      <x:c r="CQ174" s="5"/>
      <x:c r="CR174" s="5"/>
      <x:c r="CS174" s="5"/>
      <x:c r="CT174" s="5" t="n">
        <x:v>4446.35</x:v>
      </x:c>
      <x:c r="CU174" s="5" t="n">
        <x:v>4608.76</x:v>
      </x:c>
      <x:c r="CV174" s="5" t="n">
        <x:v>3111.51</x:v>
      </x:c>
      <x:c r="CW174" s="5" t="n">
        <x:v>3071.14</x:v>
      </x:c>
      <x:c r="CX174" s="5" t="n">
        <x:v>1141.54</x:v>
      </x:c>
      <x:c r="CY174" s="5" t="n">
        <x:v>3180.43</x:v>
      </x:c>
      <x:c r="CZ174" s="5" t="n">
        <x:v>2412.99</x:v>
      </x:c>
      <x:c r="DA174" s="5" t="n">
        <x:v>1181.94</x:v>
      </x:c>
      <x:c r="DB174" s="5"/>
      <x:c r="DC174" s="5" t="n">
        <x:v>1035.33</x:v>
      </x:c>
      <x:c r="DD174" s="5" t="n">
        <x:v>5634.68</x:v>
      </x:c>
      <x:c r="DE174" s="5" t="n">
        <x:v>1233.61</x:v>
      </x:c>
      <x:c r="DF174" s="5" t="n">
        <x:v>2044.91</x:v>
      </x:c>
      <x:c r="DG174" s="5" t="n">
        <x:v>571.41</x:v>
      </x:c>
      <x:c r="DH174" s="5" t="n">
        <x:v>7356.18</x:v>
      </x:c>
      <x:c r="DI174" s="5" t="n">
        <x:v>1229.99</x:v>
      </x:c>
      <x:c r="DJ174" s="5" t="n">
        <x:v>4489.77</x:v>
      </x:c>
      <x:c r="DK174" s="5" t="n">
        <x:v>573.52</x:v>
      </x:c>
      <x:c r="DL174" s="5" t="n">
        <x:v>4268.11</x:v>
      </x:c>
      <x:c r="DM174" s="5" t="n">
        <x:v>1577.88</x:v>
      </x:c>
    </x:row>
    <x:row r="175">
      <x:c r="A175" s="5" t="n">
        <x:v>170</x:v>
      </x:c>
      <x:c r="B175" s="5" t="str">
        <x:v>2-壬基醇</x:v>
      </x:c>
      <x:c r="C175" s="5" t="str">
        <x:v>628-99-9</x:v>
      </x:c>
      <x:c r="D175" s="5"/>
      <x:c r="E175" s="5"/>
      <x:c r="F175" s="5"/>
      <x:c r="G175" s="5"/>
      <x:c r="H175" s="5"/>
      <x:c r="I175" s="5" t="n">
        <x:v>0.1</x:v>
      </x:c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  <x:c r="BA175" s="5"/>
      <x:c r="BB175" s="5"/>
      <x:c r="BC175" s="5"/>
      <x:c r="BD175" s="5"/>
      <x:c r="BE175" s="5"/>
      <x:c r="BF175" s="5"/>
      <x:c r="BG175" s="5"/>
      <x:c r="BH175" s="5"/>
      <x:c r="BI175" s="5"/>
      <x:c r="BJ175" s="5"/>
      <x:c r="BK175" s="5"/>
      <x:c r="BL175" s="5"/>
      <x:c r="BM175" s="5"/>
      <x:c r="BN175" s="5"/>
      <x:c r="BO175" s="5"/>
      <x:c r="BP175" s="5"/>
      <x:c r="BQ175" s="5"/>
      <x:c r="BR175" s="5"/>
      <x:c r="BS175" s="5"/>
      <x:c r="BT175" s="5"/>
      <x:c r="BU175" s="5"/>
      <x:c r="BV175" s="5"/>
      <x:c r="BW175" s="5"/>
      <x:c r="BX175" s="5"/>
      <x:c r="BY175" s="5"/>
      <x:c r="BZ175" s="5"/>
      <x:c r="CA175" s="5"/>
      <x:c r="CB175" s="5"/>
      <x:c r="CC175" s="5"/>
      <x:c r="CD175" s="5"/>
      <x:c r="CE175" s="5"/>
      <x:c r="CF175" s="5"/>
      <x:c r="CG175" s="5"/>
      <x:c r="CH175" s="5"/>
      <x:c r="CI175" s="5"/>
      <x:c r="CJ175" s="5"/>
      <x:c r="CK175" s="5"/>
      <x:c r="CL175" s="5"/>
      <x:c r="CM175" s="5"/>
      <x:c r="CN175" s="5"/>
      <x:c r="CO175" s="5"/>
      <x:c r="CP175" s="5"/>
      <x:c r="CQ175" s="5"/>
      <x:c r="CR175" s="5"/>
      <x:c r="CS175" s="5"/>
      <x:c r="CT175" s="5"/>
      <x:c r="CU175" s="5"/>
      <x:c r="CV175" s="5"/>
      <x:c r="CW175" s="5"/>
      <x:c r="CX175" s="5"/>
      <x:c r="CY175" s="5"/>
      <x:c r="CZ175" s="5"/>
      <x:c r="DA175" s="5"/>
      <x:c r="DB175" s="5"/>
      <x:c r="DC175" s="5"/>
      <x:c r="DD175" s="5"/>
      <x:c r="DE175" s="5"/>
      <x:c r="DF175" s="5"/>
      <x:c r="DG175" s="5"/>
      <x:c r="DH175" s="5"/>
      <x:c r="DI175" s="5"/>
      <x:c r="DJ175" s="5"/>
      <x:c r="DK175" s="5"/>
      <x:c r="DL175" s="5"/>
      <x:c r="DM175" s="5"/>
    </x:row>
    <x:row r="176">
      <x:c r="A176" s="5" t="n">
        <x:v>171</x:v>
      </x:c>
      <x:c r="B176" s="5" t="str">
        <x:v>异己酸（4-甲基戊酸）</x:v>
      </x:c>
      <x:c r="C176" s="5" t="str">
        <x:v>646-07-1</x:v>
      </x:c>
      <x:c r="D176" s="5"/>
      <x:c r="E176" s="5" t="n">
        <x:v>300</x:v>
      </x:c>
      <x:c r="F176" s="5" t="n">
        <x:v>1311</x:v>
      </x:c>
      <x:c r="G176" s="5"/>
      <x:c r="H176" s="5" t="n">
        <x:v>0.15</x:v>
      </x:c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 t="n">
        <x:v>4930</x:v>
      </x:c>
      <x:c r="X176" s="5" t="n">
        <x:v>2500</x:v>
      </x:c>
      <x:c r="Y176" s="5" t="n">
        <x:v>4710</x:v>
      </x:c>
      <x:c r="Z176" s="5" t="n">
        <x:v>6340</x:v>
      </x:c>
      <x:c r="AA176" s="5" t="n">
        <x:v>12300</x:v>
      </x:c>
      <x:c r="AB176" s="5" t="n">
        <x:v>18200</x:v>
      </x:c>
      <x:c r="AC176" s="5" t="n">
        <x:v>18800</x:v>
      </x:c>
      <x:c r="AD176" s="5" t="n">
        <x:v>25500</x:v>
      </x:c>
      <x:c r="AE176" s="5" t="n">
        <x:v>220</x:v>
      </x:c>
      <x:c r="AF176" s="5" t="n">
        <x:v>70</x:v>
      </x:c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  <x:c r="BA176" s="5"/>
      <x:c r="BB176" s="5"/>
      <x:c r="BC176" s="5"/>
      <x:c r="BD176" s="5" t="n">
        <x:v>254.11</x:v>
      </x:c>
      <x:c r="BE176" s="5" t="n">
        <x:v>631.81</x:v>
      </x:c>
      <x:c r="BF176" s="5" t="n">
        <x:v>395.33</x:v>
      </x:c>
      <x:c r="BG176" s="5" t="n">
        <x:v>281.12</x:v>
      </x:c>
      <x:c r="BH176" s="5"/>
      <x:c r="BI176" s="5" t="n">
        <x:v>364.22</x:v>
      </x:c>
      <x:c r="BJ176" s="5"/>
      <x:c r="BK176" s="5" t="n">
        <x:v>815.63</x:v>
      </x:c>
      <x:c r="BL176" s="5" t="n">
        <x:v>390.32</x:v>
      </x:c>
      <x:c r="BM176" s="5" t="n">
        <x:v>696.21</x:v>
      </x:c>
      <x:c r="BN176" s="5" t="n">
        <x:v>218.74</x:v>
      </x:c>
      <x:c r="BO176" s="5" t="n">
        <x:v>697.34</x:v>
      </x:c>
      <x:c r="BP176" s="5"/>
      <x:c r="BQ176" s="5"/>
      <x:c r="BR176" s="5"/>
      <x:c r="BS176" s="5"/>
      <x:c r="BT176" s="5"/>
      <x:c r="BU176" s="5"/>
      <x:c r="BV176" s="5"/>
      <x:c r="BW176" s="5"/>
      <x:c r="BX176" s="5"/>
      <x:c r="BY176" s="5"/>
      <x:c r="BZ176" s="5" t="n">
        <x:v>474.525</x:v>
      </x:c>
      <x:c r="CA176" s="5" t="n">
        <x:v>501.71</x:v>
      </x:c>
      <x:c r="CB176" s="5" t="n">
        <x:v>826.75</x:v>
      </x:c>
      <x:c r="CC176" s="5" t="n">
        <x:v>900.59</x:v>
      </x:c>
      <x:c r="CD176" s="5" t="n">
        <x:v>1030.82</x:v>
      </x:c>
      <x:c r="CE176" s="5" t="n">
        <x:v>1215.35</x:v>
      </x:c>
      <x:c r="CF176" s="5" t="n">
        <x:v>785.43</x:v>
      </x:c>
      <x:c r="CG176" s="5" t="n">
        <x:v>458.77</x:v>
      </x:c>
      <x:c r="CH176" s="5" t="n">
        <x:v>454.62</x:v>
      </x:c>
      <x:c r="CI176" s="5" t="n">
        <x:v>1091.36</x:v>
      </x:c>
      <x:c r="CJ176" s="5" t="n">
        <x:v>1489.7</x:v>
      </x:c>
      <x:c r="CK176" s="5" t="n">
        <x:v>2233.91</x:v>
      </x:c>
      <x:c r="CL176" s="5" t="n">
        <x:v>4104.59</x:v>
      </x:c>
      <x:c r="CM176" s="5" t="n">
        <x:v>1200.45</x:v>
      </x:c>
      <x:c r="CN176" s="5"/>
      <x:c r="CO176" s="5"/>
      <x:c r="CP176" s="5"/>
      <x:c r="CQ176" s="5"/>
      <x:c r="CR176" s="5"/>
      <x:c r="CS176" s="5"/>
      <x:c r="CT176" s="5"/>
      <x:c r="CU176" s="5"/>
      <x:c r="CV176" s="5"/>
      <x:c r="CW176" s="5"/>
      <x:c r="CX176" s="5"/>
      <x:c r="CY176" s="5"/>
      <x:c r="CZ176" s="5"/>
      <x:c r="DA176" s="5"/>
      <x:c r="DB176" s="5"/>
      <x:c r="DC176" s="5"/>
      <x:c r="DD176" s="5"/>
      <x:c r="DE176" s="5"/>
      <x:c r="DF176" s="5"/>
      <x:c r="DG176" s="5"/>
      <x:c r="DH176" s="5"/>
      <x:c r="DI176" s="5"/>
      <x:c r="DJ176" s="5"/>
      <x:c r="DK176" s="5"/>
      <x:c r="DL176" s="5"/>
      <x:c r="DM176" s="5"/>
    </x:row>
    <x:row r="177">
      <x:c r="A177" s="5" t="n">
        <x:v>172</x:v>
      </x:c>
      <x:c r="B177" s="5" t="str">
        <x:v>异戊酸异戊酯</x:v>
      </x:c>
      <x:c r="C177" s="5" t="str">
        <x:v>659-70-1</x:v>
      </x:c>
      <x:c r="D177" s="5" t="n">
        <x:v>134</x:v>
      </x:c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  <x:c r="BA177" s="5"/>
      <x:c r="BB177" s="5"/>
      <x:c r="BC177" s="5"/>
      <x:c r="BD177" s="5"/>
      <x:c r="BE177" s="5"/>
      <x:c r="BF177" s="5"/>
      <x:c r="BG177" s="5"/>
      <x:c r="BH177" s="5"/>
      <x:c r="BI177" s="5"/>
      <x:c r="BJ177" s="5"/>
      <x:c r="BK177" s="5"/>
      <x:c r="BL177" s="5"/>
      <x:c r="BM177" s="5"/>
      <x:c r="BN177" s="5"/>
      <x:c r="BO177" s="5"/>
      <x:c r="BP177" s="5"/>
      <x:c r="BQ177" s="5"/>
      <x:c r="BR177" s="5"/>
      <x:c r="BS177" s="5"/>
      <x:c r="BT177" s="5"/>
      <x:c r="BU177" s="5"/>
      <x:c r="BV177" s="5"/>
      <x:c r="BW177" s="5"/>
      <x:c r="BX177" s="5"/>
      <x:c r="BY177" s="5"/>
      <x:c r="BZ177" s="5"/>
      <x:c r="CA177" s="5"/>
      <x:c r="CB177" s="5"/>
      <x:c r="CC177" s="5"/>
      <x:c r="CD177" s="5"/>
      <x:c r="CE177" s="5"/>
      <x:c r="CF177" s="5"/>
      <x:c r="CG177" s="5"/>
      <x:c r="CH177" s="5"/>
      <x:c r="CI177" s="5"/>
      <x:c r="CJ177" s="5"/>
      <x:c r="CK177" s="5"/>
      <x:c r="CL177" s="5"/>
      <x:c r="CM177" s="5"/>
      <x:c r="CN177" s="5"/>
      <x:c r="CO177" s="5"/>
      <x:c r="CP177" s="5"/>
      <x:c r="CQ177" s="5"/>
      <x:c r="CR177" s="5"/>
      <x:c r="CS177" s="5"/>
      <x:c r="CT177" s="5"/>
      <x:c r="CU177" s="5"/>
      <x:c r="CV177" s="5"/>
      <x:c r="CW177" s="5"/>
      <x:c r="CX177" s="5" t="n">
        <x:v>15.85</x:v>
      </x:c>
      <x:c r="CY177" s="5" t="n">
        <x:v>20.79</x:v>
      </x:c>
      <x:c r="CZ177" s="5" t="n">
        <x:v>24.34</x:v>
      </x:c>
      <x:c r="DA177" s="5" t="n">
        <x:v>17.2</x:v>
      </x:c>
      <x:c r="DB177" s="5" t="n">
        <x:v>27.8</x:v>
      </x:c>
      <x:c r="DC177" s="5" t="n">
        <x:v>12.61</x:v>
      </x:c>
      <x:c r="DD177" s="5" t="n">
        <x:v>31.76</x:v>
      </x:c>
      <x:c r="DE177" s="5" t="n">
        <x:v>14.5</x:v>
      </x:c>
      <x:c r="DF177" s="5" t="n">
        <x:v>18.36</x:v>
      </x:c>
      <x:c r="DG177" s="5" t="n">
        <x:v>14.78</x:v>
      </x:c>
      <x:c r="DH177" s="5" t="n">
        <x:v>24.35</x:v>
      </x:c>
      <x:c r="DI177" s="5" t="n">
        <x:v>13.43</x:v>
      </x:c>
      <x:c r="DJ177" s="5" t="n">
        <x:v>19.31</x:v>
      </x:c>
      <x:c r="DK177" s="5" t="n">
        <x:v>12.96</x:v>
      </x:c>
      <x:c r="DL177" s="5" t="n">
        <x:v>42.64</x:v>
      </x:c>
      <x:c r="DM177" s="5" t="n">
        <x:v>14.88</x:v>
      </x:c>
    </x:row>
    <x:row r="178">
      <x:c r="A178" s="5" t="n">
        <x:v>173</x:v>
      </x:c>
      <x:c r="B178" s="5"/>
      <x:c r="C178" s="5" t="str">
        <x:v>687-47-8</x:v>
      </x:c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  <x:c r="BA178" s="5"/>
      <x:c r="BB178" s="5"/>
      <x:c r="BC178" s="5"/>
      <x:c r="BD178" s="5"/>
      <x:c r="BE178" s="5"/>
      <x:c r="BF178" s="5"/>
      <x:c r="BG178" s="5"/>
      <x:c r="BH178" s="5"/>
      <x:c r="BI178" s="5"/>
      <x:c r="BJ178" s="5"/>
      <x:c r="BK178" s="5"/>
      <x:c r="BL178" s="5"/>
      <x:c r="BM178" s="5"/>
      <x:c r="BN178" s="5"/>
      <x:c r="BO178" s="5"/>
      <x:c r="BP178" s="5"/>
      <x:c r="BQ178" s="5"/>
      <x:c r="BR178" s="5"/>
      <x:c r="BS178" s="5"/>
      <x:c r="BT178" s="5"/>
      <x:c r="BU178" s="5"/>
      <x:c r="BV178" s="5"/>
      <x:c r="BW178" s="5"/>
      <x:c r="BX178" s="5"/>
      <x:c r="BY178" s="5"/>
      <x:c r="BZ178" s="5"/>
      <x:c r="CA178" s="5"/>
      <x:c r="CB178" s="5"/>
      <x:c r="CC178" s="5"/>
      <x:c r="CD178" s="5"/>
      <x:c r="CE178" s="5"/>
      <x:c r="CF178" s="5"/>
      <x:c r="CG178" s="5"/>
      <x:c r="CH178" s="5"/>
      <x:c r="CI178" s="5"/>
      <x:c r="CJ178" s="5"/>
      <x:c r="CK178" s="5"/>
      <x:c r="CL178" s="5"/>
      <x:c r="CM178" s="5"/>
      <x:c r="CN178" s="5"/>
      <x:c r="CO178" s="5"/>
      <x:c r="CP178" s="5"/>
      <x:c r="CQ178" s="5"/>
      <x:c r="CR178" s="5"/>
      <x:c r="CS178" s="5"/>
      <x:c r="CT178" s="5"/>
      <x:c r="CU178" s="5"/>
      <x:c r="CV178" s="5"/>
      <x:c r="CW178" s="5"/>
      <x:c r="CX178" s="5"/>
      <x:c r="CY178" s="5"/>
      <x:c r="CZ178" s="5"/>
      <x:c r="DA178" s="5"/>
      <x:c r="DB178" s="5"/>
      <x:c r="DC178" s="5"/>
      <x:c r="DD178" s="5"/>
      <x:c r="DE178" s="5"/>
      <x:c r="DF178" s="5"/>
      <x:c r="DG178" s="5"/>
      <x:c r="DH178" s="5"/>
      <x:c r="DI178" s="5"/>
      <x:c r="DJ178" s="5"/>
      <x:c r="DK178" s="5"/>
      <x:c r="DL178" s="5"/>
      <x:c r="DM178" s="5"/>
    </x:row>
    <x:row r="179">
      <x:c r="A179" s="5" t="n">
        <x:v>174</x:v>
      </x:c>
      <x:c r="B179" s="5" t="str">
        <x:v>甲基壬基甲酮</x:v>
      </x:c>
      <x:c r="C179" s="5" t="str">
        <x:v>693-54-9</x:v>
      </x:c>
      <x:c r="D179" s="5" t="n">
        <x:v>400</x:v>
      </x:c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 t="n">
        <x:v>207</x:v>
      </x:c>
      <x:c r="BA179" s="5" t="n">
        <x:v>374</x:v>
      </x:c>
      <x:c r="BB179" s="5"/>
      <x:c r="BC179" s="5"/>
      <x:c r="BD179" s="5"/>
      <x:c r="BE179" s="5"/>
      <x:c r="BF179" s="5"/>
      <x:c r="BG179" s="5"/>
      <x:c r="BH179" s="5"/>
      <x:c r="BI179" s="5"/>
      <x:c r="BJ179" s="5"/>
      <x:c r="BK179" s="5"/>
      <x:c r="BL179" s="5"/>
      <x:c r="BM179" s="5"/>
      <x:c r="BN179" s="5"/>
      <x:c r="BO179" s="5"/>
      <x:c r="BP179" s="5"/>
      <x:c r="BQ179" s="5"/>
      <x:c r="BR179" s="5"/>
      <x:c r="BS179" s="5"/>
      <x:c r="BT179" s="5"/>
      <x:c r="BU179" s="5"/>
      <x:c r="BV179" s="5"/>
      <x:c r="BW179" s="5"/>
      <x:c r="BX179" s="5"/>
      <x:c r="BY179" s="5"/>
      <x:c r="BZ179" s="5"/>
      <x:c r="CA179" s="5"/>
      <x:c r="CB179" s="5"/>
      <x:c r="CC179" s="5"/>
      <x:c r="CD179" s="5"/>
      <x:c r="CE179" s="5"/>
      <x:c r="CF179" s="5"/>
      <x:c r="CG179" s="5"/>
      <x:c r="CH179" s="5"/>
      <x:c r="CI179" s="5"/>
      <x:c r="CJ179" s="5"/>
      <x:c r="CK179" s="5"/>
      <x:c r="CL179" s="5"/>
      <x:c r="CM179" s="5"/>
      <x:c r="CN179" s="5"/>
      <x:c r="CO179" s="5"/>
      <x:c r="CP179" s="5"/>
      <x:c r="CQ179" s="5"/>
      <x:c r="CR179" s="5"/>
      <x:c r="CS179" s="5"/>
      <x:c r="CT179" s="5"/>
      <x:c r="CU179" s="5"/>
      <x:c r="CV179" s="5"/>
      <x:c r="CW179" s="5"/>
      <x:c r="CX179" s="5"/>
      <x:c r="CY179" s="5"/>
      <x:c r="CZ179" s="5"/>
      <x:c r="DA179" s="5"/>
      <x:c r="DB179" s="5"/>
      <x:c r="DC179" s="5"/>
      <x:c r="DD179" s="5"/>
      <x:c r="DE179" s="5"/>
      <x:c r="DF179" s="5"/>
      <x:c r="DG179" s="5"/>
      <x:c r="DH179" s="5"/>
      <x:c r="DI179" s="5"/>
      <x:c r="DJ179" s="5"/>
      <x:c r="DK179" s="5"/>
      <x:c r="DL179" s="5"/>
      <x:c r="DM179" s="5"/>
    </x:row>
    <x:row r="180">
      <x:c r="A180" s="5" t="n">
        <x:v>175</x:v>
      </x:c>
      <x:c r="B180" s="5" t="str">
        <x:v>γ-己内酯</x:v>
      </x:c>
      <x:c r="C180" s="5" t="str">
        <x:v>695-06-7</x:v>
      </x:c>
      <x:c r="D180" s="5" t="n">
        <x:v>12500</x:v>
      </x:c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 t="n">
        <x:v>1.375</x:v>
      </x:c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 t="n">
        <x:v>9950</x:v>
      </x:c>
      <x:c r="AL180" s="5" t="n">
        <x:v>17760</x:v>
      </x:c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  <x:c r="BA180" s="5"/>
      <x:c r="BB180" s="5"/>
      <x:c r="BC180" s="5"/>
      <x:c r="BD180" s="5"/>
      <x:c r="BE180" s="5"/>
      <x:c r="BF180" s="5"/>
      <x:c r="BG180" s="5"/>
      <x:c r="BH180" s="5"/>
      <x:c r="BI180" s="5"/>
      <x:c r="BJ180" s="5"/>
      <x:c r="BK180" s="5"/>
      <x:c r="BL180" s="5"/>
      <x:c r="BM180" s="5"/>
      <x:c r="BN180" s="5"/>
      <x:c r="BO180" s="5"/>
      <x:c r="BP180" s="5"/>
      <x:c r="BQ180" s="5"/>
      <x:c r="BR180" s="5"/>
      <x:c r="BS180" s="5"/>
      <x:c r="BT180" s="5"/>
      <x:c r="BU180" s="5"/>
      <x:c r="BV180" s="5"/>
      <x:c r="BW180" s="5"/>
      <x:c r="BX180" s="5"/>
      <x:c r="BY180" s="5"/>
      <x:c r="BZ180" s="5"/>
      <x:c r="CA180" s="5"/>
      <x:c r="CB180" s="5"/>
      <x:c r="CC180" s="5"/>
      <x:c r="CD180" s="5"/>
      <x:c r="CE180" s="5"/>
      <x:c r="CF180" s="5"/>
      <x:c r="CG180" s="5"/>
      <x:c r="CH180" s="5"/>
      <x:c r="CI180" s="5"/>
      <x:c r="CJ180" s="5"/>
      <x:c r="CK180" s="5"/>
      <x:c r="CL180" s="5"/>
      <x:c r="CM180" s="5"/>
      <x:c r="CN180" s="5"/>
      <x:c r="CO180" s="5"/>
      <x:c r="CP180" s="5"/>
      <x:c r="CQ180" s="5"/>
      <x:c r="CR180" s="5"/>
      <x:c r="CS180" s="5"/>
      <x:c r="CT180" s="5"/>
      <x:c r="CU180" s="5"/>
      <x:c r="CV180" s="5"/>
      <x:c r="CW180" s="5"/>
      <x:c r="CX180" s="5"/>
      <x:c r="CY180" s="5" t="n">
        <x:v>185.5</x:v>
      </x:c>
      <x:c r="CZ180" s="5" t="n">
        <x:v>184.09</x:v>
      </x:c>
      <x:c r="DA180" s="5" t="n">
        <x:v>4.2</x:v>
      </x:c>
      <x:c r="DB180" s="5" t="n">
        <x:v>144.01</x:v>
      </x:c>
      <x:c r="DC180" s="5" t="n">
        <x:v>5.35</x:v>
      </x:c>
      <x:c r="DD180" s="5" t="n">
        <x:v>131.58</x:v>
      </x:c>
      <x:c r="DE180" s="5" t="n">
        <x:v>8.77</x:v>
      </x:c>
      <x:c r="DF180" s="5" t="n">
        <x:v>40.87</x:v>
      </x:c>
      <x:c r="DG180" s="5" t="n">
        <x:v>3.22</x:v>
      </x:c>
      <x:c r="DH180" s="5" t="n">
        <x:v>12.79</x:v>
      </x:c>
      <x:c r="DI180" s="5" t="n">
        <x:v>15.31</x:v>
      </x:c>
      <x:c r="DJ180" s="5" t="n">
        <x:v>26.72</x:v>
      </x:c>
      <x:c r="DK180" s="5" t="n">
        <x:v>4.63</x:v>
      </x:c>
      <x:c r="DL180" s="5" t="n">
        <x:v>98.79</x:v>
      </x:c>
      <x:c r="DM180" s="5" t="n">
        <x:v>6.57</x:v>
      </x:c>
    </x:row>
    <x:row r="181">
      <x:c r="A181" s="5" t="n">
        <x:v>176</x:v>
      </x:c>
      <x:c r="B181" s="5" t="str">
        <x:v>2-壬酮</x:v>
      </x:c>
      <x:c r="C181" s="5" t="str">
        <x:v>821-55-6</x:v>
      </x:c>
      <x:c r="D181" s="5" t="n">
        <x:v>393</x:v>
      </x:c>
      <x:c r="E181" s="5"/>
      <x:c r="F181" s="5"/>
      <x:c r="G181" s="5"/>
      <x:c r="H181" s="5"/>
      <x:c r="I181" s="5" t="n">
        <x:v>0.97</x:v>
      </x:c>
      <x:c r="J181" s="5" t="n">
        <x:v>0.52</x:v>
      </x:c>
      <x:c r="K181" s="5" t="n">
        <x:v>0.32</x:v>
      </x:c>
      <x:c r="L181" s="5"/>
      <x:c r="M181" s="5"/>
      <x:c r="N181" s="5" t="n">
        <x:v>1324</x:v>
      </x:c>
      <x:c r="O181" s="5" t="n">
        <x:v>1544</x:v>
      </x:c>
      <x:c r="P181" s="5" t="n">
        <x:v>1108</x:v>
      </x:c>
      <x:c r="Q181" s="5" t="n">
        <x:v>1233</x:v>
      </x:c>
      <x:c r="R181" s="5" t="n">
        <x:v>1224</x:v>
      </x:c>
      <x:c r="S181" s="5" t="n">
        <x:v>1559</x:v>
      </x:c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 t="n">
        <x:v>0.61</x:v>
      </x:c>
      <x:c r="AR181" s="5" t="n">
        <x:v>1.07</x:v>
      </x:c>
      <x:c r="AS181" s="5" t="n">
        <x:v>1.25</x:v>
      </x:c>
      <x:c r="AT181" s="5" t="n">
        <x:v>1.12</x:v>
      </x:c>
      <x:c r="AU181" s="5"/>
      <x:c r="AV181" s="5"/>
      <x:c r="AW181" s="5"/>
      <x:c r="AX181" s="5"/>
      <x:c r="AY181" s="5"/>
      <x:c r="AZ181" s="5"/>
      <x:c r="BA181" s="5"/>
      <x:c r="BB181" s="5"/>
      <x:c r="BC181" s="5"/>
      <x:c r="BD181" s="5"/>
      <x:c r="BE181" s="5"/>
      <x:c r="BF181" s="5"/>
      <x:c r="BG181" s="5"/>
      <x:c r="BH181" s="5"/>
      <x:c r="BI181" s="5"/>
      <x:c r="BJ181" s="5"/>
      <x:c r="BK181" s="5"/>
      <x:c r="BL181" s="5"/>
      <x:c r="BM181" s="5"/>
      <x:c r="BN181" s="5"/>
      <x:c r="BO181" s="5"/>
      <x:c r="BP181" s="5"/>
      <x:c r="BQ181" s="5"/>
      <x:c r="BR181" s="5"/>
      <x:c r="BS181" s="5"/>
      <x:c r="BT181" s="5"/>
      <x:c r="BU181" s="5"/>
      <x:c r="BV181" s="5"/>
      <x:c r="BW181" s="5"/>
      <x:c r="BX181" s="5"/>
      <x:c r="BY181" s="5"/>
      <x:c r="BZ181" s="5" t="n">
        <x:v>98.74</x:v>
      </x:c>
      <x:c r="CA181" s="5" t="n">
        <x:v>130.245</x:v>
      </x:c>
      <x:c r="CB181" s="5" t="n">
        <x:v>2288.38</x:v>
      </x:c>
      <x:c r="CC181" s="5" t="n">
        <x:v>209.36</x:v>
      </x:c>
      <x:c r="CD181" s="5" t="n">
        <x:v>488.3</x:v>
      </x:c>
      <x:c r="CE181" s="5" t="n">
        <x:v>1469.11</x:v>
      </x:c>
      <x:c r="CF181" s="5" t="n">
        <x:v>707.49</x:v>
      </x:c>
      <x:c r="CG181" s="5" t="n">
        <x:v>87.65</x:v>
      </x:c>
      <x:c r="CH181" s="5" t="n">
        <x:v>56.99</x:v>
      </x:c>
      <x:c r="CI181" s="5" t="n">
        <x:v>767.09</x:v>
      </x:c>
      <x:c r="CJ181" s="5" t="n">
        <x:v>760.45</x:v>
      </x:c>
      <x:c r="CK181" s="5" t="n">
        <x:v>994.98</x:v>
      </x:c>
      <x:c r="CL181" s="5" t="n">
        <x:v>630.31</x:v>
      </x:c>
      <x:c r="CM181" s="5" t="n">
        <x:v>685.38</x:v>
      </x:c>
      <x:c r="CN181" s="5"/>
      <x:c r="CO181" s="5"/>
      <x:c r="CP181" s="5"/>
      <x:c r="CQ181" s="5"/>
      <x:c r="CR181" s="5"/>
      <x:c r="CS181" s="5"/>
      <x:c r="CT181" s="5"/>
      <x:c r="CU181" s="5"/>
      <x:c r="CV181" s="5" t="n">
        <x:v>38.16</x:v>
      </x:c>
      <x:c r="CW181" s="5"/>
      <x:c r="CX181" s="5" t="n">
        <x:v>16.33</x:v>
      </x:c>
      <x:c r="CY181" s="5" t="n">
        <x:v>466.51</x:v>
      </x:c>
      <x:c r="CZ181" s="5" t="n">
        <x:v>155.11</x:v>
      </x:c>
      <x:c r="DA181" s="5" t="n">
        <x:v>22.82</x:v>
      </x:c>
      <x:c r="DB181" s="5" t="n">
        <x:v>44.51</x:v>
      </x:c>
      <x:c r="DC181" s="5" t="n">
        <x:v>21.14</x:v>
      </x:c>
      <x:c r="DD181" s="5" t="n">
        <x:v>34.6</x:v>
      </x:c>
      <x:c r="DE181" s="5" t="n">
        <x:v>21.39</x:v>
      </x:c>
      <x:c r="DF181" s="5" t="n">
        <x:v>103.87</x:v>
      </x:c>
      <x:c r="DG181" s="5" t="n">
        <x:v>1.4</x:v>
      </x:c>
      <x:c r="DH181" s="5" t="n">
        <x:v>117.38</x:v>
      </x:c>
      <x:c r="DI181" s="5" t="n">
        <x:v>2.05</x:v>
      </x:c>
      <x:c r="DJ181" s="5" t="n">
        <x:v>115.48</x:v>
      </x:c>
      <x:c r="DK181" s="5" t="n">
        <x:v>1.13</x:v>
      </x:c>
      <x:c r="DL181" s="5" t="n">
        <x:v>368.82</x:v>
      </x:c>
      <x:c r="DM181" s="5" t="n">
        <x:v>31.31</x:v>
      </x:c>
    </x:row>
    <x:row r="182">
      <x:c r="A182" s="5" t="n">
        <x:v>177</x:v>
      </x:c>
      <x:c r="B182" s="5" t="str">
        <x:v>反式-3-己烯-1-醇</x:v>
      </x:c>
      <x:c r="C182" s="5" t="str">
        <x:v>928-97-2</x:v>
      </x:c>
      <x:c r="D182" s="5" t="n">
        <x:v>400</x:v>
      </x:c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  <x:c r="BA182" s="5"/>
      <x:c r="BB182" s="5"/>
      <x:c r="BC182" s="5"/>
      <x:c r="BD182" s="5"/>
      <x:c r="BE182" s="5"/>
      <x:c r="BF182" s="5"/>
      <x:c r="BG182" s="5"/>
      <x:c r="BH182" s="5"/>
      <x:c r="BI182" s="5"/>
      <x:c r="BJ182" s="5"/>
      <x:c r="BK182" s="5"/>
      <x:c r="BL182" s="5"/>
      <x:c r="BM182" s="5"/>
      <x:c r="BN182" s="5"/>
      <x:c r="BO182" s="5"/>
      <x:c r="BP182" s="5"/>
      <x:c r="BQ182" s="5"/>
      <x:c r="BR182" s="5"/>
      <x:c r="BS182" s="5"/>
      <x:c r="BT182" s="5"/>
      <x:c r="BU182" s="5"/>
      <x:c r="BV182" s="5"/>
      <x:c r="BW182" s="5"/>
      <x:c r="BX182" s="5"/>
      <x:c r="BY182" s="5"/>
      <x:c r="BZ182" s="5"/>
      <x:c r="CA182" s="5"/>
      <x:c r="CB182" s="5"/>
      <x:c r="CC182" s="5"/>
      <x:c r="CD182" s="5"/>
      <x:c r="CE182" s="5"/>
      <x:c r="CF182" s="5"/>
      <x:c r="CG182" s="5"/>
      <x:c r="CH182" s="5"/>
      <x:c r="CI182" s="5"/>
      <x:c r="CJ182" s="5"/>
      <x:c r="CK182" s="5"/>
      <x:c r="CL182" s="5"/>
      <x:c r="CM182" s="5"/>
      <x:c r="CN182" s="5"/>
      <x:c r="CO182" s="5"/>
      <x:c r="CP182" s="5"/>
      <x:c r="CQ182" s="5"/>
      <x:c r="CR182" s="5"/>
      <x:c r="CS182" s="5"/>
      <x:c r="CT182" s="5"/>
      <x:c r="CU182" s="5"/>
      <x:c r="CV182" s="5"/>
      <x:c r="CW182" s="5"/>
      <x:c r="CX182" s="5" t="n">
        <x:v>148.97</x:v>
      </x:c>
      <x:c r="CY182" s="5" t="n">
        <x:v>289.91</x:v>
      </x:c>
      <x:c r="CZ182" s="5" t="n">
        <x:v>318.88</x:v>
      </x:c>
      <x:c r="DA182" s="5" t="n">
        <x:v>1.08</x:v>
      </x:c>
      <x:c r="DB182" s="5" t="n">
        <x:v>376.86</x:v>
      </x:c>
      <x:c r="DC182" s="5" t="n">
        <x:v>111.8</x:v>
      </x:c>
      <x:c r="DD182" s="5" t="n">
        <x:v>270.02</x:v>
      </x:c>
      <x:c r="DE182" s="5" t="n">
        <x:v>161.43</x:v>
      </x:c>
      <x:c r="DF182" s="5" t="n">
        <x:v>432.32</x:v>
      </x:c>
      <x:c r="DG182" s="5" t="n">
        <x:v>149.76</x:v>
      </x:c>
      <x:c r="DH182" s="5" t="n">
        <x:v>394.91</x:v>
      </x:c>
      <x:c r="DI182" s="5" t="n">
        <x:v>237.24</x:v>
      </x:c>
      <x:c r="DJ182" s="5" t="n">
        <x:v>195.05</x:v>
      </x:c>
      <x:c r="DK182" s="5"/>
      <x:c r="DL182" s="5" t="n">
        <x:v>480.35</x:v>
      </x:c>
      <x:c r="DM182" s="5"/>
    </x:row>
    <x:row r="183">
      <x:c r="A183" s="5" t="n">
        <x:v>178</x:v>
      </x:c>
      <x:c r="B183" s="5" t="str">
        <x:v>辛酸己酯</x:v>
      </x:c>
      <x:c r="C183" s="5" t="str">
        <x:v>1117-55-1</x:v>
      </x:c>
      <x:c r="D183" s="5"/>
      <x:c r="E183" s="5"/>
      <x:c r="F183" s="5"/>
      <x:c r="G183" s="5"/>
      <x:c r="H183" s="5" t="n">
        <x:v>1.64</x:v>
      </x:c>
      <x:c r="I183" s="5"/>
      <x:c r="J183" s="5"/>
      <x:c r="K183" s="5"/>
      <x:c r="L183" s="5"/>
      <x:c r="M183" s="5"/>
      <x:c r="N183" s="5" t="n">
        <x:v>18397</x:v>
      </x:c>
      <x:c r="O183" s="5" t="n">
        <x:v>19805</x:v>
      </x:c>
      <x:c r="P183" s="5" t="n">
        <x:v>21311</x:v>
      </x:c>
      <x:c r="Q183" s="5" t="n">
        <x:v>16506</x:v>
      </x:c>
      <x:c r="R183" s="5" t="n">
        <x:v>18704</x:v>
      </x:c>
      <x:c r="S183" s="5" t="n">
        <x:v>14859</x:v>
      </x:c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 t="n">
        <x:v>1.23</x:v>
      </x:c>
      <x:c r="AR183" s="5" t="n">
        <x:v>0.87</x:v>
      </x:c>
      <x:c r="AS183" s="5"/>
      <x:c r="AT183" s="5"/>
      <x:c r="AU183" s="5"/>
      <x:c r="AV183" s="5"/>
      <x:c r="AW183" s="5"/>
      <x:c r="AX183" s="5"/>
      <x:c r="AY183" s="5"/>
      <x:c r="AZ183" s="5"/>
      <x:c r="BA183" s="5"/>
      <x:c r="BB183" s="5"/>
      <x:c r="BC183" s="5"/>
      <x:c r="BD183" s="5"/>
      <x:c r="BE183" s="5"/>
      <x:c r="BF183" s="5"/>
      <x:c r="BG183" s="5"/>
      <x:c r="BH183" s="5"/>
      <x:c r="BI183" s="5"/>
      <x:c r="BJ183" s="5"/>
      <x:c r="BK183" s="5"/>
      <x:c r="BL183" s="5"/>
      <x:c r="BM183" s="5"/>
      <x:c r="BN183" s="5"/>
      <x:c r="BO183" s="5"/>
      <x:c r="BP183" s="5"/>
      <x:c r="BQ183" s="5"/>
      <x:c r="BR183" s="5"/>
      <x:c r="BS183" s="5"/>
      <x:c r="BT183" s="5"/>
      <x:c r="BU183" s="5"/>
      <x:c r="BV183" s="5"/>
      <x:c r="BW183" s="5"/>
      <x:c r="BX183" s="5"/>
      <x:c r="BY183" s="5"/>
      <x:c r="BZ183" s="5"/>
      <x:c r="CA183" s="5"/>
      <x:c r="CB183" s="5"/>
      <x:c r="CC183" s="5"/>
      <x:c r="CD183" s="5"/>
      <x:c r="CE183" s="5"/>
      <x:c r="CF183" s="5"/>
      <x:c r="CG183" s="5"/>
      <x:c r="CH183" s="5"/>
      <x:c r="CI183" s="5"/>
      <x:c r="CJ183" s="5"/>
      <x:c r="CK183" s="5"/>
      <x:c r="CL183" s="5"/>
      <x:c r="CM183" s="5"/>
      <x:c r="CN183" s="5"/>
      <x:c r="CO183" s="5"/>
      <x:c r="CP183" s="5"/>
      <x:c r="CQ183" s="5"/>
      <x:c r="CR183" s="5"/>
      <x:c r="CS183" s="5"/>
      <x:c r="CT183" s="5"/>
      <x:c r="CU183" s="5"/>
      <x:c r="CV183" s="5"/>
      <x:c r="CW183" s="5"/>
      <x:c r="CX183" s="5"/>
      <x:c r="CY183" s="5"/>
      <x:c r="CZ183" s="5"/>
      <x:c r="DA183" s="5"/>
      <x:c r="DB183" s="5"/>
      <x:c r="DC183" s="5"/>
      <x:c r="DD183" s="5"/>
      <x:c r="DE183" s="5"/>
      <x:c r="DF183" s="5"/>
      <x:c r="DG183" s="5"/>
      <x:c r="DH183" s="5"/>
      <x:c r="DI183" s="5"/>
      <x:c r="DJ183" s="5"/>
      <x:c r="DK183" s="5"/>
      <x:c r="DL183" s="5"/>
      <x:c r="DM183" s="5"/>
    </x:row>
    <x:row r="184">
      <x:c r="A184" s="5" t="n">
        <x:v>179</x:v>
      </x:c>
      <x:c r="B184" s="5" t="str">
        <x:v>2,3,5,6-四甲基吡嗪</x:v>
      </x:c>
      <x:c r="C184" s="5" t="str">
        <x:v>1124-11-4</x:v>
      </x:c>
      <x:c r="D184" s="5" t="n">
        <x:v>80073</x:v>
      </x:c>
      <x:c r="E184" s="5"/>
      <x:c r="F184" s="5"/>
      <x:c r="G184" s="5"/>
      <x:c r="H184" s="5"/>
      <x:c r="I184" s="5"/>
      <x:c r="J184" s="5"/>
      <x:c r="K184" s="5" t="n">
        <x:v>0.68</x:v>
      </x:c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 t="n">
        <x:v>1550.5</x:v>
      </x:c>
      <x:c r="AW184" s="5"/>
      <x:c r="AX184" s="5" t="n">
        <x:v>0</x:v>
      </x:c>
      <x:c r="AY184" s="5" t="n">
        <x:v>0</x:v>
      </x:c>
      <x:c r="AZ184" s="5" t="n">
        <x:v>12</x:v>
      </x:c>
      <x:c r="BA184" s="5"/>
      <x:c r="BB184" s="5"/>
      <x:c r="BC184" s="5"/>
      <x:c r="BD184" s="5"/>
      <x:c r="BE184" s="5"/>
      <x:c r="BF184" s="5"/>
      <x:c r="BG184" s="5"/>
      <x:c r="BH184" s="5"/>
      <x:c r="BI184" s="5"/>
      <x:c r="BJ184" s="5"/>
      <x:c r="BK184" s="5"/>
      <x:c r="BL184" s="5"/>
      <x:c r="BM184" s="5"/>
      <x:c r="BN184" s="5"/>
      <x:c r="BO184" s="5"/>
      <x:c r="BP184" s="5"/>
      <x:c r="BQ184" s="5"/>
      <x:c r="BR184" s="5"/>
      <x:c r="BS184" s="5"/>
      <x:c r="BT184" s="5"/>
      <x:c r="BU184" s="5"/>
      <x:c r="BV184" s="5"/>
      <x:c r="BW184" s="5"/>
      <x:c r="BX184" s="5"/>
      <x:c r="BY184" s="5"/>
      <x:c r="BZ184" s="5" t="n">
        <x:v>1</x:v>
      </x:c>
      <x:c r="CA184" s="5" t="n">
        <x:v>1</x:v>
      </x:c>
      <x:c r="CB184" s="5" t="n">
        <x:v>818.34</x:v>
      </x:c>
      <x:c r="CC184" s="5" t="n">
        <x:v>863.83</x:v>
      </x:c>
      <x:c r="CD184" s="5"/>
      <x:c r="CE184" s="5"/>
      <x:c r="CF184" s="5"/>
      <x:c r="CG184" s="5" t="n">
        <x:v>72.99</x:v>
      </x:c>
      <x:c r="CH184" s="5" t="n">
        <x:v>71.81</x:v>
      </x:c>
      <x:c r="CI184" s="5"/>
      <x:c r="CJ184" s="5"/>
      <x:c r="CK184" s="5"/>
      <x:c r="CL184" s="5"/>
      <x:c r="CM184" s="5" t="n">
        <x:v>156.12</x:v>
      </x:c>
      <x:c r="CN184" s="5"/>
      <x:c r="CO184" s="5"/>
      <x:c r="CP184" s="5"/>
      <x:c r="CQ184" s="5"/>
      <x:c r="CR184" s="5"/>
      <x:c r="CS184" s="5"/>
      <x:c r="CT184" s="5"/>
      <x:c r="CU184" s="5"/>
      <x:c r="CV184" s="5"/>
      <x:c r="CW184" s="5"/>
      <x:c r="CX184" s="5" t="n">
        <x:v>117.41</x:v>
      </x:c>
      <x:c r="CY184" s="5" t="n">
        <x:v>233.06</x:v>
      </x:c>
      <x:c r="CZ184" s="5" t="n">
        <x:v>176.77</x:v>
      </x:c>
      <x:c r="DA184" s="5" t="n">
        <x:v>87.84</x:v>
      </x:c>
      <x:c r="DB184" s="5" t="n">
        <x:v>80.1</x:v>
      </x:c>
      <x:c r="DC184" s="5" t="n">
        <x:v>51.61</x:v>
      </x:c>
      <x:c r="DD184" s="5" t="n">
        <x:v>23.8</x:v>
      </x:c>
      <x:c r="DE184" s="5" t="n">
        <x:v>66.13</x:v>
      </x:c>
      <x:c r="DF184" s="5" t="n">
        <x:v>15.8</x:v>
      </x:c>
      <x:c r="DG184" s="5" t="n">
        <x:v>154.9</x:v>
      </x:c>
      <x:c r="DH184" s="5" t="n">
        <x:v>17.74</x:v>
      </x:c>
      <x:c r="DI184" s="5" t="n">
        <x:v>136.9</x:v>
      </x:c>
      <x:c r="DJ184" s="5" t="n">
        <x:v>21.19</x:v>
      </x:c>
      <x:c r="DK184" s="5" t="n">
        <x:v>134.63</x:v>
      </x:c>
      <x:c r="DL184" s="5" t="n">
        <x:v>16.34</x:v>
      </x:c>
      <x:c r="DM184" s="5" t="n">
        <x:v>38.31</x:v>
      </x:c>
    </x:row>
    <x:row r="185">
      <x:c r="A185" s="5" t="n">
        <x:v>180</x:v>
      </x:c>
      <x:c r="B185" s="5" t="str">
        <x:v>亚麻酸乙酯</x:v>
      </x:c>
      <x:c r="C185" s="5" t="str">
        <x:v>1191-41-9</x:v>
      </x:c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 t="n">
        <x:v>25310</x:v>
      </x:c>
      <x:c r="AL185" s="5" t="n">
        <x:v>326760</x:v>
      </x:c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  <x:c r="BA185" s="5"/>
      <x:c r="BB185" s="5"/>
      <x:c r="BC185" s="5"/>
      <x:c r="BD185" s="5"/>
      <x:c r="BE185" s="5"/>
      <x:c r="BF185" s="5"/>
      <x:c r="BG185" s="5"/>
      <x:c r="BH185" s="5"/>
      <x:c r="BI185" s="5"/>
      <x:c r="BJ185" s="5"/>
      <x:c r="BK185" s="5"/>
      <x:c r="BL185" s="5"/>
      <x:c r="BM185" s="5"/>
      <x:c r="BN185" s="5"/>
      <x:c r="BO185" s="5"/>
      <x:c r="BP185" s="5"/>
      <x:c r="BQ185" s="5"/>
      <x:c r="BR185" s="5"/>
      <x:c r="BS185" s="5"/>
      <x:c r="BT185" s="5"/>
      <x:c r="BU185" s="5"/>
      <x:c r="BV185" s="5"/>
      <x:c r="BW185" s="5"/>
      <x:c r="BX185" s="5"/>
      <x:c r="BY185" s="5"/>
      <x:c r="BZ185" s="5"/>
      <x:c r="CA185" s="5"/>
      <x:c r="CB185" s="5"/>
      <x:c r="CC185" s="5"/>
      <x:c r="CD185" s="5"/>
      <x:c r="CE185" s="5"/>
      <x:c r="CF185" s="5"/>
      <x:c r="CG185" s="5"/>
      <x:c r="CH185" s="5"/>
      <x:c r="CI185" s="5"/>
      <x:c r="CJ185" s="5"/>
      <x:c r="CK185" s="5"/>
      <x:c r="CL185" s="5"/>
      <x:c r="CM185" s="5"/>
      <x:c r="CN185" s="5"/>
      <x:c r="CO185" s="5"/>
      <x:c r="CP185" s="5"/>
      <x:c r="CQ185" s="5"/>
      <x:c r="CR185" s="5"/>
      <x:c r="CS185" s="5"/>
      <x:c r="CT185" s="5"/>
      <x:c r="CU185" s="5"/>
      <x:c r="CV185" s="5"/>
      <x:c r="CW185" s="5"/>
      <x:c r="CX185" s="5"/>
      <x:c r="CY185" s="5"/>
      <x:c r="CZ185" s="5"/>
      <x:c r="DA185" s="5"/>
      <x:c r="DB185" s="5"/>
      <x:c r="DC185" s="5"/>
      <x:c r="DD185" s="5"/>
      <x:c r="DE185" s="5"/>
      <x:c r="DF185" s="5"/>
      <x:c r="DG185" s="5"/>
      <x:c r="DH185" s="5"/>
      <x:c r="DI185" s="5"/>
      <x:c r="DJ185" s="5"/>
      <x:c r="DK185" s="5"/>
      <x:c r="DL185" s="5"/>
      <x:c r="DM185" s="5"/>
    </x:row>
    <x:row r="186">
      <x:c r="A186" s="5" t="n">
        <x:v>181</x:v>
      </x:c>
      <x:c r="B186" s="5" t="str">
        <x:v>2-乙酰基呋喃</x:v>
      </x:c>
      <x:c r="C186" s="5" t="str">
        <x:v>1192-62-7</x:v>
      </x:c>
      <x:c r="D186" s="5" t="n">
        <x:v>88596.2</x:v>
      </x:c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 t="n">
        <x:v>51500</x:v>
      </x:c>
      <x:c r="X186" s="5" t="n">
        <x:v>44900</x:v>
      </x:c>
      <x:c r="Y186" s="5" t="n">
        <x:v>60600</x:v>
      </x:c>
      <x:c r="Z186" s="5" t="n">
        <x:v>74900</x:v>
      </x:c>
      <x:c r="AA186" s="5" t="n">
        <x:v>97100</x:v>
      </x:c>
      <x:c r="AB186" s="5" t="n">
        <x:v>62100</x:v>
      </x:c>
      <x:c r="AC186" s="5" t="n">
        <x:v>142000</x:v>
      </x:c>
      <x:c r="AD186" s="5" t="n">
        <x:v>148000</x:v>
      </x:c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  <x:c r="BA186" s="5"/>
      <x:c r="BB186" s="5"/>
      <x:c r="BC186" s="5"/>
      <x:c r="BD186" s="5"/>
      <x:c r="BE186" s="5"/>
      <x:c r="BF186" s="5"/>
      <x:c r="BG186" s="5"/>
      <x:c r="BH186" s="5"/>
      <x:c r="BI186" s="5"/>
      <x:c r="BJ186" s="5"/>
      <x:c r="BK186" s="5"/>
      <x:c r="BL186" s="5"/>
      <x:c r="BM186" s="5"/>
      <x:c r="BN186" s="5"/>
      <x:c r="BO186" s="5"/>
      <x:c r="BP186" s="5"/>
      <x:c r="BQ186" s="5"/>
      <x:c r="BR186" s="5"/>
      <x:c r="BS186" s="5"/>
      <x:c r="BT186" s="5"/>
      <x:c r="BU186" s="5"/>
      <x:c r="BV186" s="5"/>
      <x:c r="BW186" s="5"/>
      <x:c r="BX186" s="5"/>
      <x:c r="BY186" s="5"/>
      <x:c r="BZ186" s="5" t="n">
        <x:v>1133.615</x:v>
      </x:c>
      <x:c r="CA186" s="5" t="n">
        <x:v>1083.895</x:v>
      </x:c>
      <x:c r="CB186" s="5" t="n">
        <x:v>2255.48</x:v>
      </x:c>
      <x:c r="CC186" s="5" t="n">
        <x:v>2266.28</x:v>
      </x:c>
      <x:c r="CD186" s="5" t="n">
        <x:v>2209.91</x:v>
      </x:c>
      <x:c r="CE186" s="5" t="n">
        <x:v>2173.12</x:v>
      </x:c>
      <x:c r="CF186" s="5" t="n">
        <x:v>2492.23</x:v>
      </x:c>
      <x:c r="CG186" s="5" t="n">
        <x:v>1875.06</x:v>
      </x:c>
      <x:c r="CH186" s="5" t="n">
        <x:v>1839.56</x:v>
      </x:c>
      <x:c r="CI186" s="5" t="n">
        <x:v>2257.13</x:v>
      </x:c>
      <x:c r="CJ186" s="5" t="n">
        <x:v>2197.77</x:v>
      </x:c>
      <x:c r="CK186" s="5" t="n">
        <x:v>2212.44</x:v>
      </x:c>
      <x:c r="CL186" s="5" t="n">
        <x:v>2497.88</x:v>
      </x:c>
      <x:c r="CM186" s="5"/>
      <x:c r="CN186" s="5"/>
      <x:c r="CO186" s="5"/>
      <x:c r="CP186" s="5"/>
      <x:c r="CQ186" s="5"/>
      <x:c r="CR186" s="5"/>
      <x:c r="CS186" s="5"/>
      <x:c r="CT186" s="5"/>
      <x:c r="CU186" s="5"/>
      <x:c r="CV186" s="5"/>
      <x:c r="CW186" s="5"/>
      <x:c r="CX186" s="5"/>
      <x:c r="CY186" s="5"/>
      <x:c r="CZ186" s="5"/>
      <x:c r="DA186" s="5"/>
      <x:c r="DB186" s="5"/>
      <x:c r="DC186" s="5"/>
      <x:c r="DD186" s="5"/>
      <x:c r="DE186" s="5"/>
      <x:c r="DF186" s="5"/>
      <x:c r="DG186" s="5"/>
      <x:c r="DH186" s="5"/>
      <x:c r="DI186" s="5"/>
      <x:c r="DJ186" s="5"/>
      <x:c r="DK186" s="5"/>
      <x:c r="DL186" s="5"/>
      <x:c r="DM186" s="5"/>
    </x:row>
    <x:row r="187">
      <x:c r="A187" s="5" t="n">
        <x:v>182</x:v>
      </x:c>
      <x:c r="B187" s="5" t="str">
        <x:v>2-乙酰基-5-甲基呋喃</x:v>
      </x:c>
      <x:c r="C187" s="5" t="str">
        <x:v>1193-79-9</x:v>
      </x:c>
      <x:c r="D187" s="5" t="n">
        <x:v>83259.8</x:v>
      </x:c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  <x:c r="BA187" s="5"/>
      <x:c r="BB187" s="5"/>
      <x:c r="BC187" s="5"/>
      <x:c r="BD187" s="5"/>
      <x:c r="BE187" s="5"/>
      <x:c r="BF187" s="5"/>
      <x:c r="BG187" s="5"/>
      <x:c r="BH187" s="5"/>
      <x:c r="BI187" s="5"/>
      <x:c r="BJ187" s="5"/>
      <x:c r="BK187" s="5"/>
      <x:c r="BL187" s="5"/>
      <x:c r="BM187" s="5"/>
      <x:c r="BN187" s="5"/>
      <x:c r="BO187" s="5"/>
      <x:c r="BP187" s="5"/>
      <x:c r="BQ187" s="5"/>
      <x:c r="BR187" s="5"/>
      <x:c r="BS187" s="5"/>
      <x:c r="BT187" s="5"/>
      <x:c r="BU187" s="5"/>
      <x:c r="BV187" s="5"/>
      <x:c r="BW187" s="5"/>
      <x:c r="BX187" s="5"/>
      <x:c r="BY187" s="5"/>
      <x:c r="BZ187" s="5" t="n">
        <x:v>26.285</x:v>
      </x:c>
      <x:c r="CA187" s="5" t="n">
        <x:v>28.925</x:v>
      </x:c>
      <x:c r="CB187" s="5"/>
      <x:c r="CC187" s="5"/>
      <x:c r="CD187" s="5"/>
      <x:c r="CE187" s="5" t="n">
        <x:v>73.62</x:v>
      </x:c>
      <x:c r="CF187" s="5" t="n">
        <x:v>84.11</x:v>
      </x:c>
      <x:c r="CG187" s="5" t="n">
        <x:v>17.76</x:v>
      </x:c>
      <x:c r="CH187" s="5" t="n">
        <x:v>77.31</x:v>
      </x:c>
      <x:c r="CI187" s="5" t="n">
        <x:v>131.14</x:v>
      </x:c>
      <x:c r="CJ187" s="5" t="n">
        <x:v>137.74</x:v>
      </x:c>
      <x:c r="CK187" s="5" t="n">
        <x:v>151.65</x:v>
      </x:c>
      <x:c r="CL187" s="5" t="n">
        <x:v>101.3</x:v>
      </x:c>
      <x:c r="CM187" s="5" t="n">
        <x:v>93.78</x:v>
      </x:c>
      <x:c r="CN187" s="5"/>
      <x:c r="CO187" s="5"/>
      <x:c r="CP187" s="5"/>
      <x:c r="CQ187" s="5"/>
      <x:c r="CR187" s="5"/>
      <x:c r="CS187" s="5"/>
      <x:c r="CT187" s="5"/>
      <x:c r="CU187" s="5"/>
      <x:c r="CV187" s="5"/>
      <x:c r="CW187" s="5"/>
      <x:c r="CX187" s="5"/>
      <x:c r="CY187" s="5"/>
      <x:c r="CZ187" s="5"/>
      <x:c r="DA187" s="5"/>
      <x:c r="DB187" s="5"/>
      <x:c r="DC187" s="5"/>
      <x:c r="DD187" s="5"/>
      <x:c r="DE187" s="5"/>
      <x:c r="DF187" s="5"/>
      <x:c r="DG187" s="5"/>
      <x:c r="DH187" s="5"/>
      <x:c r="DI187" s="5"/>
      <x:c r="DJ187" s="5"/>
      <x:c r="DK187" s="5"/>
      <x:c r="DL187" s="5"/>
      <x:c r="DM187" s="5"/>
    </x:row>
    <x:row r="188">
      <x:c r="A188" s="5" t="n">
        <x:v>183</x:v>
      </x:c>
      <x:c r="B188" s="5"/>
      <x:c r="C188" s="5" t="str">
        <x:v>1565-80-6</x:v>
      </x:c>
      <x:c r="D188" s="5"/>
      <x:c r="E188" s="5"/>
      <x:c r="F188" s="5"/>
      <x:c r="G188" s="5"/>
      <x:c r="H188" s="5" t="n">
        <x:v>0.14</x:v>
      </x:c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  <x:c r="BA188" s="5"/>
      <x:c r="BB188" s="5"/>
      <x:c r="BC188" s="5"/>
      <x:c r="BD188" s="5"/>
      <x:c r="BE188" s="5"/>
      <x:c r="BF188" s="5"/>
      <x:c r="BG188" s="5"/>
      <x:c r="BH188" s="5"/>
      <x:c r="BI188" s="5"/>
      <x:c r="BJ188" s="5"/>
      <x:c r="BK188" s="5"/>
      <x:c r="BL188" s="5"/>
      <x:c r="BM188" s="5"/>
      <x:c r="BN188" s="5"/>
      <x:c r="BO188" s="5"/>
      <x:c r="BP188" s="5"/>
      <x:c r="BQ188" s="5"/>
      <x:c r="BR188" s="5"/>
      <x:c r="BS188" s="5"/>
      <x:c r="BT188" s="5"/>
      <x:c r="BU188" s="5"/>
      <x:c r="BV188" s="5"/>
      <x:c r="BW188" s="5"/>
      <x:c r="BX188" s="5"/>
      <x:c r="BY188" s="5"/>
      <x:c r="BZ188" s="5"/>
      <x:c r="CA188" s="5"/>
      <x:c r="CB188" s="5"/>
      <x:c r="CC188" s="5"/>
      <x:c r="CD188" s="5"/>
      <x:c r="CE188" s="5"/>
      <x:c r="CF188" s="5"/>
      <x:c r="CG188" s="5"/>
      <x:c r="CH188" s="5"/>
      <x:c r="CI188" s="5"/>
      <x:c r="CJ188" s="5"/>
      <x:c r="CK188" s="5"/>
      <x:c r="CL188" s="5"/>
      <x:c r="CM188" s="5"/>
      <x:c r="CN188" s="5"/>
      <x:c r="CO188" s="5"/>
      <x:c r="CP188" s="5"/>
      <x:c r="CQ188" s="5"/>
      <x:c r="CR188" s="5"/>
      <x:c r="CS188" s="5"/>
      <x:c r="CT188" s="5"/>
      <x:c r="CU188" s="5"/>
      <x:c r="CV188" s="5"/>
      <x:c r="CW188" s="5"/>
      <x:c r="CX188" s="5"/>
      <x:c r="CY188" s="5"/>
      <x:c r="CZ188" s="5"/>
      <x:c r="DA188" s="5"/>
      <x:c r="DB188" s="5"/>
      <x:c r="DC188" s="5"/>
      <x:c r="DD188" s="5"/>
      <x:c r="DE188" s="5"/>
      <x:c r="DF188" s="5"/>
      <x:c r="DG188" s="5"/>
      <x:c r="DH188" s="5"/>
      <x:c r="DI188" s="5"/>
      <x:c r="DJ188" s="5"/>
      <x:c r="DK188" s="5"/>
      <x:c r="DL188" s="5"/>
      <x:c r="DM188" s="5"/>
    </x:row>
    <x:row r="189">
      <x:c r="A189" s="5" t="n">
        <x:v>184</x:v>
      </x:c>
      <x:c r="B189" s="5" t="str">
        <x:v>3-辛烯-2-酮</x:v>
      </x:c>
      <x:c r="C189" s="5" t="str">
        <x:v>1669-44-9</x:v>
      </x:c>
      <x:c r="D189" s="5" t="n">
        <x:v>48.2</x:v>
      </x:c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  <x:c r="BA189" s="5"/>
      <x:c r="BB189" s="5"/>
      <x:c r="BC189" s="5"/>
      <x:c r="BD189" s="5"/>
      <x:c r="BE189" s="5"/>
      <x:c r="BF189" s="5"/>
      <x:c r="BG189" s="5"/>
      <x:c r="BH189" s="5"/>
      <x:c r="BI189" s="5"/>
      <x:c r="BJ189" s="5"/>
      <x:c r="BK189" s="5"/>
      <x:c r="BL189" s="5"/>
      <x:c r="BM189" s="5"/>
      <x:c r="BN189" s="5"/>
      <x:c r="BO189" s="5"/>
      <x:c r="BP189" s="5"/>
      <x:c r="BQ189" s="5"/>
      <x:c r="BR189" s="5"/>
      <x:c r="BS189" s="5"/>
      <x:c r="BT189" s="5"/>
      <x:c r="BU189" s="5"/>
      <x:c r="BV189" s="5"/>
      <x:c r="BW189" s="5"/>
      <x:c r="BX189" s="5"/>
      <x:c r="BY189" s="5"/>
      <x:c r="BZ189" s="5"/>
      <x:c r="CA189" s="5"/>
      <x:c r="CB189" s="5"/>
      <x:c r="CC189" s="5"/>
      <x:c r="CD189" s="5"/>
      <x:c r="CE189" s="5"/>
      <x:c r="CF189" s="5"/>
      <x:c r="CG189" s="5"/>
      <x:c r="CH189" s="5"/>
      <x:c r="CI189" s="5"/>
      <x:c r="CJ189" s="5"/>
      <x:c r="CK189" s="5"/>
      <x:c r="CL189" s="5"/>
      <x:c r="CM189" s="5"/>
      <x:c r="CN189" s="5"/>
      <x:c r="CO189" s="5"/>
      <x:c r="CP189" s="5"/>
      <x:c r="CQ189" s="5"/>
      <x:c r="CR189" s="5"/>
      <x:c r="CS189" s="5"/>
      <x:c r="CT189" s="5"/>
      <x:c r="CU189" s="5"/>
      <x:c r="CV189" s="5"/>
      <x:c r="CW189" s="5"/>
      <x:c r="CX189" s="5"/>
      <x:c r="CY189" s="5" t="n">
        <x:v>133.52</x:v>
      </x:c>
      <x:c r="CZ189" s="5" t="n">
        <x:v>93.18</x:v>
      </x:c>
      <x:c r="DA189" s="5"/>
      <x:c r="DB189" s="5"/>
      <x:c r="DC189" s="5"/>
      <x:c r="DD189" s="5" t="n">
        <x:v>179.12</x:v>
      </x:c>
      <x:c r="DE189" s="5"/>
      <x:c r="DF189" s="5"/>
      <x:c r="DG189" s="5"/>
      <x:c r="DH189" s="5"/>
      <x:c r="DI189" s="5"/>
      <x:c r="DJ189" s="5"/>
      <x:c r="DK189" s="5"/>
      <x:c r="DL189" s="5" t="n">
        <x:v>5.13</x:v>
      </x:c>
      <x:c r="DM189" s="5"/>
    </x:row>
    <x:row r="190">
      <x:c r="A190" s="5" t="n">
        <x:v>185</x:v>
      </x:c>
      <x:c r="B190" s="5"/>
      <x:c r="C190" s="5" t="str">
        <x:v>1883-13-2</x:v>
      </x:c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 t="n">
        <x:v>36</x:v>
      </x:c>
      <x:c r="O190" s="5"/>
      <x:c r="P190" s="5"/>
      <x:c r="Q190" s="5" t="n">
        <x:v>72</x:v>
      </x:c>
      <x:c r="R190" s="5" t="n">
        <x:v>189</x:v>
      </x:c>
      <x:c r="S190" s="5" t="n">
        <x:v>134</x:v>
      </x:c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  <x:c r="BA190" s="5"/>
      <x:c r="BB190" s="5"/>
      <x:c r="BC190" s="5"/>
      <x:c r="BD190" s="5"/>
      <x:c r="BE190" s="5"/>
      <x:c r="BF190" s="5"/>
      <x:c r="BG190" s="5"/>
      <x:c r="BH190" s="5"/>
      <x:c r="BI190" s="5"/>
      <x:c r="BJ190" s="5"/>
      <x:c r="BK190" s="5"/>
      <x:c r="BL190" s="5"/>
      <x:c r="BM190" s="5"/>
      <x:c r="BN190" s="5"/>
      <x:c r="BO190" s="5"/>
      <x:c r="BP190" s="5"/>
      <x:c r="BQ190" s="5"/>
      <x:c r="BR190" s="5"/>
      <x:c r="BS190" s="5"/>
      <x:c r="BT190" s="5"/>
      <x:c r="BU190" s="5"/>
      <x:c r="BV190" s="5"/>
      <x:c r="BW190" s="5"/>
      <x:c r="BX190" s="5"/>
      <x:c r="BY190" s="5"/>
      <x:c r="BZ190" s="5"/>
      <x:c r="CA190" s="5"/>
      <x:c r="CB190" s="5"/>
      <x:c r="CC190" s="5"/>
      <x:c r="CD190" s="5"/>
      <x:c r="CE190" s="5"/>
      <x:c r="CF190" s="5"/>
      <x:c r="CG190" s="5"/>
      <x:c r="CH190" s="5"/>
      <x:c r="CI190" s="5"/>
      <x:c r="CJ190" s="5"/>
      <x:c r="CK190" s="5"/>
      <x:c r="CL190" s="5"/>
      <x:c r="CM190" s="5"/>
      <x:c r="CN190" s="5"/>
      <x:c r="CO190" s="5"/>
      <x:c r="CP190" s="5"/>
      <x:c r="CQ190" s="5"/>
      <x:c r="CR190" s="5"/>
      <x:c r="CS190" s="5"/>
      <x:c r="CT190" s="5"/>
      <x:c r="CU190" s="5"/>
      <x:c r="CV190" s="5"/>
      <x:c r="CW190" s="5"/>
      <x:c r="CX190" s="5"/>
      <x:c r="CY190" s="5"/>
      <x:c r="CZ190" s="5"/>
      <x:c r="DA190" s="5"/>
      <x:c r="DB190" s="5"/>
      <x:c r="DC190" s="5"/>
      <x:c r="DD190" s="5"/>
      <x:c r="DE190" s="5"/>
      <x:c r="DF190" s="5"/>
      <x:c r="DG190" s="5"/>
      <x:c r="DH190" s="5"/>
      <x:c r="DI190" s="5"/>
      <x:c r="DJ190" s="5"/>
      <x:c r="DK190" s="5"/>
      <x:c r="DL190" s="5"/>
      <x:c r="DM190" s="5"/>
    </x:row>
    <x:row r="191">
      <x:c r="A191" s="5" t="n">
        <x:v>186</x:v>
      </x:c>
      <x:c r="B191" s="5" t="str">
        <x:v>3-苯基丙酸乙酯</x:v>
      </x:c>
      <x:c r="C191" s="5" t="str">
        <x:v>2021-28-5</x:v>
      </x:c>
      <x:c r="D191" s="5" t="n">
        <x:v>125</x:v>
      </x:c>
      <x:c r="E191" s="5" t="n">
        <x:v>635</x:v>
      </x:c>
      <x:c r="F191" s="5" t="n">
        <x:v>1646</x:v>
      </x:c>
      <x:c r="G191" s="5" t="n">
        <x:v>4.43</x:v>
      </x:c>
      <x:c r="H191" s="5" t="n">
        <x:v>6.93</x:v>
      </x:c>
      <x:c r="I191" s="5" t="n">
        <x:v>4.21</x:v>
      </x:c>
      <x:c r="J191" s="5" t="n">
        <x:v>6.6</x:v>
      </x:c>
      <x:c r="K191" s="5" t="n">
        <x:v>2.72</x:v>
      </x:c>
      <x:c r="L191" s="5" t="n">
        <x:v>148</x:v>
      </x:c>
      <x:c r="M191" s="5" t="n">
        <x:v>213</x:v>
      </x:c>
      <x:c r="N191" s="5" t="n">
        <x:v>7525000</x:v>
      </x:c>
      <x:c r="O191" s="5" t="n">
        <x:v>11533000</x:v>
      </x:c>
      <x:c r="P191" s="5" t="n">
        <x:v>11648000</x:v>
      </x:c>
      <x:c r="Q191" s="5" t="n">
        <x:v>9245000</x:v>
      </x:c>
      <x:c r="R191" s="5" t="n">
        <x:v>11140000</x:v>
      </x:c>
      <x:c r="S191" s="5" t="n">
        <x:v>10896000</x:v>
      </x:c>
      <x:c r="T191" s="5" t="n">
        <x:v>85</x:v>
      </x:c>
      <x:c r="U191" s="5" t="n">
        <x:v>0</x:v>
      </x:c>
      <x:c r="V191" s="5" t="n">
        <x:v>2</x:v>
      </x:c>
      <x:c r="W191" s="5" t="n">
        <x:v>206</x:v>
      </x:c>
      <x:c r="X191" s="5" t="n">
        <x:v>148</x:v>
      </x:c>
      <x:c r="Y191" s="5" t="n">
        <x:v>142</x:v>
      </x:c>
      <x:c r="Z191" s="5" t="n">
        <x:v>211</x:v>
      </x:c>
      <x:c r="AA191" s="5" t="n">
        <x:v>277</x:v>
      </x:c>
      <x:c r="AB191" s="5" t="n">
        <x:v>261</x:v>
      </x:c>
      <x:c r="AC191" s="5" t="n">
        <x:v>293</x:v>
      </x:c>
      <x:c r="AD191" s="5" t="n">
        <x:v>352</x:v>
      </x:c>
      <x:c r="AE191" s="5" t="n">
        <x:v>4230</x:v>
      </x:c>
      <x:c r="AF191" s="5" t="n">
        <x:v>4390</x:v>
      </x:c>
      <x:c r="AG191" s="5" t="n">
        <x:v>18020</x:v>
      </x:c>
      <x:c r="AH191" s="5"/>
      <x:c r="AI191" s="5"/>
      <x:c r="AJ191" s="5"/>
      <x:c r="AK191" s="5" t="n">
        <x:v>1320</x:v>
      </x:c>
      <x:c r="AL191" s="5" t="n">
        <x:v>3730</x:v>
      </x:c>
      <x:c r="AM191" s="5"/>
      <x:c r="AN191" s="5"/>
      <x:c r="AO191" s="5"/>
      <x:c r="AP191" s="5"/>
      <x:c r="AQ191" s="5" t="n">
        <x:v>1.56</x:v>
      </x:c>
      <x:c r="AR191" s="5" t="n">
        <x:v>8.77</x:v>
      </x:c>
      <x:c r="AS191" s="5" t="n">
        <x:v>7.16</x:v>
      </x:c>
      <x:c r="AT191" s="5" t="n">
        <x:v>6.48</x:v>
      </x:c>
      <x:c r="AU191" s="5" t="n">
        <x:v>13.84</x:v>
      </x:c>
      <x:c r="AV191" s="5"/>
      <x:c r="AW191" s="5"/>
      <x:c r="AX191" s="5"/>
      <x:c r="AY191" s="5"/>
      <x:c r="AZ191" s="5" t="n">
        <x:v>4236</x:v>
      </x:c>
      <x:c r="BA191" s="5" t="n">
        <x:v>5507</x:v>
      </x:c>
      <x:c r="BB191" s="5"/>
      <x:c r="BC191" s="5"/>
      <x:c r="BD191" s="5" t="n">
        <x:v>1772.89</x:v>
      </x:c>
      <x:c r="BE191" s="5" t="n">
        <x:v>3454.23</x:v>
      </x:c>
      <x:c r="BF191" s="5" t="n">
        <x:v>3191</x:v>
      </x:c>
      <x:c r="BG191" s="5" t="n">
        <x:v>1737</x:v>
      </x:c>
      <x:c r="BH191" s="5"/>
      <x:c r="BI191" s="5" t="n">
        <x:v>1866.38</x:v>
      </x:c>
      <x:c r="BJ191" s="5"/>
      <x:c r="BK191" s="5" t="n">
        <x:v>10.08</x:v>
      </x:c>
      <x:c r="BL191" s="5" t="n">
        <x:v>12.31</x:v>
      </x:c>
      <x:c r="BM191" s="5" t="n">
        <x:v>18.71</x:v>
      </x:c>
      <x:c r="BN191" s="5" t="n">
        <x:v>4.96</x:v>
      </x:c>
      <x:c r="BO191" s="5" t="n">
        <x:v>19.85</x:v>
      </x:c>
      <x:c r="BP191" s="5"/>
      <x:c r="BQ191" s="5"/>
      <x:c r="BR191" s="5"/>
      <x:c r="BS191" s="5"/>
      <x:c r="BT191" s="5"/>
      <x:c r="BU191" s="5"/>
      <x:c r="BV191" s="5"/>
      <x:c r="BW191" s="5"/>
      <x:c r="BX191" s="5"/>
      <x:c r="BY191" s="5"/>
      <x:c r="BZ191" s="5" t="n">
        <x:v>653.43</x:v>
      </x:c>
      <x:c r="CA191" s="5" t="n">
        <x:v>592.79</x:v>
      </x:c>
      <x:c r="CB191" s="5" t="n">
        <x:v>2860.12</x:v>
      </x:c>
      <x:c r="CC191" s="5" t="n">
        <x:v>4890.38</x:v>
      </x:c>
      <x:c r="CD191" s="5" t="n">
        <x:v>3632.83</x:v>
      </x:c>
      <x:c r="CE191" s="5" t="n">
        <x:v>2744.49</x:v>
      </x:c>
      <x:c r="CF191" s="5" t="n">
        <x:v>1479.05</x:v>
      </x:c>
      <x:c r="CG191" s="5" t="n">
        <x:v>568.42</x:v>
      </x:c>
      <x:c r="CH191" s="5" t="n">
        <x:v>951.85</x:v>
      </x:c>
      <x:c r="CI191" s="5" t="n">
        <x:v>5483.11</x:v>
      </x:c>
      <x:c r="CJ191" s="5" t="n">
        <x:v>8152.41</x:v>
      </x:c>
      <x:c r="CK191" s="5" t="n">
        <x:v>4172.59</x:v>
      </x:c>
      <x:c r="CL191" s="5" t="n">
        <x:v>2507.23</x:v>
      </x:c>
      <x:c r="CM191" s="5"/>
      <x:c r="CN191" s="5"/>
      <x:c r="CO191" s="5"/>
      <x:c r="CP191" s="5"/>
      <x:c r="CQ191" s="5"/>
      <x:c r="CR191" s="5"/>
      <x:c r="CS191" s="5"/>
      <x:c r="CT191" s="5" t="n">
        <x:v>1511.43</x:v>
      </x:c>
      <x:c r="CU191" s="5" t="n">
        <x:v>815.19</x:v>
      </x:c>
      <x:c r="CV191" s="5" t="n">
        <x:v>483.06</x:v>
      </x:c>
      <x:c r="CW191" s="5" t="n">
        <x:v>584.02</x:v>
      </x:c>
      <x:c r="CX191" s="5" t="n">
        <x:v>51.99</x:v>
      </x:c>
      <x:c r="CY191" s="5" t="n">
        <x:v>3244.87</x:v>
      </x:c>
      <x:c r="CZ191" s="5" t="n">
        <x:v>1988.9</x:v>
      </x:c>
      <x:c r="DA191" s="5" t="n">
        <x:v>77.73</x:v>
      </x:c>
      <x:c r="DB191" s="5" t="n">
        <x:v>1250.55</x:v>
      </x:c>
      <x:c r="DC191" s="5" t="n">
        <x:v>607.57</x:v>
      </x:c>
      <x:c r="DD191" s="5" t="n">
        <x:v>2668.17</x:v>
      </x:c>
      <x:c r="DE191" s="5" t="n">
        <x:v>141.56</x:v>
      </x:c>
      <x:c r="DF191" s="5" t="n">
        <x:v>2554.76</x:v>
      </x:c>
      <x:c r="DG191" s="5" t="n">
        <x:v>61.04</x:v>
      </x:c>
      <x:c r="DH191" s="5" t="n">
        <x:v>870</x:v>
      </x:c>
      <x:c r="DI191" s="5" t="n">
        <x:v>68.75</x:v>
      </x:c>
      <x:c r="DJ191" s="5" t="n">
        <x:v>2543.78</x:v>
      </x:c>
      <x:c r="DK191" s="5" t="n">
        <x:v>96.86</x:v>
      </x:c>
      <x:c r="DL191" s="5" t="n">
        <x:v>5846.81</x:v>
      </x:c>
      <x:c r="DM191" s="5" t="n">
        <x:v>45.95</x:v>
      </x:c>
    </x:row>
    <x:row r="192">
      <x:c r="A192" s="5" t="n">
        <x:v>187</x:v>
      </x:c>
      <x:c r="B192" s="5" t="str">
        <x:v>辛酸异戊酯</x:v>
      </x:c>
      <x:c r="C192" s="5" t="str">
        <x:v>2035-99-6</x:v>
      </x:c>
      <x:c r="D192" s="5"/>
      <x:c r="E192" s="5"/>
      <x:c r="F192" s="5" t="n">
        <x:v>141</x:v>
      </x:c>
      <x:c r="G192" s="5"/>
      <x:c r="H192" s="5"/>
      <x:c r="I192" s="5"/>
      <x:c r="J192" s="5"/>
      <x:c r="K192" s="5"/>
      <x:c r="L192" s="5"/>
      <x:c r="M192" s="5"/>
      <x:c r="N192" s="5" t="n">
        <x:v>5173</x:v>
      </x:c>
      <x:c r="O192" s="5" t="n">
        <x:v>4324</x:v>
      </x:c>
      <x:c r="P192" s="5" t="n">
        <x:v>5168</x:v>
      </x:c>
      <x:c r="Q192" s="5" t="n">
        <x:v>3660</x:v>
      </x:c>
      <x:c r="R192" s="5" t="n">
        <x:v>4377</x:v>
      </x:c>
      <x:c r="S192" s="5" t="n">
        <x:v>4622</x:v>
      </x:c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  <x:c r="BA192" s="5"/>
      <x:c r="BB192" s="5" t="n">
        <x:v>138.72</x:v>
      </x:c>
      <x:c r="BC192" s="5" t="n">
        <x:v>1</x:v>
      </x:c>
      <x:c r="BD192" s="5" t="n">
        <x:v>21.85</x:v>
      </x:c>
      <x:c r="BE192" s="5" t="n">
        <x:v>75.5</x:v>
      </x:c>
      <x:c r="BF192" s="5" t="n">
        <x:v>85.41</x:v>
      </x:c>
      <x:c r="BG192" s="5"/>
      <x:c r="BH192" s="5" t="n">
        <x:v>1007.12</x:v>
      </x:c>
      <x:c r="BI192" s="5"/>
      <x:c r="BJ192" s="5"/>
      <x:c r="BK192" s="5" t="n">
        <x:v>238.9</x:v>
      </x:c>
      <x:c r="BL192" s="5" t="n">
        <x:v>220.1</x:v>
      </x:c>
      <x:c r="BM192" s="5" t="n">
        <x:v>340</x:v>
      </x:c>
      <x:c r="BN192" s="5" t="n">
        <x:v>272.3</x:v>
      </x:c>
      <x:c r="BO192" s="5" t="n">
        <x:v>495.9</x:v>
      </x:c>
      <x:c r="BP192" s="5"/>
      <x:c r="BQ192" s="5"/>
      <x:c r="BR192" s="5"/>
      <x:c r="BS192" s="5"/>
      <x:c r="BT192" s="5"/>
      <x:c r="BU192" s="5"/>
      <x:c r="BV192" s="5"/>
      <x:c r="BW192" s="5"/>
      <x:c r="BX192" s="5"/>
      <x:c r="BY192" s="5"/>
      <x:c r="BZ192" s="5" t="n">
        <x:v>177.345</x:v>
      </x:c>
      <x:c r="CA192" s="5" t="n">
        <x:v>189.7</x:v>
      </x:c>
      <x:c r="CB192" s="5" t="n">
        <x:v>184.64</x:v>
      </x:c>
      <x:c r="CC192" s="5" t="n">
        <x:v>162.21</x:v>
      </x:c>
      <x:c r="CD192" s="5" t="n">
        <x:v>413.81</x:v>
      </x:c>
      <x:c r="CE192" s="5" t="n">
        <x:v>164.81</x:v>
      </x:c>
      <x:c r="CF192" s="5" t="n">
        <x:v>417.54</x:v>
      </x:c>
      <x:c r="CG192" s="5" t="n">
        <x:v>75.02</x:v>
      </x:c>
      <x:c r="CH192" s="5" t="n">
        <x:v>56.22</x:v>
      </x:c>
      <x:c r="CI192" s="5" t="n">
        <x:v>721.53</x:v>
      </x:c>
      <x:c r="CJ192" s="5" t="n">
        <x:v>508.68</x:v>
      </x:c>
      <x:c r="CK192" s="5" t="n">
        <x:v>908.51</x:v>
      </x:c>
      <x:c r="CL192" s="5" t="n">
        <x:v>411.17</x:v>
      </x:c>
      <x:c r="CM192" s="5"/>
      <x:c r="CN192" s="5"/>
      <x:c r="CO192" s="5"/>
      <x:c r="CP192" s="5"/>
      <x:c r="CQ192" s="5"/>
      <x:c r="CR192" s="5"/>
      <x:c r="CS192" s="5"/>
      <x:c r="CT192" s="5"/>
      <x:c r="CU192" s="5"/>
      <x:c r="CV192" s="5"/>
      <x:c r="CW192" s="5"/>
      <x:c r="CX192" s="5"/>
      <x:c r="CY192" s="5"/>
      <x:c r="CZ192" s="5"/>
      <x:c r="DA192" s="5"/>
      <x:c r="DB192" s="5"/>
      <x:c r="DC192" s="5"/>
      <x:c r="DD192" s="5"/>
      <x:c r="DE192" s="5"/>
      <x:c r="DF192" s="5"/>
      <x:c r="DG192" s="5"/>
      <x:c r="DH192" s="5"/>
      <x:c r="DI192" s="5"/>
      <x:c r="DJ192" s="5"/>
      <x:c r="DK192" s="5"/>
      <x:c r="DL192" s="5"/>
      <x:c r="DM192" s="5"/>
    </x:row>
    <x:row r="193">
      <x:c r="A193" s="5" t="n">
        <x:v>188</x:v>
      </x:c>
      <x:c r="B193" s="5" t="str">
        <x:v>苯甲酸正戊酯</x:v>
      </x:c>
      <x:c r="C193" s="5" t="str">
        <x:v>2049-96-9</x:v>
      </x:c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 t="n">
        <x:v>10</x:v>
      </x:c>
      <x:c r="BA193" s="5"/>
      <x:c r="BB193" s="5"/>
      <x:c r="BC193" s="5"/>
      <x:c r="BD193" s="5"/>
      <x:c r="BE193" s="5"/>
      <x:c r="BF193" s="5"/>
      <x:c r="BG193" s="5"/>
      <x:c r="BH193" s="5"/>
      <x:c r="BI193" s="5"/>
      <x:c r="BJ193" s="5"/>
      <x:c r="BK193" s="5"/>
      <x:c r="BL193" s="5"/>
      <x:c r="BM193" s="5"/>
      <x:c r="BN193" s="5"/>
      <x:c r="BO193" s="5"/>
      <x:c r="BP193" s="5"/>
      <x:c r="BQ193" s="5"/>
      <x:c r="BR193" s="5"/>
      <x:c r="BS193" s="5"/>
      <x:c r="BT193" s="5"/>
      <x:c r="BU193" s="5"/>
      <x:c r="BV193" s="5"/>
      <x:c r="BW193" s="5"/>
      <x:c r="BX193" s="5"/>
      <x:c r="BY193" s="5"/>
      <x:c r="BZ193" s="5"/>
      <x:c r="CA193" s="5"/>
      <x:c r="CB193" s="5"/>
      <x:c r="CC193" s="5"/>
      <x:c r="CD193" s="5"/>
      <x:c r="CE193" s="5"/>
      <x:c r="CF193" s="5"/>
      <x:c r="CG193" s="5"/>
      <x:c r="CH193" s="5"/>
      <x:c r="CI193" s="5"/>
      <x:c r="CJ193" s="5"/>
      <x:c r="CK193" s="5"/>
      <x:c r="CL193" s="5"/>
      <x:c r="CM193" s="5"/>
      <x:c r="CN193" s="5"/>
      <x:c r="CO193" s="5"/>
      <x:c r="CP193" s="5"/>
      <x:c r="CQ193" s="5"/>
      <x:c r="CR193" s="5"/>
      <x:c r="CS193" s="5"/>
      <x:c r="CT193" s="5"/>
      <x:c r="CU193" s="5"/>
      <x:c r="CV193" s="5"/>
      <x:c r="CW193" s="5"/>
      <x:c r="CX193" s="5"/>
      <x:c r="CY193" s="5"/>
      <x:c r="CZ193" s="5"/>
      <x:c r="DA193" s="5"/>
      <x:c r="DB193" s="5"/>
      <x:c r="DC193" s="5"/>
      <x:c r="DD193" s="5"/>
      <x:c r="DE193" s="5"/>
      <x:c r="DF193" s="5"/>
      <x:c r="DG193" s="5"/>
      <x:c r="DH193" s="5"/>
      <x:c r="DI193" s="5"/>
      <x:c r="DJ193" s="5"/>
      <x:c r="DK193" s="5"/>
      <x:c r="DL193" s="5"/>
      <x:c r="DM193" s="5"/>
    </x:row>
    <x:row r="194">
      <x:c r="A194" s="5" t="n">
        <x:v>189</x:v>
      </x:c>
      <x:c r="B194" s="5" t="str">
        <x:v>异丁酸异戊酯</x:v>
      </x:c>
      <x:c r="C194" s="5" t="str">
        <x:v>2050-01-3</x:v>
      </x:c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  <x:c r="BA194" s="5"/>
      <x:c r="BB194" s="5"/>
      <x:c r="BC194" s="5"/>
      <x:c r="BD194" s="5"/>
      <x:c r="BE194" s="5"/>
      <x:c r="BF194" s="5"/>
      <x:c r="BG194" s="5"/>
      <x:c r="BH194" s="5"/>
      <x:c r="BI194" s="5"/>
      <x:c r="BJ194" s="5"/>
      <x:c r="BK194" s="5"/>
      <x:c r="BL194" s="5"/>
      <x:c r="BM194" s="5"/>
      <x:c r="BN194" s="5"/>
      <x:c r="BO194" s="5"/>
      <x:c r="BP194" s="5"/>
      <x:c r="BQ194" s="5"/>
      <x:c r="BR194" s="5"/>
      <x:c r="BS194" s="5"/>
      <x:c r="BT194" s="5"/>
      <x:c r="BU194" s="5"/>
      <x:c r="BV194" s="5"/>
      <x:c r="BW194" s="5"/>
      <x:c r="BX194" s="5"/>
      <x:c r="BY194" s="5"/>
      <x:c r="BZ194" s="5"/>
      <x:c r="CA194" s="5"/>
      <x:c r="CB194" s="5"/>
      <x:c r="CC194" s="5"/>
      <x:c r="CD194" s="5"/>
      <x:c r="CE194" s="5"/>
      <x:c r="CF194" s="5"/>
      <x:c r="CG194" s="5"/>
      <x:c r="CH194" s="5"/>
      <x:c r="CI194" s="5"/>
      <x:c r="CJ194" s="5"/>
      <x:c r="CK194" s="5"/>
      <x:c r="CL194" s="5"/>
      <x:c r="CM194" s="5"/>
      <x:c r="CN194" s="5"/>
      <x:c r="CO194" s="5"/>
      <x:c r="CP194" s="5"/>
      <x:c r="CQ194" s="5"/>
      <x:c r="CR194" s="5"/>
      <x:c r="CS194" s="5"/>
      <x:c r="CT194" s="5"/>
      <x:c r="CU194" s="5" t="n">
        <x:v>72.08</x:v>
      </x:c>
      <x:c r="CV194" s="5"/>
      <x:c r="CW194" s="5"/>
      <x:c r="CX194" s="5"/>
      <x:c r="CY194" s="5"/>
      <x:c r="CZ194" s="5"/>
      <x:c r="DA194" s="5"/>
      <x:c r="DB194" s="5"/>
      <x:c r="DC194" s="5"/>
      <x:c r="DD194" s="5"/>
      <x:c r="DE194" s="5"/>
      <x:c r="DF194" s="5"/>
      <x:c r="DG194" s="5"/>
      <x:c r="DH194" s="5"/>
      <x:c r="DI194" s="5"/>
      <x:c r="DJ194" s="5"/>
      <x:c r="DK194" s="5"/>
      <x:c r="DL194" s="5"/>
      <x:c r="DM194" s="5"/>
    </x:row>
    <x:row r="195">
      <x:c r="A195" s="5" t="n">
        <x:v>190</x:v>
      </x:c>
      <x:c r="B195" s="5" t="str">
        <x:v>戊酸-3-甲基丁酯</x:v>
      </x:c>
      <x:c r="C195" s="5" t="str">
        <x:v>2050-09-1</x:v>
      </x:c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 t="n">
        <x:v>1688</x:v>
      </x:c>
      <x:c r="O195" s="5" t="n">
        <x:v>2474</x:v>
      </x:c>
      <x:c r="P195" s="5" t="n">
        <x:v>2316</x:v>
      </x:c>
      <x:c r="Q195" s="5" t="n">
        <x:v>2007</x:v>
      </x:c>
      <x:c r="R195" s="5" t="n">
        <x:v>2239</x:v>
      </x:c>
      <x:c r="S195" s="5" t="n">
        <x:v>2124</x:v>
      </x:c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  <x:c r="BA195" s="5"/>
      <x:c r="BB195" s="5" t="n">
        <x:v>104.62</x:v>
      </x:c>
      <x:c r="BC195" s="5" t="n">
        <x:v>1</x:v>
      </x:c>
      <x:c r="BD195" s="5" t="n">
        <x:v>185.89</x:v>
      </x:c>
      <x:c r="BE195" s="5" t="n">
        <x:v>256.81</x:v>
      </x:c>
      <x:c r="BF195" s="5" t="n">
        <x:v>171.615</x:v>
      </x:c>
      <x:c r="BG195" s="5" t="n">
        <x:v>61.42</x:v>
      </x:c>
      <x:c r="BH195" s="5" t="n">
        <x:v>574.21</x:v>
      </x:c>
      <x:c r="BI195" s="5" t="n">
        <x:v>59.86</x:v>
      </x:c>
      <x:c r="BJ195" s="5" t="n">
        <x:v>131.83</x:v>
      </x:c>
      <x:c r="BK195" s="5" t="n">
        <x:v>1202.23</x:v>
      </x:c>
      <x:c r="BL195" s="5" t="n">
        <x:v>1110.54</x:v>
      </x:c>
      <x:c r="BM195" s="5" t="n">
        <x:v>1969.11</x:v>
      </x:c>
      <x:c r="BN195" s="5" t="n">
        <x:v>1621.12</x:v>
      </x:c>
      <x:c r="BO195" s="5" t="n">
        <x:v>1577</x:v>
      </x:c>
      <x:c r="BP195" s="5" t="n">
        <x:v>629.52</x:v>
      </x:c>
      <x:c r="BQ195" s="5"/>
      <x:c r="BR195" s="5"/>
      <x:c r="BS195" s="5"/>
      <x:c r="BT195" s="5"/>
      <x:c r="BU195" s="5"/>
      <x:c r="BV195" s="5"/>
      <x:c r="BW195" s="5"/>
      <x:c r="BX195" s="5"/>
      <x:c r="BY195" s="5"/>
      <x:c r="BZ195" s="5"/>
      <x:c r="CA195" s="5"/>
      <x:c r="CB195" s="5"/>
      <x:c r="CC195" s="5"/>
      <x:c r="CD195" s="5"/>
      <x:c r="CE195" s="5"/>
      <x:c r="CF195" s="5"/>
      <x:c r="CG195" s="5"/>
      <x:c r="CH195" s="5"/>
      <x:c r="CI195" s="5"/>
      <x:c r="CJ195" s="5"/>
      <x:c r="CK195" s="5"/>
      <x:c r="CL195" s="5"/>
      <x:c r="CM195" s="5"/>
      <x:c r="CN195" s="5"/>
      <x:c r="CO195" s="5"/>
      <x:c r="CP195" s="5"/>
      <x:c r="CQ195" s="5"/>
      <x:c r="CR195" s="5"/>
      <x:c r="CS195" s="5"/>
      <x:c r="CT195" s="5"/>
      <x:c r="CU195" s="5"/>
      <x:c r="CV195" s="5"/>
      <x:c r="CW195" s="5"/>
      <x:c r="CX195" s="5"/>
      <x:c r="CY195" s="5"/>
      <x:c r="CZ195" s="5"/>
      <x:c r="DA195" s="5"/>
      <x:c r="DB195" s="5"/>
      <x:c r="DC195" s="5"/>
      <x:c r="DD195" s="5"/>
      <x:c r="DE195" s="5"/>
      <x:c r="DF195" s="5"/>
      <x:c r="DG195" s="5"/>
      <x:c r="DH195" s="5"/>
      <x:c r="DI195" s="5"/>
      <x:c r="DJ195" s="5"/>
      <x:c r="DK195" s="5"/>
      <x:c r="DL195" s="5"/>
      <x:c r="DM195" s="5"/>
    </x:row>
    <x:row r="196">
      <x:c r="A196" s="5" t="n">
        <x:v>191</x:v>
      </x:c>
      <x:c r="B196" s="5"/>
      <x:c r="C196" s="5" t="str">
        <x:v>2051-49-2</x:v>
      </x:c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 t="n">
        <x:v>5516</x:v>
      </x:c>
      <x:c r="O196" s="5" t="n">
        <x:v>8178</x:v>
      </x:c>
      <x:c r="P196" s="5" t="n">
        <x:v>7740</x:v>
      </x:c>
      <x:c r="Q196" s="5" t="n">
        <x:v>6436</x:v>
      </x:c>
      <x:c r="R196" s="5" t="n">
        <x:v>7460</x:v>
      </x:c>
      <x:c r="S196" s="5" t="n">
        <x:v>6499</x:v>
      </x:c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  <x:c r="BA196" s="5"/>
      <x:c r="BB196" s="5"/>
      <x:c r="BC196" s="5"/>
      <x:c r="BD196" s="5"/>
      <x:c r="BE196" s="5"/>
      <x:c r="BF196" s="5"/>
      <x:c r="BG196" s="5"/>
      <x:c r="BH196" s="5"/>
      <x:c r="BI196" s="5"/>
      <x:c r="BJ196" s="5"/>
      <x:c r="BK196" s="5"/>
      <x:c r="BL196" s="5"/>
      <x:c r="BM196" s="5"/>
      <x:c r="BN196" s="5"/>
      <x:c r="BO196" s="5"/>
      <x:c r="BP196" s="5"/>
      <x:c r="BQ196" s="5"/>
      <x:c r="BR196" s="5"/>
      <x:c r="BS196" s="5"/>
      <x:c r="BT196" s="5"/>
      <x:c r="BU196" s="5"/>
      <x:c r="BV196" s="5"/>
      <x:c r="BW196" s="5"/>
      <x:c r="BX196" s="5"/>
      <x:c r="BY196" s="5"/>
      <x:c r="BZ196" s="5"/>
      <x:c r="CA196" s="5"/>
      <x:c r="CB196" s="5"/>
      <x:c r="CC196" s="5"/>
      <x:c r="CD196" s="5"/>
      <x:c r="CE196" s="5"/>
      <x:c r="CF196" s="5"/>
      <x:c r="CG196" s="5"/>
      <x:c r="CH196" s="5"/>
      <x:c r="CI196" s="5"/>
      <x:c r="CJ196" s="5"/>
      <x:c r="CK196" s="5"/>
      <x:c r="CL196" s="5"/>
      <x:c r="CM196" s="5"/>
      <x:c r="CN196" s="5"/>
      <x:c r="CO196" s="5"/>
      <x:c r="CP196" s="5"/>
      <x:c r="CQ196" s="5"/>
      <x:c r="CR196" s="5"/>
      <x:c r="CS196" s="5"/>
      <x:c r="CT196" s="5"/>
      <x:c r="CU196" s="5"/>
      <x:c r="CV196" s="5"/>
      <x:c r="CW196" s="5"/>
      <x:c r="CX196" s="5"/>
      <x:c r="CY196" s="5"/>
      <x:c r="CZ196" s="5"/>
      <x:c r="DA196" s="5"/>
      <x:c r="DB196" s="5"/>
      <x:c r="DC196" s="5"/>
      <x:c r="DD196" s="5"/>
      <x:c r="DE196" s="5"/>
      <x:c r="DF196" s="5"/>
      <x:c r="DG196" s="5"/>
      <x:c r="DH196" s="5"/>
      <x:c r="DI196" s="5"/>
      <x:c r="DJ196" s="5"/>
      <x:c r="DK196" s="5"/>
      <x:c r="DL196" s="5"/>
      <x:c r="DM196" s="5"/>
    </x:row>
    <x:row r="197">
      <x:c r="A197" s="5" t="n">
        <x:v>192</x:v>
      </x:c>
      <x:c r="B197" s="5"/>
      <x:c r="C197" s="5" t="str">
        <x:v>2091-29-4</x:v>
      </x:c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 t="n">
        <x:v>74</x:v>
      </x:c>
      <x:c r="P197" s="5" t="n">
        <x:v>110</x:v>
      </x:c>
      <x:c r="Q197" s="5" t="n">
        <x:v>70</x:v>
      </x:c>
      <x:c r="R197" s="5" t="n">
        <x:v>232</x:v>
      </x:c>
      <x:c r="S197" s="5" t="n">
        <x:v>263</x:v>
      </x:c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  <x:c r="BA197" s="5"/>
      <x:c r="BB197" s="5"/>
      <x:c r="BC197" s="5"/>
      <x:c r="BD197" s="5"/>
      <x:c r="BE197" s="5"/>
      <x:c r="BF197" s="5"/>
      <x:c r="BG197" s="5"/>
      <x:c r="BH197" s="5"/>
      <x:c r="BI197" s="5"/>
      <x:c r="BJ197" s="5"/>
      <x:c r="BK197" s="5"/>
      <x:c r="BL197" s="5"/>
      <x:c r="BM197" s="5"/>
      <x:c r="BN197" s="5"/>
      <x:c r="BO197" s="5"/>
      <x:c r="BP197" s="5"/>
      <x:c r="BQ197" s="5"/>
      <x:c r="BR197" s="5"/>
      <x:c r="BS197" s="5"/>
      <x:c r="BT197" s="5"/>
      <x:c r="BU197" s="5"/>
      <x:c r="BV197" s="5"/>
      <x:c r="BW197" s="5"/>
      <x:c r="BX197" s="5"/>
      <x:c r="BY197" s="5"/>
      <x:c r="BZ197" s="5"/>
      <x:c r="CA197" s="5"/>
      <x:c r="CB197" s="5"/>
      <x:c r="CC197" s="5"/>
      <x:c r="CD197" s="5"/>
      <x:c r="CE197" s="5"/>
      <x:c r="CF197" s="5"/>
      <x:c r="CG197" s="5"/>
      <x:c r="CH197" s="5"/>
      <x:c r="CI197" s="5"/>
      <x:c r="CJ197" s="5"/>
      <x:c r="CK197" s="5"/>
      <x:c r="CL197" s="5"/>
      <x:c r="CM197" s="5"/>
      <x:c r="CN197" s="5"/>
      <x:c r="CO197" s="5"/>
      <x:c r="CP197" s="5"/>
      <x:c r="CQ197" s="5"/>
      <x:c r="CR197" s="5"/>
      <x:c r="CS197" s="5"/>
      <x:c r="CT197" s="5"/>
      <x:c r="CU197" s="5"/>
      <x:c r="CV197" s="5"/>
      <x:c r="CW197" s="5"/>
      <x:c r="CX197" s="5"/>
      <x:c r="CY197" s="5"/>
      <x:c r="CZ197" s="5"/>
      <x:c r="DA197" s="5"/>
      <x:c r="DB197" s="5"/>
      <x:c r="DC197" s="5"/>
      <x:c r="DD197" s="5"/>
      <x:c r="DE197" s="5"/>
      <x:c r="DF197" s="5"/>
      <x:c r="DG197" s="5"/>
      <x:c r="DH197" s="5"/>
      <x:c r="DI197" s="5"/>
      <x:c r="DJ197" s="5"/>
      <x:c r="DK197" s="5"/>
      <x:c r="DL197" s="5"/>
      <x:c r="DM197" s="5"/>
    </x:row>
    <x:row r="198">
      <x:c r="A198" s="5" t="n">
        <x:v>193</x:v>
      </x:c>
      <x:c r="B198" s="5" t="str">
        <x:v>己酸异戊脂（3-甲基丁基己酸酯）</x:v>
      </x:c>
      <x:c r="C198" s="5" t="str">
        <x:v>2198-61-0</x:v>
      </x:c>
      <x:c r="D198" s="5"/>
      <x:c r="E198" s="5"/>
      <x:c r="F198" s="5"/>
      <x:c r="G198" s="5" t="n">
        <x:v>16.37</x:v>
      </x:c>
      <x:c r="H198" s="5" t="n">
        <x:v>104.74</x:v>
      </x:c>
      <x:c r="I198" s="5" t="n">
        <x:v>16.43</x:v>
      </x:c>
      <x:c r="J198" s="5" t="n">
        <x:v>34.11</x:v>
      </x:c>
      <x:c r="K198" s="5" t="n">
        <x:v>14.8</x:v>
      </x:c>
      <x:c r="L198" s="5"/>
      <x:c r="M198" s="5"/>
      <x:c r="N198" s="5" t="n">
        <x:v>60389</x:v>
      </x:c>
      <x:c r="O198" s="5" t="n">
        <x:v>57230</x:v>
      </x:c>
      <x:c r="P198" s="5" t="n">
        <x:v>64045</x:v>
      </x:c>
      <x:c r="Q198" s="5" t="n">
        <x:v>51464</x:v>
      </x:c>
      <x:c r="R198" s="5" t="n">
        <x:v>52187</x:v>
      </x:c>
      <x:c r="S198" s="5" t="n">
        <x:v>49559</x:v>
      </x:c>
      <x:c r="T198" s="5" t="n">
        <x:v>36</x:v>
      </x:c>
      <x:c r="U198" s="5" t="n">
        <x:v>0</x:v>
      </x:c>
      <x:c r="V198" s="5"/>
      <x:c r="W198" s="5" t="n">
        <x:v>2480</x:v>
      </x:c>
      <x:c r="X198" s="5" t="n">
        <x:v>3220</x:v>
      </x:c>
      <x:c r="Y198" s="5" t="n">
        <x:v>5580</x:v>
      </x:c>
      <x:c r="Z198" s="5" t="n">
        <x:v>8560</x:v>
      </x:c>
      <x:c r="AA198" s="5" t="n">
        <x:v>11600</x:v>
      </x:c>
      <x:c r="AB198" s="5" t="n">
        <x:v>19800</x:v>
      </x:c>
      <x:c r="AC198" s="5" t="n">
        <x:v>16300</x:v>
      </x:c>
      <x:c r="AD198" s="5" t="n">
        <x:v>22200</x:v>
      </x:c>
      <x:c r="AE198" s="5"/>
      <x:c r="AF198" s="5"/>
      <x:c r="AG198" s="5"/>
      <x:c r="AH198" s="5" t="n">
        <x:v>1000</x:v>
      </x:c>
      <x:c r="AI198" s="5" t="n">
        <x:v>1000</x:v>
      </x:c>
      <x:c r="AJ198" s="5" t="n">
        <x:v>1100</x:v>
      </x:c>
      <x:c r="AK198" s="5"/>
      <x:c r="AL198" s="5"/>
      <x:c r="AM198" s="5"/>
      <x:c r="AN198" s="5"/>
      <x:c r="AO198" s="5"/>
      <x:c r="AP198" s="5"/>
      <x:c r="AQ198" s="5" t="n">
        <x:v>29.45</x:v>
      </x:c>
      <x:c r="AR198" s="5" t="n">
        <x:v>13.1</x:v>
      </x:c>
      <x:c r="AS198" s="5" t="n">
        <x:v>6.48</x:v>
      </x:c>
      <x:c r="AT198" s="5" t="n">
        <x:v>7.37</x:v>
      </x:c>
      <x:c r="AU198" s="5"/>
      <x:c r="AV198" s="5"/>
      <x:c r="AW198" s="5"/>
      <x:c r="AX198" s="5"/>
      <x:c r="AY198" s="5"/>
      <x:c r="AZ198" s="5"/>
      <x:c r="BA198" s="5"/>
      <x:c r="BB198" s="5" t="n">
        <x:v>6.51</x:v>
      </x:c>
      <x:c r="BC198" s="5" t="n">
        <x:v>8.5</x:v>
      </x:c>
      <x:c r="BD198" s="5" t="n">
        <x:v>6.24</x:v>
      </x:c>
      <x:c r="BE198" s="5" t="n">
        <x:v>12.99</x:v>
      </x:c>
      <x:c r="BF198" s="5" t="n">
        <x:v>8.83</x:v>
      </x:c>
      <x:c r="BG198" s="5" t="n">
        <x:v>2.5</x:v>
      </x:c>
      <x:c r="BH198" s="5" t="n">
        <x:v>26.66</x:v>
      </x:c>
      <x:c r="BI198" s="5" t="n">
        <x:v>2.15</x:v>
      </x:c>
      <x:c r="BJ198" s="5" t="n">
        <x:v>1.74</x:v>
      </x:c>
      <x:c r="BK198" s="5" t="n">
        <x:v>24.59</x:v>
      </x:c>
      <x:c r="BL198" s="5" t="n">
        <x:v>30.38</x:v>
      </x:c>
      <x:c r="BM198" s="5" t="n">
        <x:v>38.51</x:v>
      </x:c>
      <x:c r="BN198" s="5" t="n">
        <x:v>50.03</x:v>
      </x:c>
      <x:c r="BO198" s="5" t="n">
        <x:v>37.07</x:v>
      </x:c>
      <x:c r="BP198" s="5" t="n">
        <x:v>15.26</x:v>
      </x:c>
      <x:c r="BQ198" s="5"/>
      <x:c r="BR198" s="5"/>
      <x:c r="BS198" s="5"/>
      <x:c r="BT198" s="5"/>
      <x:c r="BU198" s="5"/>
      <x:c r="BV198" s="5"/>
      <x:c r="BW198" s="5"/>
      <x:c r="BX198" s="5"/>
      <x:c r="BY198" s="5"/>
      <x:c r="BZ198" s="5" t="n">
        <x:v>565.27</x:v>
      </x:c>
      <x:c r="CA198" s="5" t="n">
        <x:v>887.895</x:v>
      </x:c>
      <x:c r="CB198" s="5" t="n">
        <x:v>1407.42</x:v>
      </x:c>
      <x:c r="CC198" s="5" t="n">
        <x:v>1223.34</x:v>
      </x:c>
      <x:c r="CD198" s="5" t="n">
        <x:v>2145.17</x:v>
      </x:c>
      <x:c r="CE198" s="5" t="n">
        <x:v>1420.99</x:v>
      </x:c>
      <x:c r="CF198" s="5" t="n">
        <x:v>1044.23</x:v>
      </x:c>
      <x:c r="CG198" s="5" t="n">
        <x:v>713.59</x:v>
      </x:c>
      <x:c r="CH198" s="5" t="n">
        <x:v>457.91</x:v>
      </x:c>
      <x:c r="CI198" s="5" t="n">
        <x:v>3707.65</x:v>
      </x:c>
      <x:c r="CJ198" s="5" t="n">
        <x:v>5383.22</x:v>
      </x:c>
      <x:c r="CK198" s="5" t="n">
        <x:v>7354.49</x:v>
      </x:c>
      <x:c r="CL198" s="5" t="n">
        <x:v>1752.15</x:v>
      </x:c>
      <x:c r="CM198" s="5"/>
      <x:c r="CN198" s="5" t="n">
        <x:v>1158</x:v>
      </x:c>
      <x:c r="CO198" s="5" t="n">
        <x:v>5089</x:v>
      </x:c>
      <x:c r="CP198" s="5" t="n">
        <x:v>1740</x:v>
      </x:c>
      <x:c r="CQ198" s="5" t="n">
        <x:v>2055</x:v>
      </x:c>
      <x:c r="CR198" s="5"/>
      <x:c r="CS198" s="5"/>
      <x:c r="CT198" s="5" t="n">
        <x:v>420.31</x:v>
      </x:c>
      <x:c r="CU198" s="5" t="n">
        <x:v>207.51</x:v>
      </x:c>
      <x:c r="CV198" s="5" t="n">
        <x:v>543.44</x:v>
      </x:c>
      <x:c r="CW198" s="5" t="n">
        <x:v>355.2</x:v>
      </x:c>
      <x:c r="CX198" s="5" t="n">
        <x:v>705.7</x:v>
      </x:c>
      <x:c r="CY198" s="5" t="n">
        <x:v>1656.79</x:v>
      </x:c>
      <x:c r="CZ198" s="5" t="n">
        <x:v>2092.55</x:v>
      </x:c>
      <x:c r="DA198" s="5" t="n">
        <x:v>547.81</x:v>
      </x:c>
      <x:c r="DB198" s="5" t="n">
        <x:v>993.84</x:v>
      </x:c>
      <x:c r="DC198" s="5" t="n">
        <x:v>3228.33</x:v>
      </x:c>
      <x:c r="DD198" s="5" t="n">
        <x:v>6578.03</x:v>
      </x:c>
      <x:c r="DE198" s="5" t="n">
        <x:v>7328.35</x:v>
      </x:c>
      <x:c r="DF198" s="5" t="n">
        <x:v>1850.65</x:v>
      </x:c>
      <x:c r="DG198" s="5" t="n">
        <x:v>2483.48</x:v>
      </x:c>
      <x:c r="DH198" s="5" t="n">
        <x:v>1397.94</x:v>
      </x:c>
      <x:c r="DI198" s="5" t="n">
        <x:v>6502.11</x:v>
      </x:c>
      <x:c r="DJ198" s="5" t="n">
        <x:v>922.81</x:v>
      </x:c>
      <x:c r="DK198" s="5" t="n">
        <x:v>3246.33</x:v>
      </x:c>
      <x:c r="DL198" s="5" t="n">
        <x:v>4880</x:v>
      </x:c>
      <x:c r="DM198" s="5" t="n">
        <x:v>5002.13</x:v>
      </x:c>
    </x:row>
    <x:row r="199">
      <x:c r="A199" s="5" t="n">
        <x:v>194</x:v>
      </x:c>
      <x:c r="B199" s="5" t="str">
        <x:v>辛酸辛酯</x:v>
      </x:c>
      <x:c r="C199" s="5" t="str">
        <x:v>2306-88-9</x:v>
      </x:c>
      <x:c r="D199" s="5"/>
      <x:c r="E199" s="5"/>
      <x:c r="F199" s="5"/>
      <x:c r="G199" s="5"/>
      <x:c r="H199" s="5" t="n">
        <x:v>120.81</x:v>
      </x:c>
      <x:c r="I199" s="5" t="n">
        <x:v>1.44</x:v>
      </x:c>
      <x:c r="J199" s="5" t="n">
        <x:v>2.34</x:v>
      </x:c>
      <x:c r="K199" s="5"/>
      <x:c r="L199" s="5"/>
      <x:c r="M199" s="5"/>
      <x:c r="N199" s="5" t="n">
        <x:v>654</x:v>
      </x:c>
      <x:c r="O199" s="5" t="n">
        <x:v>576</x:v>
      </x:c>
      <x:c r="P199" s="5" t="n">
        <x:v>667</x:v>
      </x:c>
      <x:c r="Q199" s="5" t="n">
        <x:v>497</x:v>
      </x:c>
      <x:c r="R199" s="5" t="n">
        <x:v>502</x:v>
      </x:c>
      <x:c r="S199" s="5" t="n">
        <x:v>477</x:v>
      </x:c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 t="n">
        <x:v>1720</x:v>
      </x:c>
      <x:c r="AL199" s="5" t="n">
        <x:v>2760</x:v>
      </x:c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  <x:c r="BA199" s="5"/>
      <x:c r="BB199" s="5"/>
      <x:c r="BC199" s="5"/>
      <x:c r="BD199" s="5"/>
      <x:c r="BE199" s="5"/>
      <x:c r="BF199" s="5"/>
      <x:c r="BG199" s="5"/>
      <x:c r="BH199" s="5"/>
      <x:c r="BI199" s="5"/>
      <x:c r="BJ199" s="5"/>
      <x:c r="BK199" s="5"/>
      <x:c r="BL199" s="5"/>
      <x:c r="BM199" s="5"/>
      <x:c r="BN199" s="5"/>
      <x:c r="BO199" s="5"/>
      <x:c r="BP199" s="5"/>
      <x:c r="BQ199" s="5"/>
      <x:c r="BR199" s="5"/>
      <x:c r="BS199" s="5"/>
      <x:c r="BT199" s="5"/>
      <x:c r="BU199" s="5"/>
      <x:c r="BV199" s="5"/>
      <x:c r="BW199" s="5"/>
      <x:c r="BX199" s="5"/>
      <x:c r="BY199" s="5"/>
      <x:c r="BZ199" s="5"/>
      <x:c r="CA199" s="5"/>
      <x:c r="CB199" s="5"/>
      <x:c r="CC199" s="5"/>
      <x:c r="CD199" s="5"/>
      <x:c r="CE199" s="5"/>
      <x:c r="CF199" s="5"/>
      <x:c r="CG199" s="5"/>
      <x:c r="CH199" s="5"/>
      <x:c r="CI199" s="5"/>
      <x:c r="CJ199" s="5"/>
      <x:c r="CK199" s="5"/>
      <x:c r="CL199" s="5"/>
      <x:c r="CM199" s="5"/>
      <x:c r="CN199" s="5"/>
      <x:c r="CO199" s="5"/>
      <x:c r="CP199" s="5"/>
      <x:c r="CQ199" s="5"/>
      <x:c r="CR199" s="5"/>
      <x:c r="CS199" s="5"/>
      <x:c r="CT199" s="5"/>
      <x:c r="CU199" s="5"/>
      <x:c r="CV199" s="5"/>
      <x:c r="CW199" s="5"/>
      <x:c r="CX199" s="5"/>
      <x:c r="CY199" s="5"/>
      <x:c r="CZ199" s="5"/>
      <x:c r="DA199" s="5"/>
      <x:c r="DB199" s="5"/>
      <x:c r="DC199" s="5"/>
      <x:c r="DD199" s="5"/>
      <x:c r="DE199" s="5"/>
      <x:c r="DF199" s="5"/>
      <x:c r="DG199" s="5"/>
      <x:c r="DH199" s="5"/>
      <x:c r="DI199" s="5"/>
      <x:c r="DJ199" s="5"/>
      <x:c r="DK199" s="5"/>
      <x:c r="DL199" s="5"/>
      <x:c r="DM199" s="5"/>
    </x:row>
    <x:row r="200">
      <x:c r="A200" s="5" t="n">
        <x:v>195</x:v>
      </x:c>
      <x:c r="B200" s="5"/>
      <x:c r="C200" s="5" t="str">
        <x:v>2311-46-8</x:v>
      </x:c>
      <x:c r="D200" s="5"/>
      <x:c r="E200" s="5"/>
      <x:c r="F200" s="5"/>
      <x:c r="G200" s="5" t="n">
        <x:v>9.48</x:v>
      </x:c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  <x:c r="BA200" s="5"/>
      <x:c r="BB200" s="5"/>
      <x:c r="BC200" s="5"/>
      <x:c r="BD200" s="5"/>
      <x:c r="BE200" s="5"/>
      <x:c r="BF200" s="5"/>
      <x:c r="BG200" s="5"/>
      <x:c r="BH200" s="5"/>
      <x:c r="BI200" s="5"/>
      <x:c r="BJ200" s="5"/>
      <x:c r="BK200" s="5"/>
      <x:c r="BL200" s="5"/>
      <x:c r="BM200" s="5"/>
      <x:c r="BN200" s="5"/>
      <x:c r="BO200" s="5"/>
      <x:c r="BP200" s="5"/>
      <x:c r="BQ200" s="5"/>
      <x:c r="BR200" s="5"/>
      <x:c r="BS200" s="5"/>
      <x:c r="BT200" s="5"/>
      <x:c r="BU200" s="5"/>
      <x:c r="BV200" s="5"/>
      <x:c r="BW200" s="5"/>
      <x:c r="BX200" s="5"/>
      <x:c r="BY200" s="5"/>
      <x:c r="BZ200" s="5"/>
      <x:c r="CA200" s="5"/>
      <x:c r="CB200" s="5"/>
      <x:c r="CC200" s="5"/>
      <x:c r="CD200" s="5"/>
      <x:c r="CE200" s="5"/>
      <x:c r="CF200" s="5"/>
      <x:c r="CG200" s="5"/>
      <x:c r="CH200" s="5"/>
      <x:c r="CI200" s="5"/>
      <x:c r="CJ200" s="5"/>
      <x:c r="CK200" s="5"/>
      <x:c r="CL200" s="5"/>
      <x:c r="CM200" s="5"/>
      <x:c r="CN200" s="5"/>
      <x:c r="CO200" s="5"/>
      <x:c r="CP200" s="5"/>
      <x:c r="CQ200" s="5"/>
      <x:c r="CR200" s="5"/>
      <x:c r="CS200" s="5"/>
      <x:c r="CT200" s="5"/>
      <x:c r="CU200" s="5"/>
      <x:c r="CV200" s="5"/>
      <x:c r="CW200" s="5"/>
      <x:c r="CX200" s="5"/>
      <x:c r="CY200" s="5"/>
      <x:c r="CZ200" s="5"/>
      <x:c r="DA200" s="5"/>
      <x:c r="DB200" s="5"/>
      <x:c r="DC200" s="5"/>
      <x:c r="DD200" s="5"/>
      <x:c r="DE200" s="5"/>
      <x:c r="DF200" s="5"/>
      <x:c r="DG200" s="5"/>
      <x:c r="DH200" s="5"/>
      <x:c r="DI200" s="5"/>
      <x:c r="DJ200" s="5"/>
      <x:c r="DK200" s="5"/>
      <x:c r="DL200" s="5"/>
      <x:c r="DM200" s="5"/>
    </x:row>
    <x:row r="201">
      <x:c r="A201" s="5" t="n">
        <x:v>196</x:v>
      </x:c>
      <x:c r="B201" s="5" t="str">
        <x:v>3-甲基-2-己醇</x:v>
      </x:c>
      <x:c r="C201" s="5" t="str">
        <x:v>2313-65-7</x:v>
      </x:c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 t="n">
        <x:v>1.4</x:v>
      </x:c>
      <x:c r="AR201" s="5" t="n">
        <x:v>2.1</x:v>
      </x:c>
      <x:c r="AS201" s="5" t="n">
        <x:v>3.67</x:v>
      </x:c>
      <x:c r="AT201" s="5" t="n">
        <x:v>3.8</x:v>
      </x:c>
      <x:c r="AU201" s="5"/>
      <x:c r="AV201" s="5"/>
      <x:c r="AW201" s="5"/>
      <x:c r="AX201" s="5"/>
      <x:c r="AY201" s="5"/>
      <x:c r="AZ201" s="5"/>
      <x:c r="BA201" s="5"/>
      <x:c r="BB201" s="5"/>
      <x:c r="BC201" s="5"/>
      <x:c r="BD201" s="5"/>
      <x:c r="BE201" s="5"/>
      <x:c r="BF201" s="5"/>
      <x:c r="BG201" s="5"/>
      <x:c r="BH201" s="5"/>
      <x:c r="BI201" s="5"/>
      <x:c r="BJ201" s="5"/>
      <x:c r="BK201" s="5"/>
      <x:c r="BL201" s="5"/>
      <x:c r="BM201" s="5"/>
      <x:c r="BN201" s="5"/>
      <x:c r="BO201" s="5"/>
      <x:c r="BP201" s="5"/>
      <x:c r="BQ201" s="5"/>
      <x:c r="BR201" s="5"/>
      <x:c r="BS201" s="5"/>
      <x:c r="BT201" s="5"/>
      <x:c r="BU201" s="5"/>
      <x:c r="BV201" s="5"/>
      <x:c r="BW201" s="5"/>
      <x:c r="BX201" s="5"/>
      <x:c r="BY201" s="5"/>
      <x:c r="BZ201" s="5"/>
      <x:c r="CA201" s="5"/>
      <x:c r="CB201" s="5"/>
      <x:c r="CC201" s="5"/>
      <x:c r="CD201" s="5"/>
      <x:c r="CE201" s="5"/>
      <x:c r="CF201" s="5"/>
      <x:c r="CG201" s="5"/>
      <x:c r="CH201" s="5"/>
      <x:c r="CI201" s="5"/>
      <x:c r="CJ201" s="5"/>
      <x:c r="CK201" s="5"/>
      <x:c r="CL201" s="5"/>
      <x:c r="CM201" s="5"/>
      <x:c r="CN201" s="5"/>
      <x:c r="CO201" s="5"/>
      <x:c r="CP201" s="5"/>
      <x:c r="CQ201" s="5"/>
      <x:c r="CR201" s="5"/>
      <x:c r="CS201" s="5"/>
      <x:c r="CT201" s="5"/>
      <x:c r="CU201" s="5"/>
      <x:c r="CV201" s="5"/>
      <x:c r="CW201" s="5"/>
      <x:c r="CX201" s="5"/>
      <x:c r="CY201" s="5"/>
      <x:c r="CZ201" s="5"/>
      <x:c r="DA201" s="5"/>
      <x:c r="DB201" s="5"/>
      <x:c r="DC201" s="5"/>
      <x:c r="DD201" s="5"/>
      <x:c r="DE201" s="5"/>
      <x:c r="DF201" s="5"/>
      <x:c r="DG201" s="5"/>
      <x:c r="DH201" s="5"/>
      <x:c r="DI201" s="5"/>
      <x:c r="DJ201" s="5"/>
      <x:c r="DK201" s="5"/>
      <x:c r="DL201" s="5"/>
      <x:c r="DM201" s="5"/>
    </x:row>
    <x:row r="202">
      <x:c r="A202" s="5" t="n">
        <x:v>197</x:v>
      </x:c>
      <x:c r="B202" s="5"/>
      <x:c r="C202" s="5" t="str">
        <x:v>2345-28-0</x:v>
      </x:c>
      <x:c r="D202" s="5"/>
      <x:c r="E202" s="5"/>
      <x:c r="F202" s="5"/>
      <x:c r="G202" s="5"/>
      <x:c r="H202" s="5" t="n">
        <x:v>0.23</x:v>
      </x:c>
      <x:c r="I202" s="5"/>
      <x:c r="J202" s="5"/>
      <x:c r="K202" s="5"/>
      <x:c r="L202" s="5"/>
      <x:c r="M202" s="5"/>
      <x:c r="N202" s="5" t="n">
        <x:v>720</x:v>
      </x:c>
      <x:c r="O202" s="5" t="n">
        <x:v>574</x:v>
      </x:c>
      <x:c r="P202" s="5" t="n">
        <x:v>717</x:v>
      </x:c>
      <x:c r="Q202" s="5" t="n">
        <x:v>511</x:v>
      </x:c>
      <x:c r="R202" s="5" t="n">
        <x:v>511</x:v>
      </x:c>
      <x:c r="S202" s="5" t="n">
        <x:v>477</x:v>
      </x:c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  <x:c r="BA202" s="5"/>
      <x:c r="BB202" s="5"/>
      <x:c r="BC202" s="5"/>
      <x:c r="BD202" s="5"/>
      <x:c r="BE202" s="5"/>
      <x:c r="BF202" s="5"/>
      <x:c r="BG202" s="5"/>
      <x:c r="BH202" s="5"/>
      <x:c r="BI202" s="5"/>
      <x:c r="BJ202" s="5"/>
      <x:c r="BK202" s="5"/>
      <x:c r="BL202" s="5"/>
      <x:c r="BM202" s="5"/>
      <x:c r="BN202" s="5"/>
      <x:c r="BO202" s="5"/>
      <x:c r="BP202" s="5"/>
      <x:c r="BQ202" s="5"/>
      <x:c r="BR202" s="5"/>
      <x:c r="BS202" s="5"/>
      <x:c r="BT202" s="5"/>
      <x:c r="BU202" s="5"/>
      <x:c r="BV202" s="5"/>
      <x:c r="BW202" s="5"/>
      <x:c r="BX202" s="5"/>
      <x:c r="BY202" s="5"/>
      <x:c r="BZ202" s="5"/>
      <x:c r="CA202" s="5"/>
      <x:c r="CB202" s="5"/>
      <x:c r="CC202" s="5"/>
      <x:c r="CD202" s="5"/>
      <x:c r="CE202" s="5"/>
      <x:c r="CF202" s="5"/>
      <x:c r="CG202" s="5"/>
      <x:c r="CH202" s="5"/>
      <x:c r="CI202" s="5"/>
      <x:c r="CJ202" s="5"/>
      <x:c r="CK202" s="5"/>
      <x:c r="CL202" s="5"/>
      <x:c r="CM202" s="5"/>
      <x:c r="CN202" s="5"/>
      <x:c r="CO202" s="5"/>
      <x:c r="CP202" s="5"/>
      <x:c r="CQ202" s="5"/>
      <x:c r="CR202" s="5"/>
      <x:c r="CS202" s="5"/>
      <x:c r="CT202" s="5"/>
      <x:c r="CU202" s="5"/>
      <x:c r="CV202" s="5"/>
      <x:c r="CW202" s="5"/>
      <x:c r="CX202" s="5"/>
      <x:c r="CY202" s="5"/>
      <x:c r="CZ202" s="5"/>
      <x:c r="DA202" s="5"/>
      <x:c r="DB202" s="5"/>
      <x:c r="DC202" s="5"/>
      <x:c r="DD202" s="5"/>
      <x:c r="DE202" s="5"/>
      <x:c r="DF202" s="5"/>
      <x:c r="DG202" s="5"/>
      <x:c r="DH202" s="5"/>
      <x:c r="DI202" s="5"/>
      <x:c r="DJ202" s="5"/>
      <x:c r="DK202" s="5"/>
      <x:c r="DL202" s="5"/>
      <x:c r="DM202" s="5"/>
    </x:row>
    <x:row r="203">
      <x:c r="A203" s="5" t="n">
        <x:v>198</x:v>
      </x:c>
      <x:c r="B203" s="5" t="str">
        <x:v>3-己烯酸乙酯</x:v>
      </x:c>
      <x:c r="C203" s="5" t="str">
        <x:v>2396-83-0</x:v>
      </x:c>
      <x:c r="D203" s="5"/>
      <x:c r="E203" s="5" t="n">
        <x:v>112</x:v>
      </x:c>
      <x:c r="F203" s="5" t="n">
        <x:v>473</x:v>
      </x:c>
      <x:c r="G203" s="5"/>
      <x:c r="H203" s="5"/>
      <x:c r="I203" s="5"/>
      <x:c r="J203" s="5"/>
      <x:c r="K203" s="5"/>
      <x:c r="L203" s="5"/>
      <x:c r="M203" s="5"/>
      <x:c r="N203" s="5" t="n">
        <x:v>479</x:v>
      </x:c>
      <x:c r="O203" s="5" t="n">
        <x:v>1055</x:v>
      </x:c>
      <x:c r="P203" s="5" t="n">
        <x:v>987</x:v>
      </x:c>
      <x:c r="Q203" s="5" t="n">
        <x:v>1128</x:v>
      </x:c>
      <x:c r="R203" s="5" t="n">
        <x:v>991</x:v>
      </x:c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  <x:c r="BA203" s="5" t="n">
        <x:v>17</x:v>
      </x:c>
      <x:c r="BB203" s="5"/>
      <x:c r="BC203" s="5"/>
      <x:c r="BD203" s="5"/>
      <x:c r="BE203" s="5"/>
      <x:c r="BF203" s="5"/>
      <x:c r="BG203" s="5"/>
      <x:c r="BH203" s="5"/>
      <x:c r="BI203" s="5"/>
      <x:c r="BJ203" s="5"/>
      <x:c r="BK203" s="5"/>
      <x:c r="BL203" s="5"/>
      <x:c r="BM203" s="5"/>
      <x:c r="BN203" s="5"/>
      <x:c r="BO203" s="5"/>
      <x:c r="BP203" s="5"/>
      <x:c r="BQ203" s="5"/>
      <x:c r="BR203" s="5"/>
      <x:c r="BS203" s="5"/>
      <x:c r="BT203" s="5"/>
      <x:c r="BU203" s="5"/>
      <x:c r="BV203" s="5"/>
      <x:c r="BW203" s="5"/>
      <x:c r="BX203" s="5"/>
      <x:c r="BY203" s="5"/>
      <x:c r="BZ203" s="5"/>
      <x:c r="CA203" s="5"/>
      <x:c r="CB203" s="5"/>
      <x:c r="CC203" s="5"/>
      <x:c r="CD203" s="5"/>
      <x:c r="CE203" s="5"/>
      <x:c r="CF203" s="5"/>
      <x:c r="CG203" s="5"/>
      <x:c r="CH203" s="5"/>
      <x:c r="CI203" s="5"/>
      <x:c r="CJ203" s="5"/>
      <x:c r="CK203" s="5"/>
      <x:c r="CL203" s="5"/>
      <x:c r="CM203" s="5"/>
      <x:c r="CN203" s="5"/>
      <x:c r="CO203" s="5"/>
      <x:c r="CP203" s="5"/>
      <x:c r="CQ203" s="5"/>
      <x:c r="CR203" s="5"/>
      <x:c r="CS203" s="5"/>
      <x:c r="CT203" s="5"/>
      <x:c r="CU203" s="5"/>
      <x:c r="CV203" s="5"/>
      <x:c r="CW203" s="5"/>
      <x:c r="CX203" s="5"/>
      <x:c r="CY203" s="5"/>
      <x:c r="CZ203" s="5"/>
      <x:c r="DA203" s="5"/>
      <x:c r="DB203" s="5"/>
      <x:c r="DC203" s="5"/>
      <x:c r="DD203" s="5"/>
      <x:c r="DE203" s="5"/>
      <x:c r="DF203" s="5"/>
      <x:c r="DG203" s="5"/>
      <x:c r="DH203" s="5"/>
      <x:c r="DI203" s="5"/>
      <x:c r="DJ203" s="5"/>
      <x:c r="DK203" s="5"/>
      <x:c r="DL203" s="5"/>
      <x:c r="DM203" s="5"/>
    </x:row>
    <x:row r="204">
      <x:c r="A204" s="5" t="n">
        <x:v>199</x:v>
      </x:c>
      <x:c r="B204" s="5"/>
      <x:c r="C204" s="5" t="str">
        <x:v>2412-80-8</x:v>
      </x:c>
      <x:c r="D204" s="5"/>
      <x:c r="E204" s="5"/>
      <x:c r="F204" s="5"/>
      <x:c r="G204" s="5" t="n">
        <x:v>2.44</x:v>
      </x:c>
      <x:c r="H204" s="5" t="n">
        <x:v>1.22</x:v>
      </x:c>
      <x:c r="I204" s="5" t="n">
        <x:v>1.75</x:v>
      </x:c>
      <x:c r="J204" s="5" t="n">
        <x:v>6.14</x:v>
      </x:c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  <x:c r="BA204" s="5"/>
      <x:c r="BB204" s="5"/>
      <x:c r="BC204" s="5"/>
      <x:c r="BD204" s="5"/>
      <x:c r="BE204" s="5"/>
      <x:c r="BF204" s="5"/>
      <x:c r="BG204" s="5"/>
      <x:c r="BH204" s="5"/>
      <x:c r="BI204" s="5"/>
      <x:c r="BJ204" s="5"/>
      <x:c r="BK204" s="5"/>
      <x:c r="BL204" s="5"/>
      <x:c r="BM204" s="5"/>
      <x:c r="BN204" s="5"/>
      <x:c r="BO204" s="5"/>
      <x:c r="BP204" s="5"/>
      <x:c r="BQ204" s="5"/>
      <x:c r="BR204" s="5"/>
      <x:c r="BS204" s="5"/>
      <x:c r="BT204" s="5"/>
      <x:c r="BU204" s="5"/>
      <x:c r="BV204" s="5"/>
      <x:c r="BW204" s="5"/>
      <x:c r="BX204" s="5"/>
      <x:c r="BY204" s="5"/>
      <x:c r="BZ204" s="5"/>
      <x:c r="CA204" s="5"/>
      <x:c r="CB204" s="5"/>
      <x:c r="CC204" s="5"/>
      <x:c r="CD204" s="5"/>
      <x:c r="CE204" s="5"/>
      <x:c r="CF204" s="5"/>
      <x:c r="CG204" s="5"/>
      <x:c r="CH204" s="5"/>
      <x:c r="CI204" s="5"/>
      <x:c r="CJ204" s="5"/>
      <x:c r="CK204" s="5"/>
      <x:c r="CL204" s="5"/>
      <x:c r="CM204" s="5"/>
      <x:c r="CN204" s="5"/>
      <x:c r="CO204" s="5"/>
      <x:c r="CP204" s="5"/>
      <x:c r="CQ204" s="5"/>
      <x:c r="CR204" s="5"/>
      <x:c r="CS204" s="5"/>
      <x:c r="CT204" s="5"/>
      <x:c r="CU204" s="5"/>
      <x:c r="CV204" s="5"/>
      <x:c r="CW204" s="5"/>
      <x:c r="CX204" s="5"/>
      <x:c r="CY204" s="5"/>
      <x:c r="CZ204" s="5"/>
      <x:c r="DA204" s="5"/>
      <x:c r="DB204" s="5"/>
      <x:c r="DC204" s="5"/>
      <x:c r="DD204" s="5"/>
      <x:c r="DE204" s="5"/>
      <x:c r="DF204" s="5"/>
      <x:c r="DG204" s="5"/>
      <x:c r="DH204" s="5"/>
      <x:c r="DI204" s="5"/>
      <x:c r="DJ204" s="5"/>
      <x:c r="DK204" s="5"/>
      <x:c r="DL204" s="5"/>
      <x:c r="DM204" s="5"/>
    </x:row>
    <x:row r="205">
      <x:c r="A205" s="5" t="n">
        <x:v>200</x:v>
      </x:c>
      <x:c r="B205" s="5"/>
      <x:c r="C205" s="5" t="str">
        <x:v>2425-77-6</x:v>
      </x:c>
      <x:c r="D205" s="5"/>
      <x:c r="E205" s="5"/>
      <x:c r="F205" s="5"/>
      <x:c r="G205" s="5"/>
      <x:c r="H205" s="5"/>
      <x:c r="I205" s="5"/>
      <x:c r="J205" s="5"/>
      <x:c r="K205" s="5" t="n">
        <x:v>0.13</x:v>
      </x:c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  <x:c r="BA205" s="5"/>
      <x:c r="BB205" s="5"/>
      <x:c r="BC205" s="5"/>
      <x:c r="BD205" s="5"/>
      <x:c r="BE205" s="5"/>
      <x:c r="BF205" s="5"/>
      <x:c r="BG205" s="5"/>
      <x:c r="BH205" s="5"/>
      <x:c r="BI205" s="5"/>
      <x:c r="BJ205" s="5"/>
      <x:c r="BK205" s="5"/>
      <x:c r="BL205" s="5"/>
      <x:c r="BM205" s="5"/>
      <x:c r="BN205" s="5"/>
      <x:c r="BO205" s="5"/>
      <x:c r="BP205" s="5"/>
      <x:c r="BQ205" s="5"/>
      <x:c r="BR205" s="5"/>
      <x:c r="BS205" s="5"/>
      <x:c r="BT205" s="5"/>
      <x:c r="BU205" s="5"/>
      <x:c r="BV205" s="5"/>
      <x:c r="BW205" s="5"/>
      <x:c r="BX205" s="5"/>
      <x:c r="BY205" s="5"/>
      <x:c r="BZ205" s="5"/>
      <x:c r="CA205" s="5"/>
      <x:c r="CB205" s="5"/>
      <x:c r="CC205" s="5"/>
      <x:c r="CD205" s="5"/>
      <x:c r="CE205" s="5"/>
      <x:c r="CF205" s="5"/>
      <x:c r="CG205" s="5"/>
      <x:c r="CH205" s="5"/>
      <x:c r="CI205" s="5"/>
      <x:c r="CJ205" s="5"/>
      <x:c r="CK205" s="5"/>
      <x:c r="CL205" s="5"/>
      <x:c r="CM205" s="5"/>
      <x:c r="CN205" s="5"/>
      <x:c r="CO205" s="5"/>
      <x:c r="CP205" s="5"/>
      <x:c r="CQ205" s="5"/>
      <x:c r="CR205" s="5"/>
      <x:c r="CS205" s="5"/>
      <x:c r="CT205" s="5"/>
      <x:c r="CU205" s="5"/>
      <x:c r="CV205" s="5"/>
      <x:c r="CW205" s="5"/>
      <x:c r="CX205" s="5"/>
      <x:c r="CY205" s="5"/>
      <x:c r="CZ205" s="5"/>
      <x:c r="DA205" s="5"/>
      <x:c r="DB205" s="5"/>
      <x:c r="DC205" s="5"/>
      <x:c r="DD205" s="5"/>
      <x:c r="DE205" s="5"/>
      <x:c r="DF205" s="5"/>
      <x:c r="DG205" s="5"/>
      <x:c r="DH205" s="5"/>
      <x:c r="DI205" s="5"/>
      <x:c r="DJ205" s="5"/>
      <x:c r="DK205" s="5"/>
      <x:c r="DL205" s="5"/>
      <x:c r="DM205" s="5"/>
    </x:row>
    <x:row r="206">
      <x:c r="A206" s="5" t="n">
        <x:v>201</x:v>
      </x:c>
      <x:c r="B206" s="5" t="str">
        <x:v>反-2-壬醛</x:v>
      </x:c>
      <x:c r="C206" s="5" t="str">
        <x:v>2463-53-8</x:v>
      </x:c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  <x:c r="BA206" s="5" t="n">
        <x:v>356</x:v>
      </x:c>
      <x:c r="BB206" s="5"/>
      <x:c r="BC206" s="5"/>
      <x:c r="BD206" s="5"/>
      <x:c r="BE206" s="5"/>
      <x:c r="BF206" s="5"/>
      <x:c r="BG206" s="5"/>
      <x:c r="BH206" s="5"/>
      <x:c r="BI206" s="5"/>
      <x:c r="BJ206" s="5"/>
      <x:c r="BK206" s="5"/>
      <x:c r="BL206" s="5"/>
      <x:c r="BM206" s="5"/>
      <x:c r="BN206" s="5"/>
      <x:c r="BO206" s="5"/>
      <x:c r="BP206" s="5"/>
      <x:c r="BQ206" s="5"/>
      <x:c r="BR206" s="5"/>
      <x:c r="BS206" s="5"/>
      <x:c r="BT206" s="5"/>
      <x:c r="BU206" s="5"/>
      <x:c r="BV206" s="5"/>
      <x:c r="BW206" s="5"/>
      <x:c r="BX206" s="5"/>
      <x:c r="BY206" s="5"/>
      <x:c r="BZ206" s="5"/>
      <x:c r="CA206" s="5"/>
      <x:c r="CB206" s="5"/>
      <x:c r="CC206" s="5"/>
      <x:c r="CD206" s="5"/>
      <x:c r="CE206" s="5"/>
      <x:c r="CF206" s="5"/>
      <x:c r="CG206" s="5"/>
      <x:c r="CH206" s="5"/>
      <x:c r="CI206" s="5"/>
      <x:c r="CJ206" s="5"/>
      <x:c r="CK206" s="5"/>
      <x:c r="CL206" s="5"/>
      <x:c r="CM206" s="5"/>
      <x:c r="CN206" s="5"/>
      <x:c r="CO206" s="5"/>
      <x:c r="CP206" s="5"/>
      <x:c r="CQ206" s="5"/>
      <x:c r="CR206" s="5"/>
      <x:c r="CS206" s="5"/>
      <x:c r="CT206" s="5"/>
      <x:c r="CU206" s="5"/>
      <x:c r="CV206" s="5"/>
      <x:c r="CW206" s="5"/>
      <x:c r="CX206" s="5"/>
      <x:c r="CY206" s="5"/>
      <x:c r="CZ206" s="5"/>
      <x:c r="DA206" s="5"/>
      <x:c r="DB206" s="5"/>
      <x:c r="DC206" s="5"/>
      <x:c r="DD206" s="5"/>
      <x:c r="DE206" s="5"/>
      <x:c r="DF206" s="5"/>
      <x:c r="DG206" s="5"/>
      <x:c r="DH206" s="5"/>
      <x:c r="DI206" s="5"/>
      <x:c r="DJ206" s="5"/>
      <x:c r="DK206" s="5"/>
      <x:c r="DL206" s="5"/>
      <x:c r="DM206" s="5"/>
    </x:row>
    <x:row r="207">
      <x:c r="A207" s="5" t="n">
        <x:v>202</x:v>
      </x:c>
      <x:c r="B207" s="5" t="str">
        <x:v>2-十一烯醛</x:v>
      </x:c>
      <x:c r="C207" s="5" t="str">
        <x:v>2463-77-6</x:v>
      </x:c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 t="n">
        <x:v>17</x:v>
      </x:c>
      <x:c r="BA207" s="5" t="n">
        <x:v>24</x:v>
      </x:c>
      <x:c r="BB207" s="5"/>
      <x:c r="BC207" s="5"/>
      <x:c r="BD207" s="5"/>
      <x:c r="BE207" s="5"/>
      <x:c r="BF207" s="5"/>
      <x:c r="BG207" s="5"/>
      <x:c r="BH207" s="5"/>
      <x:c r="BI207" s="5"/>
      <x:c r="BJ207" s="5"/>
      <x:c r="BK207" s="5"/>
      <x:c r="BL207" s="5"/>
      <x:c r="BM207" s="5"/>
      <x:c r="BN207" s="5"/>
      <x:c r="BO207" s="5"/>
      <x:c r="BP207" s="5"/>
      <x:c r="BQ207" s="5"/>
      <x:c r="BR207" s="5"/>
      <x:c r="BS207" s="5"/>
      <x:c r="BT207" s="5"/>
      <x:c r="BU207" s="5"/>
      <x:c r="BV207" s="5"/>
      <x:c r="BW207" s="5"/>
      <x:c r="BX207" s="5"/>
      <x:c r="BY207" s="5"/>
      <x:c r="BZ207" s="5"/>
      <x:c r="CA207" s="5"/>
      <x:c r="CB207" s="5"/>
      <x:c r="CC207" s="5"/>
      <x:c r="CD207" s="5"/>
      <x:c r="CE207" s="5"/>
      <x:c r="CF207" s="5"/>
      <x:c r="CG207" s="5"/>
      <x:c r="CH207" s="5"/>
      <x:c r="CI207" s="5"/>
      <x:c r="CJ207" s="5"/>
      <x:c r="CK207" s="5"/>
      <x:c r="CL207" s="5"/>
      <x:c r="CM207" s="5"/>
      <x:c r="CN207" s="5"/>
      <x:c r="CO207" s="5"/>
      <x:c r="CP207" s="5"/>
      <x:c r="CQ207" s="5"/>
      <x:c r="CR207" s="5"/>
      <x:c r="CS207" s="5"/>
      <x:c r="CT207" s="5"/>
      <x:c r="CU207" s="5"/>
      <x:c r="CV207" s="5"/>
      <x:c r="CW207" s="5"/>
      <x:c r="CX207" s="5"/>
      <x:c r="CY207" s="5"/>
      <x:c r="CZ207" s="5"/>
      <x:c r="DA207" s="5"/>
      <x:c r="DB207" s="5"/>
      <x:c r="DC207" s="5"/>
      <x:c r="DD207" s="5"/>
      <x:c r="DE207" s="5"/>
      <x:c r="DF207" s="5"/>
      <x:c r="DG207" s="5"/>
      <x:c r="DH207" s="5"/>
      <x:c r="DI207" s="5"/>
      <x:c r="DJ207" s="5"/>
      <x:c r="DK207" s="5"/>
      <x:c r="DL207" s="5"/>
      <x:c r="DM207" s="5"/>
    </x:row>
    <x:row r="208">
      <x:c r="A208" s="5" t="n">
        <x:v>203</x:v>
      </x:c>
      <x:c r="B208" s="5" t="str">
        <x:v>丁酸己酯</x:v>
      </x:c>
      <x:c r="C208" s="5" t="str">
        <x:v>2639-63-6</x:v>
      </x:c>
      <x:c r="D208" s="5"/>
      <x:c r="E208" s="5" t="n">
        <x:v>232</x:v>
      </x:c>
      <x:c r="F208" s="5" t="n">
        <x:v>3483</x:v>
      </x:c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 t="n">
        <x:v>0</x:v>
      </x:c>
      <x:c r="U208" s="5" t="n">
        <x:v>0</x:v>
      </x:c>
      <x:c r="V208" s="5"/>
      <x:c r="W208" s="5" t="n">
        <x:v>164000</x:v>
      </x:c>
      <x:c r="X208" s="5" t="n">
        <x:v>206000</x:v>
      </x:c>
      <x:c r="Y208" s="5" t="n">
        <x:v>230000</x:v>
      </x:c>
      <x:c r="Z208" s="5" t="n">
        <x:v>288000</x:v>
      </x:c>
      <x:c r="AA208" s="5" t="n">
        <x:v>286000</x:v>
      </x:c>
      <x:c r="AB208" s="5" t="n">
        <x:v>373000</x:v>
      </x:c>
      <x:c r="AC208" s="5" t="n">
        <x:v>274000</x:v>
      </x:c>
      <x:c r="AD208" s="5" t="n">
        <x:v>124000</x:v>
      </x:c>
      <x:c r="AE208" s="5" t="n">
        <x:v>3760</x:v>
      </x:c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 t="n">
        <x:v>3416</x:v>
      </x:c>
      <x:c r="BA208" s="5" t="n">
        <x:v>2645</x:v>
      </x:c>
      <x:c r="BB208" s="5"/>
      <x:c r="BC208" s="5"/>
      <x:c r="BD208" s="5"/>
      <x:c r="BE208" s="5"/>
      <x:c r="BF208" s="5"/>
      <x:c r="BG208" s="5"/>
      <x:c r="BH208" s="5"/>
      <x:c r="BI208" s="5"/>
      <x:c r="BJ208" s="5"/>
      <x:c r="BK208" s="5"/>
      <x:c r="BL208" s="5"/>
      <x:c r="BM208" s="5"/>
      <x:c r="BN208" s="5"/>
      <x:c r="BO208" s="5"/>
      <x:c r="BP208" s="5"/>
      <x:c r="BQ208" s="5"/>
      <x:c r="BR208" s="5"/>
      <x:c r="BS208" s="5"/>
      <x:c r="BT208" s="5"/>
      <x:c r="BU208" s="5"/>
      <x:c r="BV208" s="5"/>
      <x:c r="BW208" s="5"/>
      <x:c r="BX208" s="5"/>
      <x:c r="BY208" s="5"/>
      <x:c r="BZ208" s="5"/>
      <x:c r="CA208" s="5"/>
      <x:c r="CB208" s="5"/>
      <x:c r="CC208" s="5"/>
      <x:c r="CD208" s="5"/>
      <x:c r="CE208" s="5"/>
      <x:c r="CF208" s="5"/>
      <x:c r="CG208" s="5"/>
      <x:c r="CH208" s="5"/>
      <x:c r="CI208" s="5"/>
      <x:c r="CJ208" s="5"/>
      <x:c r="CK208" s="5"/>
      <x:c r="CL208" s="5"/>
      <x:c r="CM208" s="5"/>
      <x:c r="CN208" s="5"/>
      <x:c r="CO208" s="5"/>
      <x:c r="CP208" s="5"/>
      <x:c r="CQ208" s="5"/>
      <x:c r="CR208" s="5"/>
      <x:c r="CS208" s="5"/>
      <x:c r="CT208" s="5"/>
      <x:c r="CU208" s="5"/>
      <x:c r="CV208" s="5"/>
      <x:c r="CW208" s="5"/>
      <x:c r="CX208" s="5"/>
      <x:c r="CY208" s="5"/>
      <x:c r="CZ208" s="5"/>
      <x:c r="DA208" s="5"/>
      <x:c r="DB208" s="5"/>
      <x:c r="DC208" s="5"/>
      <x:c r="DD208" s="5"/>
      <x:c r="DE208" s="5"/>
      <x:c r="DF208" s="5"/>
      <x:c r="DG208" s="5"/>
      <x:c r="DH208" s="5"/>
      <x:c r="DI208" s="5"/>
      <x:c r="DJ208" s="5"/>
      <x:c r="DK208" s="5"/>
      <x:c r="DL208" s="5"/>
      <x:c r="DM208" s="5"/>
    </x:row>
    <x:row r="209">
      <x:c r="A209" s="5" t="n">
        <x:v>204</x:v>
      </x:c>
      <x:c r="B209" s="5"/>
      <x:c r="C209" s="5" t="str">
        <x:v>2761-84-4</x:v>
      </x:c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 t="n">
        <x:v>1504</x:v>
      </x:c>
      <x:c r="P209" s="5" t="n">
        <x:v>1504</x:v>
      </x:c>
      <x:c r="Q209" s="5" t="n">
        <x:v>524</x:v>
      </x:c>
      <x:c r="R209" s="5" t="n">
        <x:v>534</x:v>
      </x:c>
      <x:c r="S209" s="5" t="n">
        <x:v>1504</x:v>
      </x:c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  <x:c r="BA209" s="5"/>
      <x:c r="BB209" s="5"/>
      <x:c r="BC209" s="5"/>
      <x:c r="BD209" s="5"/>
      <x:c r="BE209" s="5"/>
      <x:c r="BF209" s="5"/>
      <x:c r="BG209" s="5"/>
      <x:c r="BH209" s="5"/>
      <x:c r="BI209" s="5"/>
      <x:c r="BJ209" s="5"/>
      <x:c r="BK209" s="5"/>
      <x:c r="BL209" s="5"/>
      <x:c r="BM209" s="5"/>
      <x:c r="BN209" s="5"/>
      <x:c r="BO209" s="5"/>
      <x:c r="BP209" s="5"/>
      <x:c r="BQ209" s="5"/>
      <x:c r="BR209" s="5"/>
      <x:c r="BS209" s="5"/>
      <x:c r="BT209" s="5"/>
      <x:c r="BU209" s="5"/>
      <x:c r="BV209" s="5"/>
      <x:c r="BW209" s="5"/>
      <x:c r="BX209" s="5"/>
      <x:c r="BY209" s="5"/>
      <x:c r="BZ209" s="5"/>
      <x:c r="CA209" s="5"/>
      <x:c r="CB209" s="5"/>
      <x:c r="CC209" s="5"/>
      <x:c r="CD209" s="5"/>
      <x:c r="CE209" s="5"/>
      <x:c r="CF209" s="5"/>
      <x:c r="CG209" s="5"/>
      <x:c r="CH209" s="5"/>
      <x:c r="CI209" s="5"/>
      <x:c r="CJ209" s="5"/>
      <x:c r="CK209" s="5"/>
      <x:c r="CL209" s="5"/>
      <x:c r="CM209" s="5"/>
      <x:c r="CN209" s="5"/>
      <x:c r="CO209" s="5"/>
      <x:c r="CP209" s="5"/>
      <x:c r="CQ209" s="5"/>
      <x:c r="CR209" s="5"/>
      <x:c r="CS209" s="5"/>
      <x:c r="CT209" s="5"/>
      <x:c r="CU209" s="5"/>
      <x:c r="CV209" s="5"/>
      <x:c r="CW209" s="5"/>
      <x:c r="CX209" s="5"/>
      <x:c r="CY209" s="5"/>
      <x:c r="CZ209" s="5"/>
      <x:c r="DA209" s="5"/>
      <x:c r="DB209" s="5"/>
      <x:c r="DC209" s="5"/>
      <x:c r="DD209" s="5"/>
      <x:c r="DE209" s="5"/>
      <x:c r="DF209" s="5"/>
      <x:c r="DG209" s="5"/>
      <x:c r="DH209" s="5"/>
      <x:c r="DI209" s="5"/>
      <x:c r="DJ209" s="5"/>
      <x:c r="DK209" s="5"/>
      <x:c r="DL209" s="5"/>
      <x:c r="DM209" s="5"/>
    </x:row>
    <x:row r="210">
      <x:c r="A210" s="5" t="n">
        <x:v>205</x:v>
      </x:c>
      <x:c r="B210" s="5" t="str">
        <x:v>4-乙基-2-甲氧基苯酚</x:v>
      </x:c>
      <x:c r="C210" s="5" t="str">
        <x:v>2785-89-9</x:v>
      </x:c>
      <x:c r="D210" s="5"/>
      <x:c r="E210" s="5"/>
      <x:c r="F210" s="5" t="n">
        <x:v>130</x:v>
      </x:c>
      <x:c r="G210" s="5"/>
      <x:c r="H210" s="5"/>
      <x:c r="I210" s="5"/>
      <x:c r="J210" s="5"/>
      <x:c r="K210" s="5"/>
      <x:c r="L210" s="5" t="n">
        <x:v>524</x:v>
      </x:c>
      <x:c r="M210" s="5" t="n">
        <x:v>526</x:v>
      </x:c>
      <x:c r="N210" s="5"/>
      <x:c r="O210" s="5"/>
      <x:c r="P210" s="5"/>
      <x:c r="Q210" s="5"/>
      <x:c r="R210" s="5"/>
      <x:c r="S210" s="5"/>
      <x:c r="T210" s="5" t="n">
        <x:v>0</x:v>
      </x:c>
      <x:c r="U210" s="5" t="n">
        <x:v>0</x:v>
      </x:c>
      <x:c r="V210" s="5" t="n">
        <x:v>1.5</x:v>
      </x:c>
      <x:c r="W210" s="5"/>
      <x:c r="X210" s="5"/>
      <x:c r="Y210" s="5"/>
      <x:c r="Z210" s="5" t="n">
        <x:v>412</x:v>
      </x:c>
      <x:c r="AA210" s="5" t="n">
        <x:v>393</x:v>
      </x:c>
      <x:c r="AB210" s="5" t="n">
        <x:v>525</x:v>
      </x:c>
      <x:c r="AC210" s="5" t="n">
        <x:v>675</x:v>
      </x:c>
      <x:c r="AD210" s="5" t="n">
        <x:v>843</x:v>
      </x:c>
      <x:c r="AE210" s="5" t="n">
        <x:v>680</x:v>
      </x:c>
      <x:c r="AF210" s="5"/>
      <x:c r="AG210" s="5"/>
      <x:c r="AH210" s="5"/>
      <x:c r="AI210" s="5"/>
      <x:c r="AJ210" s="5"/>
      <x:c r="AK210" s="5" t="n">
        <x:v>1370</x:v>
      </x:c>
      <x:c r="AL210" s="5" t="n">
        <x:v>1240</x:v>
      </x:c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 t="n">
        <x:v>68</x:v>
      </x:c>
      <x:c r="BA210" s="5" t="n">
        <x:v>38</x:v>
      </x:c>
      <x:c r="BB210" s="5"/>
      <x:c r="BC210" s="5"/>
      <x:c r="BD210" s="5"/>
      <x:c r="BE210" s="5"/>
      <x:c r="BF210" s="5"/>
      <x:c r="BG210" s="5"/>
      <x:c r="BH210" s="5"/>
      <x:c r="BI210" s="5"/>
      <x:c r="BJ210" s="5"/>
      <x:c r="BK210" s="5" t="n">
        <x:v>1524</x:v>
      </x:c>
      <x:c r="BL210" s="5" t="n">
        <x:v>1041.43</x:v>
      </x:c>
      <x:c r="BM210" s="5" t="n">
        <x:v>296.12</x:v>
      </x:c>
      <x:c r="BN210" s="5" t="n">
        <x:v>241.62</x:v>
      </x:c>
      <x:c r="BO210" s="5" t="n">
        <x:v>89.49</x:v>
      </x:c>
      <x:c r="BP210" s="5"/>
      <x:c r="BQ210" s="5"/>
      <x:c r="BR210" s="5"/>
      <x:c r="BS210" s="5"/>
      <x:c r="BT210" s="5"/>
      <x:c r="BU210" s="5"/>
      <x:c r="BV210" s="5"/>
      <x:c r="BW210" s="5"/>
      <x:c r="BX210" s="5"/>
      <x:c r="BY210" s="5"/>
      <x:c r="BZ210" s="5" t="n">
        <x:v>14.8</x:v>
      </x:c>
      <x:c r="CA210" s="5" t="n">
        <x:v>11.145</x:v>
      </x:c>
      <x:c r="CB210" s="5" t="n">
        <x:v>66.91</x:v>
      </x:c>
      <x:c r="CC210" s="5" t="n">
        <x:v>109.44</x:v>
      </x:c>
      <x:c r="CD210" s="5" t="n">
        <x:v>326.51</x:v>
      </x:c>
      <x:c r="CE210" s="5" t="n">
        <x:v>290.96</x:v>
      </x:c>
      <x:c r="CF210" s="5" t="n">
        <x:v>21.34</x:v>
      </x:c>
      <x:c r="CG210" s="5" t="n">
        <x:v>7.64</x:v>
      </x:c>
      <x:c r="CH210" s="5" t="n">
        <x:v>7.64</x:v>
      </x:c>
      <x:c r="CI210" s="5" t="n">
        <x:v>37.99</x:v>
      </x:c>
      <x:c r="CJ210" s="5" t="n">
        <x:v>36.85</x:v>
      </x:c>
      <x:c r="CK210" s="5" t="n">
        <x:v>23.44</x:v>
      </x:c>
      <x:c r="CL210" s="5" t="n">
        <x:v>28.28</x:v>
      </x:c>
      <x:c r="CM210" s="5" t="n">
        <x:v>81.52</x:v>
      </x:c>
      <x:c r="CN210" s="5"/>
      <x:c r="CO210" s="5"/>
      <x:c r="CP210" s="5"/>
      <x:c r="CQ210" s="5"/>
      <x:c r="CR210" s="5" t="n">
        <x:v>67.99</x:v>
      </x:c>
      <x:c r="CS210" s="5" t="n">
        <x:v>48.32</x:v>
      </x:c>
      <x:c r="CT210" s="5"/>
      <x:c r="CU210" s="5"/>
      <x:c r="CV210" s="5"/>
      <x:c r="CW210" s="5"/>
      <x:c r="CX210" s="5" t="n">
        <x:v>3.32</x:v>
      </x:c>
      <x:c r="CY210" s="5" t="n">
        <x:v>62.95</x:v>
      </x:c>
      <x:c r="CZ210" s="5" t="n">
        <x:v>121.84</x:v>
      </x:c>
      <x:c r="DA210" s="5" t="n">
        <x:v>4.98</x:v>
      </x:c>
      <x:c r="DB210" s="5"/>
      <x:c r="DC210" s="5" t="n">
        <x:v>2.77</x:v>
      </x:c>
      <x:c r="DD210" s="5" t="n">
        <x:v>132.65</x:v>
      </x:c>
      <x:c r="DE210" s="5" t="n">
        <x:v>20.72</x:v>
      </x:c>
      <x:c r="DF210" s="5" t="n">
        <x:v>47.51</x:v>
      </x:c>
      <x:c r="DG210" s="5" t="n">
        <x:v>11.62</x:v>
      </x:c>
      <x:c r="DH210" s="5" t="n">
        <x:v>85.23</x:v>
      </x:c>
      <x:c r="DI210" s="5" t="n">
        <x:v>8.52</x:v>
      </x:c>
      <x:c r="DJ210" s="5" t="n">
        <x:v>117.18</x:v>
      </x:c>
      <x:c r="DK210" s="5" t="n">
        <x:v>11.93</x:v>
      </x:c>
      <x:c r="DL210" s="5" t="n">
        <x:v>18.73</x:v>
      </x:c>
      <x:c r="DM210" s="5" t="n">
        <x:v>6.82</x:v>
      </x:c>
    </x:row>
    <x:row r="211">
      <x:c r="A211" s="5" t="n">
        <x:v>206</x:v>
      </x:c>
      <x:c r="B211" s="5"/>
      <x:c r="C211" s="5" t="str">
        <x:v>3268-49-3</x:v>
      </x:c>
      <x:c r="D211" s="5"/>
      <x:c r="E211" s="5"/>
      <x:c r="F211" s="5" t="n">
        <x:v>369</x:v>
      </x:c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  <x:c r="BA211" s="5"/>
      <x:c r="BB211" s="5"/>
      <x:c r="BC211" s="5"/>
      <x:c r="BD211" s="5"/>
      <x:c r="BE211" s="5"/>
      <x:c r="BF211" s="5"/>
      <x:c r="BG211" s="5"/>
      <x:c r="BH211" s="5"/>
      <x:c r="BI211" s="5"/>
      <x:c r="BJ211" s="5"/>
      <x:c r="BK211" s="5"/>
      <x:c r="BL211" s="5"/>
      <x:c r="BM211" s="5"/>
      <x:c r="BN211" s="5"/>
      <x:c r="BO211" s="5"/>
      <x:c r="BP211" s="5"/>
      <x:c r="BQ211" s="5"/>
      <x:c r="BR211" s="5"/>
      <x:c r="BS211" s="5"/>
      <x:c r="BT211" s="5"/>
      <x:c r="BU211" s="5"/>
      <x:c r="BV211" s="5"/>
      <x:c r="BW211" s="5"/>
      <x:c r="BX211" s="5"/>
      <x:c r="BY211" s="5"/>
      <x:c r="BZ211" s="5"/>
      <x:c r="CA211" s="5"/>
      <x:c r="CB211" s="5"/>
      <x:c r="CC211" s="5"/>
      <x:c r="CD211" s="5"/>
      <x:c r="CE211" s="5"/>
      <x:c r="CF211" s="5"/>
      <x:c r="CG211" s="5"/>
      <x:c r="CH211" s="5"/>
      <x:c r="CI211" s="5"/>
      <x:c r="CJ211" s="5"/>
      <x:c r="CK211" s="5"/>
      <x:c r="CL211" s="5"/>
      <x:c r="CM211" s="5"/>
      <x:c r="CN211" s="5"/>
      <x:c r="CO211" s="5"/>
      <x:c r="CP211" s="5"/>
      <x:c r="CQ211" s="5"/>
      <x:c r="CR211" s="5"/>
      <x:c r="CS211" s="5"/>
      <x:c r="CT211" s="5"/>
      <x:c r="CU211" s="5"/>
      <x:c r="CV211" s="5"/>
      <x:c r="CW211" s="5"/>
      <x:c r="CX211" s="5"/>
      <x:c r="CY211" s="5"/>
      <x:c r="CZ211" s="5"/>
      <x:c r="DA211" s="5"/>
      <x:c r="DB211" s="5"/>
      <x:c r="DC211" s="5"/>
      <x:c r="DD211" s="5"/>
      <x:c r="DE211" s="5"/>
      <x:c r="DF211" s="5"/>
      <x:c r="DG211" s="5"/>
      <x:c r="DH211" s="5"/>
      <x:c r="DI211" s="5"/>
      <x:c r="DJ211" s="5"/>
      <x:c r="DK211" s="5"/>
      <x:c r="DL211" s="5"/>
      <x:c r="DM211" s="5"/>
    </x:row>
    <x:row r="212">
      <x:c r="A212" s="5" t="n">
        <x:v>207</x:v>
      </x:c>
      <x:c r="B212" s="5" t="str">
        <x:v>1-辛烯-3-醇</x:v>
      </x:c>
      <x:c r="C212" s="5" t="str">
        <x:v>3391-86-4</x:v>
      </x:c>
      <x:c r="D212" s="5" t="n">
        <x:v>6.12</x:v>
      </x:c>
      <x:c r="E212" s="5"/>
      <x:c r="F212" s="5"/>
      <x:c r="G212" s="5"/>
      <x:c r="H212" s="5"/>
      <x:c r="I212" s="5"/>
      <x:c r="J212" s="5"/>
      <x:c r="K212" s="5" t="n">
        <x:v>13.43</x:v>
      </x:c>
      <x:c r="L212" s="5" t="n">
        <x:v>1</x:v>
      </x:c>
      <x:c r="M212" s="5" t="n">
        <x:v>1</x:v>
      </x:c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  <x:c r="BA212" s="5"/>
      <x:c r="BB212" s="5"/>
      <x:c r="BC212" s="5"/>
      <x:c r="BD212" s="5"/>
      <x:c r="BE212" s="5"/>
      <x:c r="BF212" s="5"/>
      <x:c r="BG212" s="5"/>
      <x:c r="BH212" s="5"/>
      <x:c r="BI212" s="5"/>
      <x:c r="BJ212" s="5"/>
      <x:c r="BK212" s="5"/>
      <x:c r="BL212" s="5"/>
      <x:c r="BM212" s="5"/>
      <x:c r="BN212" s="5"/>
      <x:c r="BO212" s="5"/>
      <x:c r="BP212" s="5"/>
      <x:c r="BQ212" s="5"/>
      <x:c r="BR212" s="5"/>
      <x:c r="BS212" s="5"/>
      <x:c r="BT212" s="5"/>
      <x:c r="BU212" s="5"/>
      <x:c r="BV212" s="5"/>
      <x:c r="BW212" s="5"/>
      <x:c r="BX212" s="5"/>
      <x:c r="BY212" s="5"/>
      <x:c r="BZ212" s="5"/>
      <x:c r="CA212" s="5"/>
      <x:c r="CB212" s="5"/>
      <x:c r="CC212" s="5"/>
      <x:c r="CD212" s="5"/>
      <x:c r="CE212" s="5"/>
      <x:c r="CF212" s="5"/>
      <x:c r="CG212" s="5"/>
      <x:c r="CH212" s="5"/>
      <x:c r="CI212" s="5"/>
      <x:c r="CJ212" s="5"/>
      <x:c r="CK212" s="5"/>
      <x:c r="CL212" s="5"/>
      <x:c r="CM212" s="5"/>
      <x:c r="CN212" s="5"/>
      <x:c r="CO212" s="5"/>
      <x:c r="CP212" s="5"/>
      <x:c r="CQ212" s="5"/>
      <x:c r="CR212" s="5"/>
      <x:c r="CS212" s="5"/>
      <x:c r="CT212" s="5"/>
      <x:c r="CU212" s="5"/>
      <x:c r="CV212" s="5"/>
      <x:c r="CW212" s="5"/>
      <x:c r="CX212" s="5" t="n">
        <x:v>128.38</x:v>
      </x:c>
      <x:c r="CY212" s="5" t="n">
        <x:v>256.41</x:v>
      </x:c>
      <x:c r="CZ212" s="5" t="n">
        <x:v>15.31</x:v>
      </x:c>
      <x:c r="DA212" s="5" t="n">
        <x:v>89.57</x:v>
      </x:c>
      <x:c r="DB212" s="5" t="n">
        <x:v>124.17</x:v>
      </x:c>
      <x:c r="DC212" s="5" t="n">
        <x:v>90.64</x:v>
      </x:c>
      <x:c r="DD212" s="5" t="n">
        <x:v>194.74</x:v>
      </x:c>
      <x:c r="DE212" s="5" t="n">
        <x:v>131.7</x:v>
      </x:c>
      <x:c r="DF212" s="5" t="n">
        <x:v>271.45</x:v>
      </x:c>
      <x:c r="DG212" s="5" t="n">
        <x:v>99.18</x:v>
      </x:c>
      <x:c r="DH212" s="5" t="n">
        <x:v>120</x:v>
      </x:c>
      <x:c r="DI212" s="5" t="n">
        <x:v>99.15</x:v>
      </x:c>
      <x:c r="DJ212" s="5" t="n">
        <x:v>151.45</x:v>
      </x:c>
      <x:c r="DK212" s="5" t="n">
        <x:v>88.51</x:v>
      </x:c>
      <x:c r="DL212" s="5" t="n">
        <x:v>101.54</x:v>
      </x:c>
      <x:c r="DM212" s="5" t="n">
        <x:v>93.56</x:v>
      </x:c>
    </x:row>
    <x:row r="213">
      <x:c r="A213" s="5" t="n">
        <x:v>208</x:v>
      </x:c>
      <x:c r="B213" s="5"/>
      <x:c r="C213" s="5" t="str">
        <x:v>3658-79-5</x:v>
      </x:c>
      <x:c r="D213" s="5"/>
      <x:c r="E213" s="5"/>
      <x:c r="F213" s="5"/>
      <x:c r="G213" s="5"/>
      <x:c r="H213" s="5"/>
      <x:c r="I213" s="5" t="n">
        <x:v>1.39</x:v>
      </x:c>
      <x:c r="J213" s="5"/>
      <x:c r="K213" s="5" t="n">
        <x:v>0.33</x:v>
      </x:c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  <x:c r="BA213" s="5"/>
      <x:c r="BB213" s="5"/>
      <x:c r="BC213" s="5"/>
      <x:c r="BD213" s="5"/>
      <x:c r="BE213" s="5"/>
      <x:c r="BF213" s="5"/>
      <x:c r="BG213" s="5"/>
      <x:c r="BH213" s="5"/>
      <x:c r="BI213" s="5"/>
      <x:c r="BJ213" s="5"/>
      <x:c r="BK213" s="5"/>
      <x:c r="BL213" s="5"/>
      <x:c r="BM213" s="5"/>
      <x:c r="BN213" s="5"/>
      <x:c r="BO213" s="5"/>
      <x:c r="BP213" s="5"/>
      <x:c r="BQ213" s="5"/>
      <x:c r="BR213" s="5"/>
      <x:c r="BS213" s="5"/>
      <x:c r="BT213" s="5"/>
      <x:c r="BU213" s="5"/>
      <x:c r="BV213" s="5"/>
      <x:c r="BW213" s="5"/>
      <x:c r="BX213" s="5"/>
      <x:c r="BY213" s="5"/>
      <x:c r="BZ213" s="5"/>
      <x:c r="CA213" s="5"/>
      <x:c r="CB213" s="5"/>
      <x:c r="CC213" s="5"/>
      <x:c r="CD213" s="5"/>
      <x:c r="CE213" s="5"/>
      <x:c r="CF213" s="5"/>
      <x:c r="CG213" s="5"/>
      <x:c r="CH213" s="5"/>
      <x:c r="CI213" s="5"/>
      <x:c r="CJ213" s="5"/>
      <x:c r="CK213" s="5"/>
      <x:c r="CL213" s="5"/>
      <x:c r="CM213" s="5"/>
      <x:c r="CN213" s="5"/>
      <x:c r="CO213" s="5"/>
      <x:c r="CP213" s="5"/>
      <x:c r="CQ213" s="5"/>
      <x:c r="CR213" s="5"/>
      <x:c r="CS213" s="5"/>
      <x:c r="CT213" s="5"/>
      <x:c r="CU213" s="5"/>
      <x:c r="CV213" s="5"/>
      <x:c r="CW213" s="5"/>
      <x:c r="CX213" s="5"/>
      <x:c r="CY213" s="5"/>
      <x:c r="CZ213" s="5"/>
      <x:c r="DA213" s="5"/>
      <x:c r="DB213" s="5"/>
      <x:c r="DC213" s="5"/>
      <x:c r="DD213" s="5"/>
      <x:c r="DE213" s="5"/>
      <x:c r="DF213" s="5"/>
      <x:c r="DG213" s="5"/>
      <x:c r="DH213" s="5"/>
      <x:c r="DI213" s="5"/>
      <x:c r="DJ213" s="5"/>
      <x:c r="DK213" s="5"/>
      <x:c r="DL213" s="5"/>
      <x:c r="DM213" s="5"/>
    </x:row>
    <x:row r="214">
      <x:c r="A214" s="5" t="n">
        <x:v>209</x:v>
      </x:c>
      <x:c r="B214" s="5" t="str">
        <x:v>二甲基三硫醚</x:v>
      </x:c>
      <x:c r="C214" s="5" t="str">
        <x:v>3658-80-8</x:v>
      </x:c>
      <x:c r="D214" s="5" t="n">
        <x:v>0.36</x:v>
      </x:c>
      <x:c r="E214" s="5" t="n">
        <x:v>26</x:v>
      </x:c>
      <x:c r="F214" s="5" t="n">
        <x:v>187</x:v>
      </x:c>
      <x:c r="G214" s="5"/>
      <x:c r="H214" s="5"/>
      <x:c r="I214" s="5"/>
      <x:c r="J214" s="5"/>
      <x:c r="K214" s="5" t="n">
        <x:v>0.28</x:v>
      </x:c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  <x:c r="BA214" s="5"/>
      <x:c r="BB214" s="5"/>
      <x:c r="BC214" s="5"/>
      <x:c r="BD214" s="5"/>
      <x:c r="BE214" s="5"/>
      <x:c r="BF214" s="5"/>
      <x:c r="BG214" s="5"/>
      <x:c r="BH214" s="5"/>
      <x:c r="BI214" s="5"/>
      <x:c r="BJ214" s="5"/>
      <x:c r="BK214" s="5"/>
      <x:c r="BL214" s="5"/>
      <x:c r="BM214" s="5"/>
      <x:c r="BN214" s="5"/>
      <x:c r="BO214" s="5"/>
      <x:c r="BP214" s="5"/>
      <x:c r="BQ214" s="5"/>
      <x:c r="BR214" s="5"/>
      <x:c r="BS214" s="5"/>
      <x:c r="BT214" s="5"/>
      <x:c r="BU214" s="5"/>
      <x:c r="BV214" s="5"/>
      <x:c r="BW214" s="5"/>
      <x:c r="BX214" s="5"/>
      <x:c r="BY214" s="5"/>
      <x:c r="BZ214" s="5" t="n">
        <x:v>3110.52</x:v>
      </x:c>
      <x:c r="CA214" s="5" t="n">
        <x:v>2927.9567</x:v>
      </x:c>
      <x:c r="CB214" s="5" t="n">
        <x:v>2623.03</x:v>
      </x:c>
      <x:c r="CC214" s="5" t="n">
        <x:v>1777.63</x:v>
      </x:c>
      <x:c r="CD214" s="5" t="n">
        <x:v>4201.44</x:v>
      </x:c>
      <x:c r="CE214" s="5" t="n">
        <x:v>2533.63</x:v>
      </x:c>
      <x:c r="CF214" s="5" t="n">
        <x:v>1635.57</x:v>
      </x:c>
      <x:c r="CG214" s="5" t="n">
        <x:v>1060.51</x:v>
      </x:c>
      <x:c r="CH214" s="5" t="n">
        <x:v>1035.13</x:v>
      </x:c>
      <x:c r="CI214" s="5" t="n">
        <x:v>3292.75</x:v>
      </x:c>
      <x:c r="CJ214" s="5" t="n">
        <x:v>1525.2</x:v>
      </x:c>
      <x:c r="CK214" s="5" t="n">
        <x:v>1343</x:v>
      </x:c>
      <x:c r="CL214" s="5" t="n">
        <x:v>1698.84</x:v>
      </x:c>
      <x:c r="CM214" s="5" t="n">
        <x:v>1784.33</x:v>
      </x:c>
      <x:c r="CN214" s="5"/>
      <x:c r="CO214" s="5"/>
      <x:c r="CP214" s="5"/>
      <x:c r="CQ214" s="5"/>
      <x:c r="CR214" s="5"/>
      <x:c r="CS214" s="5"/>
      <x:c r="CT214" s="5"/>
      <x:c r="CU214" s="5"/>
      <x:c r="CV214" s="5"/>
      <x:c r="CW214" s="5"/>
      <x:c r="CX214" s="5"/>
      <x:c r="CY214" s="5" t="n">
        <x:v>132.35</x:v>
      </x:c>
      <x:c r="CZ214" s="5" t="n">
        <x:v>124.89</x:v>
      </x:c>
      <x:c r="DA214" s="5"/>
      <x:c r="DB214" s="5" t="n">
        <x:v>15.32</x:v>
      </x:c>
      <x:c r="DC214" s="5"/>
      <x:c r="DD214" s="5" t="n">
        <x:v>67</x:v>
      </x:c>
      <x:c r="DE214" s="5" t="n">
        <x:v>59.87</x:v>
      </x:c>
      <x:c r="DF214" s="5" t="n">
        <x:v>211.62</x:v>
      </x:c>
      <x:c r="DG214" s="5" t="n">
        <x:v>35.18</x:v>
      </x:c>
      <x:c r="DH214" s="5" t="n">
        <x:v>203.57</x:v>
      </x:c>
      <x:c r="DI214" s="5"/>
      <x:c r="DJ214" s="5" t="n">
        <x:v>193.16</x:v>
      </x:c>
      <x:c r="DK214" s="5"/>
      <x:c r="DL214" s="5" t="n">
        <x:v>73.68</x:v>
      </x:c>
      <x:c r="DM214" s="5" t="n">
        <x:v>73.32</x:v>
      </x:c>
    </x:row>
    <x:row r="215">
      <x:c r="A215" s="5" t="n">
        <x:v>210</x:v>
      </x:c>
      <x:c r="B215" s="5"/>
      <x:c r="C215" s="5" t="str">
        <x:v>3658-93-3</x:v>
      </x:c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 t="n">
        <x:v>280</x:v>
      </x:c>
      <x:c r="AF215" s="5" t="n">
        <x:v>70</x:v>
      </x:c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  <x:c r="BA215" s="5"/>
      <x:c r="BB215" s="5"/>
      <x:c r="BC215" s="5"/>
      <x:c r="BD215" s="5"/>
      <x:c r="BE215" s="5"/>
      <x:c r="BF215" s="5"/>
      <x:c r="BG215" s="5"/>
      <x:c r="BH215" s="5"/>
      <x:c r="BI215" s="5"/>
      <x:c r="BJ215" s="5"/>
      <x:c r="BK215" s="5"/>
      <x:c r="BL215" s="5"/>
      <x:c r="BM215" s="5"/>
      <x:c r="BN215" s="5"/>
      <x:c r="BO215" s="5"/>
      <x:c r="BP215" s="5"/>
      <x:c r="BQ215" s="5"/>
      <x:c r="BR215" s="5"/>
      <x:c r="BS215" s="5"/>
      <x:c r="BT215" s="5"/>
      <x:c r="BU215" s="5"/>
      <x:c r="BV215" s="5"/>
      <x:c r="BW215" s="5"/>
      <x:c r="BX215" s="5"/>
      <x:c r="BY215" s="5"/>
      <x:c r="BZ215" s="5"/>
      <x:c r="CA215" s="5"/>
      <x:c r="CB215" s="5"/>
      <x:c r="CC215" s="5"/>
      <x:c r="CD215" s="5"/>
      <x:c r="CE215" s="5"/>
      <x:c r="CF215" s="5"/>
      <x:c r="CG215" s="5"/>
      <x:c r="CH215" s="5"/>
      <x:c r="CI215" s="5"/>
      <x:c r="CJ215" s="5"/>
      <x:c r="CK215" s="5"/>
      <x:c r="CL215" s="5"/>
      <x:c r="CM215" s="5"/>
      <x:c r="CN215" s="5"/>
      <x:c r="CO215" s="5"/>
      <x:c r="CP215" s="5"/>
      <x:c r="CQ215" s="5"/>
      <x:c r="CR215" s="5"/>
      <x:c r="CS215" s="5"/>
      <x:c r="CT215" s="5"/>
      <x:c r="CU215" s="5"/>
      <x:c r="CV215" s="5"/>
      <x:c r="CW215" s="5"/>
      <x:c r="CX215" s="5"/>
      <x:c r="CY215" s="5"/>
      <x:c r="CZ215" s="5"/>
      <x:c r="DA215" s="5"/>
      <x:c r="DB215" s="5"/>
      <x:c r="DC215" s="5"/>
      <x:c r="DD215" s="5"/>
      <x:c r="DE215" s="5"/>
      <x:c r="DF215" s="5"/>
      <x:c r="DG215" s="5"/>
      <x:c r="DH215" s="5"/>
      <x:c r="DI215" s="5"/>
      <x:c r="DJ215" s="5"/>
      <x:c r="DK215" s="5"/>
      <x:c r="DL215" s="5"/>
      <x:c r="DM215" s="5"/>
    </x:row>
    <x:row r="216">
      <x:c r="A216" s="5" t="n">
        <x:v>211</x:v>
      </x:c>
      <x:c r="B216" s="5"/>
      <x:c r="C216" s="5" t="str">
        <x:v>3760-11-0</x:v>
      </x:c>
      <x:c r="D216" s="5"/>
      <x:c r="E216" s="5"/>
      <x:c r="F216" s="5"/>
      <x:c r="G216" s="5" t="n">
        <x:v>11.32</x:v>
      </x:c>
      <x:c r="H216" s="5"/>
      <x:c r="I216" s="5" t="n">
        <x:v>1.16</x:v>
      </x:c>
      <x:c r="J216" s="5" t="n">
        <x:v>1.57</x:v>
      </x:c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  <x:c r="BA216" s="5"/>
      <x:c r="BB216" s="5"/>
      <x:c r="BC216" s="5"/>
      <x:c r="BD216" s="5"/>
      <x:c r="BE216" s="5"/>
      <x:c r="BF216" s="5"/>
      <x:c r="BG216" s="5"/>
      <x:c r="BH216" s="5"/>
      <x:c r="BI216" s="5"/>
      <x:c r="BJ216" s="5"/>
      <x:c r="BK216" s="5"/>
      <x:c r="BL216" s="5"/>
      <x:c r="BM216" s="5"/>
      <x:c r="BN216" s="5"/>
      <x:c r="BO216" s="5"/>
      <x:c r="BP216" s="5"/>
      <x:c r="BQ216" s="5"/>
      <x:c r="BR216" s="5"/>
      <x:c r="BS216" s="5"/>
      <x:c r="BT216" s="5"/>
      <x:c r="BU216" s="5"/>
      <x:c r="BV216" s="5"/>
      <x:c r="BW216" s="5"/>
      <x:c r="BX216" s="5"/>
      <x:c r="BY216" s="5"/>
      <x:c r="BZ216" s="5"/>
      <x:c r="CA216" s="5"/>
      <x:c r="CB216" s="5"/>
      <x:c r="CC216" s="5"/>
      <x:c r="CD216" s="5"/>
      <x:c r="CE216" s="5"/>
      <x:c r="CF216" s="5"/>
      <x:c r="CG216" s="5"/>
      <x:c r="CH216" s="5"/>
      <x:c r="CI216" s="5"/>
      <x:c r="CJ216" s="5"/>
      <x:c r="CK216" s="5"/>
      <x:c r="CL216" s="5"/>
      <x:c r="CM216" s="5"/>
      <x:c r="CN216" s="5"/>
      <x:c r="CO216" s="5"/>
      <x:c r="CP216" s="5"/>
      <x:c r="CQ216" s="5"/>
      <x:c r="CR216" s="5"/>
      <x:c r="CS216" s="5"/>
      <x:c r="CT216" s="5"/>
      <x:c r="CU216" s="5"/>
      <x:c r="CV216" s="5"/>
      <x:c r="CW216" s="5"/>
      <x:c r="CX216" s="5"/>
      <x:c r="CY216" s="5"/>
      <x:c r="CZ216" s="5"/>
      <x:c r="DA216" s="5"/>
      <x:c r="DB216" s="5"/>
      <x:c r="DC216" s="5"/>
      <x:c r="DD216" s="5"/>
      <x:c r="DE216" s="5"/>
      <x:c r="DF216" s="5"/>
      <x:c r="DG216" s="5"/>
      <x:c r="DH216" s="5"/>
      <x:c r="DI216" s="5"/>
      <x:c r="DJ216" s="5"/>
      <x:c r="DK216" s="5"/>
      <x:c r="DL216" s="5"/>
      <x:c r="DM216" s="5"/>
    </x:row>
    <x:row r="217">
      <x:c r="A217" s="5" t="n">
        <x:v>212</x:v>
      </x:c>
      <x:c r="B217" s="5" t="str">
        <x:v>香叶基丙酮</x:v>
      </x:c>
      <x:c r="C217" s="5" t="str">
        <x:v>3796-70-1</x:v>
      </x:c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  <x:c r="AJ217" s="5"/>
      <x:c r="AK217" s="5"/>
      <x:c r="AL217" s="5"/>
      <x:c r="AM217" s="5"/>
      <x:c r="AN217" s="5"/>
      <x:c r="AO217" s="5"/>
      <x:c r="AP217" s="5"/>
      <x:c r="AQ217" s="5"/>
      <x:c r="AR217" s="5"/>
      <x:c r="AS217" s="5"/>
      <x:c r="AT217" s="5"/>
      <x:c r="AU217" s="5"/>
      <x:c r="AV217" s="5"/>
      <x:c r="AW217" s="5"/>
      <x:c r="AX217" s="5"/>
      <x:c r="AY217" s="5"/>
      <x:c r="AZ217" s="5"/>
      <x:c r="BA217" s="5"/>
      <x:c r="BB217" s="5"/>
      <x:c r="BC217" s="5"/>
      <x:c r="BD217" s="5"/>
      <x:c r="BE217" s="5"/>
      <x:c r="BF217" s="5"/>
      <x:c r="BG217" s="5"/>
      <x:c r="BH217" s="5"/>
      <x:c r="BI217" s="5"/>
      <x:c r="BJ217" s="5"/>
      <x:c r="BK217" s="5"/>
      <x:c r="BL217" s="5"/>
      <x:c r="BM217" s="5"/>
      <x:c r="BN217" s="5"/>
      <x:c r="BO217" s="5"/>
      <x:c r="BP217" s="5"/>
      <x:c r="BQ217" s="5"/>
      <x:c r="BR217" s="5"/>
      <x:c r="BS217" s="5"/>
      <x:c r="BT217" s="5"/>
      <x:c r="BU217" s="5"/>
      <x:c r="BV217" s="5"/>
      <x:c r="BW217" s="5"/>
      <x:c r="BX217" s="5"/>
      <x:c r="BY217" s="5"/>
      <x:c r="BZ217" s="5" t="n">
        <x:v>5.18</x:v>
      </x:c>
      <x:c r="CA217" s="5" t="n">
        <x:v>7.15</x:v>
      </x:c>
      <x:c r="CB217" s="5" t="n">
        <x:v>26.89</x:v>
      </x:c>
      <x:c r="CC217" s="5"/>
      <x:c r="CD217" s="5" t="n">
        <x:v>28.54</x:v>
      </x:c>
      <x:c r="CE217" s="5" t="n">
        <x:v>28.28</x:v>
      </x:c>
      <x:c r="CF217" s="5" t="n">
        <x:v>12.6</x:v>
      </x:c>
      <x:c r="CG217" s="5" t="n">
        <x:v>12.19</x:v>
      </x:c>
      <x:c r="CH217" s="5" t="n">
        <x:v>8.88</x:v>
      </x:c>
      <x:c r="CI217" s="5" t="n">
        <x:v>32.85</x:v>
      </x:c>
      <x:c r="CJ217" s="5" t="n">
        <x:v>4.5</x:v>
      </x:c>
      <x:c r="CK217" s="5" t="n">
        <x:v>11.93</x:v>
      </x:c>
      <x:c r="CL217" s="5" t="n">
        <x:v>15.06</x:v>
      </x:c>
      <x:c r="CM217" s="5"/>
      <x:c r="CN217" s="5"/>
      <x:c r="CO217" s="5"/>
      <x:c r="CP217" s="5"/>
      <x:c r="CQ217" s="5"/>
      <x:c r="CR217" s="5"/>
      <x:c r="CS217" s="5"/>
      <x:c r="CT217" s="5"/>
      <x:c r="CU217" s="5"/>
      <x:c r="CV217" s="5"/>
      <x:c r="CW217" s="5"/>
      <x:c r="CX217" s="5"/>
      <x:c r="CY217" s="5"/>
      <x:c r="CZ217" s="5"/>
      <x:c r="DA217" s="5"/>
      <x:c r="DB217" s="5"/>
      <x:c r="DC217" s="5"/>
      <x:c r="DD217" s="5"/>
      <x:c r="DE217" s="5"/>
      <x:c r="DF217" s="5"/>
      <x:c r="DG217" s="5"/>
      <x:c r="DH217" s="5"/>
      <x:c r="DI217" s="5"/>
      <x:c r="DJ217" s="5"/>
      <x:c r="DK217" s="5"/>
      <x:c r="DL217" s="5"/>
      <x:c r="DM217" s="5"/>
    </x:row>
    <x:row r="218">
      <x:c r="A218" s="5" t="n">
        <x:v>213</x:v>
      </x:c>
      <x:c r="B218" s="5" t="str">
        <x:v>异丁醛二乙缩醛</x:v>
      </x:c>
      <x:c r="C218" s="5" t="str">
        <x:v>3842-03-3</x:v>
      </x:c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 t="n">
        <x:v>32.54</x:v>
      </x:c>
      <x:c r="AR218" s="5" t="n">
        <x:v>15.34</x:v>
      </x:c>
      <x:c r="AS218" s="5" t="n">
        <x:v>61</x:v>
      </x:c>
      <x:c r="AT218" s="5" t="n">
        <x:v>41.62</x:v>
      </x:c>
      <x:c r="AU218" s="5"/>
      <x:c r="AV218" s="5"/>
      <x:c r="AW218" s="5"/>
      <x:c r="AX218" s="5"/>
      <x:c r="AY218" s="5"/>
      <x:c r="AZ218" s="5"/>
      <x:c r="BA218" s="5" t="n">
        <x:v>931</x:v>
      </x:c>
      <x:c r="BB218" s="5"/>
      <x:c r="BC218" s="5"/>
      <x:c r="BD218" s="5"/>
      <x:c r="BE218" s="5"/>
      <x:c r="BF218" s="5"/>
      <x:c r="BG218" s="5"/>
      <x:c r="BH218" s="5"/>
      <x:c r="BI218" s="5"/>
      <x:c r="BJ218" s="5"/>
      <x:c r="BK218" s="5"/>
      <x:c r="BL218" s="5"/>
      <x:c r="BM218" s="5"/>
      <x:c r="BN218" s="5"/>
      <x:c r="BO218" s="5"/>
      <x:c r="BP218" s="5"/>
      <x:c r="BQ218" s="5"/>
      <x:c r="BR218" s="5"/>
      <x:c r="BS218" s="5"/>
      <x:c r="BT218" s="5"/>
      <x:c r="BU218" s="5"/>
      <x:c r="BV218" s="5"/>
      <x:c r="BW218" s="5"/>
      <x:c r="BX218" s="5"/>
      <x:c r="BY218" s="5"/>
      <x:c r="BZ218" s="5"/>
      <x:c r="CA218" s="5"/>
      <x:c r="CB218" s="5"/>
      <x:c r="CC218" s="5"/>
      <x:c r="CD218" s="5"/>
      <x:c r="CE218" s="5"/>
      <x:c r="CF218" s="5"/>
      <x:c r="CG218" s="5"/>
      <x:c r="CH218" s="5"/>
      <x:c r="CI218" s="5"/>
      <x:c r="CJ218" s="5"/>
      <x:c r="CK218" s="5"/>
      <x:c r="CL218" s="5"/>
      <x:c r="CM218" s="5"/>
      <x:c r="CN218" s="5"/>
      <x:c r="CO218" s="5"/>
      <x:c r="CP218" s="5"/>
      <x:c r="CQ218" s="5"/>
      <x:c r="CR218" s="5"/>
      <x:c r="CS218" s="5"/>
      <x:c r="CT218" s="5"/>
      <x:c r="CU218" s="5"/>
      <x:c r="CV218" s="5"/>
      <x:c r="CW218" s="5"/>
      <x:c r="CX218" s="5"/>
      <x:c r="CY218" s="5"/>
      <x:c r="CZ218" s="5"/>
      <x:c r="DA218" s="5"/>
      <x:c r="DB218" s="5"/>
      <x:c r="DC218" s="5"/>
      <x:c r="DD218" s="5"/>
      <x:c r="DE218" s="5"/>
      <x:c r="DF218" s="5"/>
      <x:c r="DG218" s="5"/>
      <x:c r="DH218" s="5"/>
      <x:c r="DI218" s="5"/>
      <x:c r="DJ218" s="5"/>
      <x:c r="DK218" s="5"/>
      <x:c r="DL218" s="5"/>
      <x:c r="DM218" s="5"/>
    </x:row>
    <x:row r="219">
      <x:c r="A219" s="5" t="n">
        <x:v>214</x:v>
      </x:c>
      <x:c r="B219" s="5"/>
      <x:c r="C219" s="5" t="str">
        <x:v>4412-16-2</x:v>
      </x:c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 t="n">
        <x:v>474</x:v>
      </x:c>
      <x:c r="O219" s="5" t="n">
        <x:v>1323</x:v>
      </x:c>
      <x:c r="P219" s="5" t="n">
        <x:v>1497</x:v>
      </x:c>
      <x:c r="Q219" s="5" t="n">
        <x:v>1148</x:v>
      </x:c>
      <x:c r="R219" s="5" t="n">
        <x:v>1262</x:v>
      </x:c>
      <x:c r="S219" s="5" t="n">
        <x:v>1555</x:v>
      </x:c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  <x:c r="AJ219" s="5"/>
      <x:c r="AK219" s="5"/>
      <x:c r="AL219" s="5"/>
      <x:c r="AM219" s="5"/>
      <x:c r="AN219" s="5"/>
      <x:c r="AO219" s="5"/>
      <x:c r="AP219" s="5"/>
      <x:c r="AQ219" s="5"/>
      <x:c r="AR219" s="5"/>
      <x:c r="AS219" s="5"/>
      <x:c r="AT219" s="5"/>
      <x:c r="AU219" s="5"/>
      <x:c r="AV219" s="5"/>
      <x:c r="AW219" s="5"/>
      <x:c r="AX219" s="5"/>
      <x:c r="AY219" s="5"/>
      <x:c r="AZ219" s="5"/>
      <x:c r="BA219" s="5"/>
      <x:c r="BB219" s="5"/>
      <x:c r="BC219" s="5"/>
      <x:c r="BD219" s="5"/>
      <x:c r="BE219" s="5"/>
      <x:c r="BF219" s="5"/>
      <x:c r="BG219" s="5"/>
      <x:c r="BH219" s="5"/>
      <x:c r="BI219" s="5"/>
      <x:c r="BJ219" s="5"/>
      <x:c r="BK219" s="5"/>
      <x:c r="BL219" s="5"/>
      <x:c r="BM219" s="5"/>
      <x:c r="BN219" s="5"/>
      <x:c r="BO219" s="5"/>
      <x:c r="BP219" s="5"/>
      <x:c r="BQ219" s="5"/>
      <x:c r="BR219" s="5"/>
      <x:c r="BS219" s="5"/>
      <x:c r="BT219" s="5"/>
      <x:c r="BU219" s="5"/>
      <x:c r="BV219" s="5"/>
      <x:c r="BW219" s="5"/>
      <x:c r="BX219" s="5"/>
      <x:c r="BY219" s="5"/>
      <x:c r="BZ219" s="5"/>
      <x:c r="CA219" s="5"/>
      <x:c r="CB219" s="5"/>
      <x:c r="CC219" s="5"/>
      <x:c r="CD219" s="5"/>
      <x:c r="CE219" s="5"/>
      <x:c r="CF219" s="5"/>
      <x:c r="CG219" s="5"/>
      <x:c r="CH219" s="5"/>
      <x:c r="CI219" s="5"/>
      <x:c r="CJ219" s="5"/>
      <x:c r="CK219" s="5"/>
      <x:c r="CL219" s="5"/>
      <x:c r="CM219" s="5"/>
      <x:c r="CN219" s="5"/>
      <x:c r="CO219" s="5"/>
      <x:c r="CP219" s="5"/>
      <x:c r="CQ219" s="5"/>
      <x:c r="CR219" s="5"/>
      <x:c r="CS219" s="5"/>
      <x:c r="CT219" s="5"/>
      <x:c r="CU219" s="5"/>
      <x:c r="CV219" s="5"/>
      <x:c r="CW219" s="5"/>
      <x:c r="CX219" s="5"/>
      <x:c r="CY219" s="5"/>
      <x:c r="CZ219" s="5"/>
      <x:c r="DA219" s="5"/>
      <x:c r="DB219" s="5"/>
      <x:c r="DC219" s="5"/>
      <x:c r="DD219" s="5"/>
      <x:c r="DE219" s="5"/>
      <x:c r="DF219" s="5"/>
      <x:c r="DG219" s="5"/>
      <x:c r="DH219" s="5"/>
      <x:c r="DI219" s="5"/>
      <x:c r="DJ219" s="5"/>
      <x:c r="DK219" s="5"/>
      <x:c r="DL219" s="5"/>
      <x:c r="DM219" s="5"/>
    </x:row>
    <x:row r="220">
      <x:c r="A220" s="5" t="n">
        <x:v>215</x:v>
      </x:c>
      <x:c r="B220" s="5"/>
      <x:c r="C220" s="5" t="str">
        <x:v>4437-22-3</x:v>
      </x:c>
      <x:c r="D220" s="5"/>
      <x:c r="E220" s="5"/>
      <x:c r="F220" s="5"/>
      <x:c r="G220" s="5" t="n">
        <x:v>0.36</x:v>
      </x:c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  <x:c r="BA220" s="5"/>
      <x:c r="BB220" s="5"/>
      <x:c r="BC220" s="5"/>
      <x:c r="BD220" s="5"/>
      <x:c r="BE220" s="5"/>
      <x:c r="BF220" s="5"/>
      <x:c r="BG220" s="5"/>
      <x:c r="BH220" s="5"/>
      <x:c r="BI220" s="5"/>
      <x:c r="BJ220" s="5"/>
      <x:c r="BK220" s="5"/>
      <x:c r="BL220" s="5"/>
      <x:c r="BM220" s="5"/>
      <x:c r="BN220" s="5"/>
      <x:c r="BO220" s="5"/>
      <x:c r="BP220" s="5"/>
      <x:c r="BQ220" s="5"/>
      <x:c r="BR220" s="5"/>
      <x:c r="BS220" s="5"/>
      <x:c r="BT220" s="5"/>
      <x:c r="BU220" s="5"/>
      <x:c r="BV220" s="5"/>
      <x:c r="BW220" s="5"/>
      <x:c r="BX220" s="5"/>
      <x:c r="BY220" s="5"/>
      <x:c r="BZ220" s="5"/>
      <x:c r="CA220" s="5"/>
      <x:c r="CB220" s="5"/>
      <x:c r="CC220" s="5"/>
      <x:c r="CD220" s="5"/>
      <x:c r="CE220" s="5"/>
      <x:c r="CF220" s="5"/>
      <x:c r="CG220" s="5"/>
      <x:c r="CH220" s="5"/>
      <x:c r="CI220" s="5"/>
      <x:c r="CJ220" s="5"/>
      <x:c r="CK220" s="5"/>
      <x:c r="CL220" s="5"/>
      <x:c r="CM220" s="5"/>
      <x:c r="CN220" s="5"/>
      <x:c r="CO220" s="5"/>
      <x:c r="CP220" s="5"/>
      <x:c r="CQ220" s="5"/>
      <x:c r="CR220" s="5"/>
      <x:c r="CS220" s="5"/>
      <x:c r="CT220" s="5"/>
      <x:c r="CU220" s="5"/>
      <x:c r="CV220" s="5"/>
      <x:c r="CW220" s="5"/>
      <x:c r="CX220" s="5"/>
      <x:c r="CY220" s="5"/>
      <x:c r="CZ220" s="5"/>
      <x:c r="DA220" s="5"/>
      <x:c r="DB220" s="5"/>
      <x:c r="DC220" s="5"/>
      <x:c r="DD220" s="5"/>
      <x:c r="DE220" s="5"/>
      <x:c r="DF220" s="5"/>
      <x:c r="DG220" s="5"/>
      <x:c r="DH220" s="5"/>
      <x:c r="DI220" s="5"/>
      <x:c r="DJ220" s="5"/>
      <x:c r="DK220" s="5"/>
      <x:c r="DL220" s="5"/>
      <x:c r="DM220" s="5"/>
    </x:row>
    <x:row r="221">
      <x:c r="A221" s="5" t="n">
        <x:v>216</x:v>
      </x:c>
      <x:c r="B221" s="5" t="str">
        <x:v>2-正丁基呋喃</x:v>
      </x:c>
      <x:c r="C221" s="5" t="str">
        <x:v>4466-24-4</x:v>
      </x:c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 t="n">
        <x:v>0</x:v>
      </x:c>
      <x:c r="U221" s="5" t="n">
        <x:v>0</x:v>
      </x:c>
      <x:c r="V221" s="5"/>
      <x:c r="W221" s="5"/>
      <x:c r="X221" s="5"/>
      <x:c r="Y221" s="5"/>
      <x:c r="Z221" s="5"/>
      <x:c r="AA221" s="5"/>
      <x:c r="AB221" s="5"/>
      <x:c r="AC221" s="5"/>
      <x:c r="AD221" s="5"/>
      <x:c r="AE221" s="5" t="n">
        <x:v>2080</x:v>
      </x:c>
      <x:c r="AF221" s="5" t="n">
        <x:v>2190</x:v>
      </x:c>
      <x:c r="AG221" s="5" t="n">
        <x:v>3150</x:v>
      </x:c>
      <x:c r="AH221" s="5"/>
      <x:c r="AI221" s="5"/>
      <x:c r="AJ221" s="5"/>
      <x:c r="AK221" s="5"/>
      <x:c r="AL221" s="5"/>
      <x:c r="AM221" s="5"/>
      <x:c r="AN221" s="5"/>
      <x:c r="AO221" s="5"/>
      <x:c r="AP221" s="5"/>
      <x:c r="AQ221" s="5" t="n">
        <x:v>26.3</x:v>
      </x:c>
      <x:c r="AR221" s="5" t="n">
        <x:v>39.78</x:v>
      </x:c>
      <x:c r="AS221" s="5" t="n">
        <x:v>40.32</x:v>
      </x:c>
      <x:c r="AT221" s="5" t="n">
        <x:v>46.76</x:v>
      </x:c>
      <x:c r="AU221" s="5"/>
      <x:c r="AV221" s="5"/>
      <x:c r="AW221" s="5"/>
      <x:c r="AX221" s="5"/>
      <x:c r="AY221" s="5"/>
      <x:c r="AZ221" s="5"/>
      <x:c r="BA221" s="5"/>
      <x:c r="BB221" s="5"/>
      <x:c r="BC221" s="5"/>
      <x:c r="BD221" s="5"/>
      <x:c r="BE221" s="5"/>
      <x:c r="BF221" s="5"/>
      <x:c r="BG221" s="5"/>
      <x:c r="BH221" s="5"/>
      <x:c r="BI221" s="5"/>
      <x:c r="BJ221" s="5"/>
      <x:c r="BK221" s="5"/>
      <x:c r="BL221" s="5"/>
      <x:c r="BM221" s="5"/>
      <x:c r="BN221" s="5"/>
      <x:c r="BO221" s="5"/>
      <x:c r="BP221" s="5"/>
      <x:c r="BQ221" s="5"/>
      <x:c r="BR221" s="5"/>
      <x:c r="BS221" s="5"/>
      <x:c r="BT221" s="5"/>
      <x:c r="BU221" s="5"/>
      <x:c r="BV221" s="5"/>
      <x:c r="BW221" s="5"/>
      <x:c r="BX221" s="5"/>
      <x:c r="BY221" s="5"/>
      <x:c r="BZ221" s="5"/>
      <x:c r="CA221" s="5"/>
      <x:c r="CB221" s="5"/>
      <x:c r="CC221" s="5"/>
      <x:c r="CD221" s="5"/>
      <x:c r="CE221" s="5"/>
      <x:c r="CF221" s="5"/>
      <x:c r="CG221" s="5"/>
      <x:c r="CH221" s="5"/>
      <x:c r="CI221" s="5"/>
      <x:c r="CJ221" s="5"/>
      <x:c r="CK221" s="5"/>
      <x:c r="CL221" s="5"/>
      <x:c r="CM221" s="5"/>
      <x:c r="CN221" s="5"/>
      <x:c r="CO221" s="5"/>
      <x:c r="CP221" s="5"/>
      <x:c r="CQ221" s="5"/>
      <x:c r="CR221" s="5"/>
      <x:c r="CS221" s="5"/>
      <x:c r="CT221" s="5"/>
      <x:c r="CU221" s="5"/>
      <x:c r="CV221" s="5"/>
      <x:c r="CW221" s="5"/>
      <x:c r="CX221" s="5"/>
      <x:c r="CY221" s="5"/>
      <x:c r="CZ221" s="5"/>
      <x:c r="DA221" s="5"/>
      <x:c r="DB221" s="5"/>
      <x:c r="DC221" s="5"/>
      <x:c r="DD221" s="5"/>
      <x:c r="DE221" s="5"/>
      <x:c r="DF221" s="5"/>
      <x:c r="DG221" s="5"/>
      <x:c r="DH221" s="5"/>
      <x:c r="DI221" s="5"/>
      <x:c r="DJ221" s="5"/>
      <x:c r="DK221" s="5"/>
      <x:c r="DL221" s="5"/>
      <x:c r="DM221" s="5"/>
    </x:row>
    <x:row r="222">
      <x:c r="A222" s="5" t="n">
        <x:v>217</x:v>
      </x:c>
      <x:c r="B222" s="5"/>
      <x:c r="C222" s="5" t="str">
        <x:v>5405-41-4</x:v>
      </x:c>
      <x:c r="D222" s="5"/>
      <x:c r="E222" s="5"/>
      <x:c r="F222" s="5"/>
      <x:c r="G222" s="5"/>
      <x:c r="H222" s="5" t="n">
        <x:v>7.35</x:v>
      </x:c>
      <x:c r="I222" s="5"/>
      <x:c r="J222" s="5" t="n">
        <x:v>21.1</x:v>
      </x:c>
      <x:c r="K222" s="5" t="n">
        <x:v>1.44</x:v>
      </x:c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  <x:c r="AC222" s="5"/>
      <x:c r="AD222" s="5"/>
      <x:c r="AE222" s="5"/>
      <x:c r="AF222" s="5"/>
      <x:c r="AG222" s="5"/>
      <x:c r="AH222" s="5"/>
      <x:c r="AI222" s="5"/>
      <x:c r="AJ222" s="5"/>
      <x:c r="AK222" s="5"/>
      <x:c r="AL222" s="5"/>
      <x:c r="AM222" s="5"/>
      <x:c r="AN222" s="5"/>
      <x:c r="AO222" s="5"/>
      <x:c r="AP222" s="5"/>
      <x:c r="AQ222" s="5"/>
      <x:c r="AR222" s="5"/>
      <x:c r="AS222" s="5"/>
      <x:c r="AT222" s="5"/>
      <x:c r="AU222" s="5"/>
      <x:c r="AV222" s="5"/>
      <x:c r="AW222" s="5"/>
      <x:c r="AX222" s="5"/>
      <x:c r="AY222" s="5"/>
      <x:c r="AZ222" s="5"/>
      <x:c r="BA222" s="5"/>
      <x:c r="BB222" s="5"/>
      <x:c r="BC222" s="5"/>
      <x:c r="BD222" s="5"/>
      <x:c r="BE222" s="5"/>
      <x:c r="BF222" s="5"/>
      <x:c r="BG222" s="5"/>
      <x:c r="BH222" s="5"/>
      <x:c r="BI222" s="5"/>
      <x:c r="BJ222" s="5"/>
      <x:c r="BK222" s="5"/>
      <x:c r="BL222" s="5"/>
      <x:c r="BM222" s="5"/>
      <x:c r="BN222" s="5"/>
      <x:c r="BO222" s="5"/>
      <x:c r="BP222" s="5"/>
      <x:c r="BQ222" s="5"/>
      <x:c r="BR222" s="5"/>
      <x:c r="BS222" s="5"/>
      <x:c r="BT222" s="5"/>
      <x:c r="BU222" s="5"/>
      <x:c r="BV222" s="5"/>
      <x:c r="BW222" s="5"/>
      <x:c r="BX222" s="5"/>
      <x:c r="BY222" s="5"/>
      <x:c r="BZ222" s="5"/>
      <x:c r="CA222" s="5"/>
      <x:c r="CB222" s="5"/>
      <x:c r="CC222" s="5"/>
      <x:c r="CD222" s="5"/>
      <x:c r="CE222" s="5"/>
      <x:c r="CF222" s="5"/>
      <x:c r="CG222" s="5"/>
      <x:c r="CH222" s="5"/>
      <x:c r="CI222" s="5"/>
      <x:c r="CJ222" s="5"/>
      <x:c r="CK222" s="5"/>
      <x:c r="CL222" s="5"/>
      <x:c r="CM222" s="5"/>
      <x:c r="CN222" s="5"/>
      <x:c r="CO222" s="5"/>
      <x:c r="CP222" s="5"/>
      <x:c r="CQ222" s="5"/>
      <x:c r="CR222" s="5"/>
      <x:c r="CS222" s="5"/>
      <x:c r="CT222" s="5"/>
      <x:c r="CU222" s="5"/>
      <x:c r="CV222" s="5"/>
      <x:c r="CW222" s="5"/>
      <x:c r="CX222" s="5"/>
      <x:c r="CY222" s="5"/>
      <x:c r="CZ222" s="5"/>
      <x:c r="DA222" s="5"/>
      <x:c r="DB222" s="5"/>
      <x:c r="DC222" s="5"/>
      <x:c r="DD222" s="5"/>
      <x:c r="DE222" s="5"/>
      <x:c r="DF222" s="5"/>
      <x:c r="DG222" s="5"/>
      <x:c r="DH222" s="5"/>
      <x:c r="DI222" s="5"/>
      <x:c r="DJ222" s="5"/>
      <x:c r="DK222" s="5"/>
      <x:c r="DL222" s="5"/>
      <x:c r="DM222" s="5"/>
    </x:row>
    <x:row r="223">
      <x:c r="A223" s="5" t="n">
        <x:v>218</x:v>
      </x:c>
      <x:c r="B223" s="5" t="str">
        <x:v>庚酸丁酯</x:v>
      </x:c>
      <x:c r="C223" s="5" t="str">
        <x:v>5454-28-4</x:v>
      </x:c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 t="n">
        <x:v>15740</x:v>
      </x:c>
      <x:c r="O223" s="5" t="n">
        <x:v>5481</x:v>
      </x:c>
      <x:c r="P223" s="5" t="n">
        <x:v>5481</x:v>
      </x:c>
      <x:c r="Q223" s="5" t="n">
        <x:v>4652</x:v>
      </x:c>
      <x:c r="R223" s="5" t="n">
        <x:v>5758</x:v>
      </x:c>
      <x:c r="S223" s="5" t="n">
        <x:v>5205</x:v>
      </x:c>
      <x:c r="T223" s="5"/>
      <x:c r="U223" s="5"/>
      <x:c r="V223" s="5"/>
      <x:c r="W223" s="5"/>
      <x:c r="X223" s="5"/>
      <x:c r="Y223" s="5"/>
      <x:c r="Z223" s="5"/>
      <x:c r="AA223" s="5"/>
      <x:c r="AB223" s="5"/>
      <x:c r="AC223" s="5"/>
      <x:c r="AD223" s="5"/>
      <x:c r="AE223" s="5"/>
      <x:c r="AF223" s="5"/>
      <x:c r="AG223" s="5"/>
      <x:c r="AH223" s="5"/>
      <x:c r="AI223" s="5"/>
      <x:c r="AJ223" s="5"/>
      <x:c r="AK223" s="5"/>
      <x:c r="AL223" s="5"/>
      <x:c r="AM223" s="5"/>
      <x:c r="AN223" s="5"/>
      <x:c r="AO223" s="5"/>
      <x:c r="AP223" s="5"/>
      <x:c r="AQ223" s="5" t="n">
        <x:v>2.4</x:v>
      </x:c>
      <x:c r="AR223" s="5" t="n">
        <x:v>1.84</x:v>
      </x:c>
      <x:c r="AS223" s="5"/>
      <x:c r="AT223" s="5"/>
      <x:c r="AU223" s="5"/>
      <x:c r="AV223" s="5"/>
      <x:c r="AW223" s="5"/>
      <x:c r="AX223" s="5"/>
      <x:c r="AY223" s="5"/>
      <x:c r="AZ223" s="5"/>
      <x:c r="BA223" s="5"/>
      <x:c r="BB223" s="5"/>
      <x:c r="BC223" s="5"/>
      <x:c r="BD223" s="5"/>
      <x:c r="BE223" s="5"/>
      <x:c r="BF223" s="5"/>
      <x:c r="BG223" s="5"/>
      <x:c r="BH223" s="5"/>
      <x:c r="BI223" s="5"/>
      <x:c r="BJ223" s="5"/>
      <x:c r="BK223" s="5"/>
      <x:c r="BL223" s="5"/>
      <x:c r="BM223" s="5"/>
      <x:c r="BN223" s="5"/>
      <x:c r="BO223" s="5"/>
      <x:c r="BP223" s="5"/>
      <x:c r="BQ223" s="5"/>
      <x:c r="BR223" s="5"/>
      <x:c r="BS223" s="5"/>
      <x:c r="BT223" s="5"/>
      <x:c r="BU223" s="5"/>
      <x:c r="BV223" s="5"/>
      <x:c r="BW223" s="5"/>
      <x:c r="BX223" s="5"/>
      <x:c r="BY223" s="5"/>
      <x:c r="BZ223" s="5"/>
      <x:c r="CA223" s="5"/>
      <x:c r="CB223" s="5"/>
      <x:c r="CC223" s="5"/>
      <x:c r="CD223" s="5"/>
      <x:c r="CE223" s="5"/>
      <x:c r="CF223" s="5"/>
      <x:c r="CG223" s="5"/>
      <x:c r="CH223" s="5"/>
      <x:c r="CI223" s="5"/>
      <x:c r="CJ223" s="5"/>
      <x:c r="CK223" s="5"/>
      <x:c r="CL223" s="5"/>
      <x:c r="CM223" s="5"/>
      <x:c r="CN223" s="5"/>
      <x:c r="CO223" s="5"/>
      <x:c r="CP223" s="5"/>
      <x:c r="CQ223" s="5"/>
      <x:c r="CR223" s="5"/>
      <x:c r="CS223" s="5"/>
      <x:c r="CT223" s="5"/>
      <x:c r="CU223" s="5"/>
      <x:c r="CV223" s="5"/>
      <x:c r="CW223" s="5"/>
      <x:c r="CX223" s="5"/>
      <x:c r="CY223" s="5"/>
      <x:c r="CZ223" s="5"/>
      <x:c r="DA223" s="5"/>
      <x:c r="DB223" s="5"/>
      <x:c r="DC223" s="5"/>
      <x:c r="DD223" s="5"/>
      <x:c r="DE223" s="5"/>
      <x:c r="DF223" s="5"/>
      <x:c r="DG223" s="5"/>
      <x:c r="DH223" s="5"/>
      <x:c r="DI223" s="5"/>
      <x:c r="DJ223" s="5"/>
      <x:c r="DK223" s="5"/>
      <x:c r="DL223" s="5"/>
      <x:c r="DM223" s="5"/>
    </x:row>
    <x:row r="224">
      <x:c r="A224" s="5" t="n">
        <x:v>219</x:v>
      </x:c>
      <x:c r="B224" s="5" t="str">
        <x:v>辛酸异丁酯</x:v>
      </x:c>
      <x:c r="C224" s="5" t="str">
        <x:v>5461-06-3</x:v>
      </x:c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 t="n">
        <x:v>1066</x:v>
      </x:c>
      <x:c r="O224" s="5" t="n">
        <x:v>1164</x:v>
      </x:c>
      <x:c r="P224" s="5" t="n">
        <x:v>1225</x:v>
      </x:c>
      <x:c r="Q224" s="5" t="n">
        <x:v>947</x:v>
      </x:c>
      <x:c r="R224" s="5" t="n">
        <x:v>953</x:v>
      </x:c>
      <x:c r="S224" s="5" t="n">
        <x:v>1117</x:v>
      </x:c>
      <x:c r="T224" s="5"/>
      <x:c r="U224" s="5"/>
      <x:c r="V224" s="5"/>
      <x:c r="W224" s="5"/>
      <x:c r="X224" s="5"/>
      <x:c r="Y224" s="5"/>
      <x:c r="Z224" s="5"/>
      <x:c r="AA224" s="5"/>
      <x:c r="AB224" s="5"/>
      <x:c r="AC224" s="5"/>
      <x:c r="AD224" s="5"/>
      <x:c r="AE224" s="5"/>
      <x:c r="AF224" s="5"/>
      <x:c r="AG224" s="5"/>
      <x:c r="AH224" s="5"/>
      <x:c r="AI224" s="5"/>
      <x:c r="AJ224" s="5"/>
      <x:c r="AK224" s="5"/>
      <x:c r="AL224" s="5"/>
      <x:c r="AM224" s="5"/>
      <x:c r="AN224" s="5"/>
      <x:c r="AO224" s="5"/>
      <x:c r="AP224" s="5"/>
      <x:c r="AQ224" s="5"/>
      <x:c r="AR224" s="5"/>
      <x:c r="AS224" s="5"/>
      <x:c r="AT224" s="5"/>
      <x:c r="AU224" s="5"/>
      <x:c r="AV224" s="5"/>
      <x:c r="AW224" s="5"/>
      <x:c r="AX224" s="5"/>
      <x:c r="AY224" s="5"/>
      <x:c r="AZ224" s="5"/>
      <x:c r="BA224" s="5"/>
      <x:c r="BB224" s="5"/>
      <x:c r="BC224" s="5"/>
      <x:c r="BD224" s="5"/>
      <x:c r="BE224" s="5"/>
      <x:c r="BF224" s="5"/>
      <x:c r="BG224" s="5"/>
      <x:c r="BH224" s="5"/>
      <x:c r="BI224" s="5"/>
      <x:c r="BJ224" s="5"/>
      <x:c r="BK224" s="5"/>
      <x:c r="BL224" s="5"/>
      <x:c r="BM224" s="5"/>
      <x:c r="BN224" s="5"/>
      <x:c r="BO224" s="5"/>
      <x:c r="BP224" s="5"/>
      <x:c r="BQ224" s="5"/>
      <x:c r="BR224" s="5"/>
      <x:c r="BS224" s="5"/>
      <x:c r="BT224" s="5"/>
      <x:c r="BU224" s="5"/>
      <x:c r="BV224" s="5"/>
      <x:c r="BW224" s="5"/>
      <x:c r="BX224" s="5"/>
      <x:c r="BY224" s="5"/>
      <x:c r="BZ224" s="5"/>
      <x:c r="CA224" s="5"/>
      <x:c r="CB224" s="5"/>
      <x:c r="CC224" s="5"/>
      <x:c r="CD224" s="5"/>
      <x:c r="CE224" s="5"/>
      <x:c r="CF224" s="5"/>
      <x:c r="CG224" s="5"/>
      <x:c r="CH224" s="5"/>
      <x:c r="CI224" s="5"/>
      <x:c r="CJ224" s="5"/>
      <x:c r="CK224" s="5"/>
      <x:c r="CL224" s="5"/>
      <x:c r="CM224" s="5"/>
      <x:c r="CN224" s="5"/>
      <x:c r="CO224" s="5"/>
      <x:c r="CP224" s="5"/>
      <x:c r="CQ224" s="5"/>
      <x:c r="CR224" s="5"/>
      <x:c r="CS224" s="5"/>
      <x:c r="CT224" s="5"/>
      <x:c r="CU224" s="5"/>
      <x:c r="CV224" s="5"/>
      <x:c r="CW224" s="5"/>
      <x:c r="CX224" s="5"/>
      <x:c r="CY224" s="5"/>
      <x:c r="CZ224" s="5"/>
      <x:c r="DA224" s="5"/>
      <x:c r="DB224" s="5"/>
      <x:c r="DC224" s="5"/>
      <x:c r="DD224" s="5"/>
      <x:c r="DE224" s="5"/>
      <x:c r="DF224" s="5"/>
      <x:c r="DG224" s="5"/>
      <x:c r="DH224" s="5"/>
      <x:c r="DI224" s="5"/>
      <x:c r="DJ224" s="5"/>
      <x:c r="DK224" s="5"/>
      <x:c r="DL224" s="5"/>
      <x:c r="DM224" s="5"/>
    </x:row>
    <x:row r="225">
      <x:c r="A225" s="5" t="n">
        <x:v>220</x:v>
      </x:c>
      <x:c r="B225" s="5" t="str">
        <x:v>3-甲基戊酸乙酯</x:v>
      </x:c>
      <x:c r="C225" s="5" t="str">
        <x:v>5870-68-8</x:v>
      </x:c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  <x:c r="AC225" s="5"/>
      <x:c r="AD225" s="5"/>
      <x:c r="AE225" s="5"/>
      <x:c r="AF225" s="5"/>
      <x:c r="AG225" s="5"/>
      <x:c r="AH225" s="5"/>
      <x:c r="AI225" s="5"/>
      <x:c r="AJ225" s="5"/>
      <x:c r="AK225" s="5"/>
      <x:c r="AL225" s="5"/>
      <x:c r="AM225" s="5"/>
      <x:c r="AN225" s="5"/>
      <x:c r="AO225" s="5"/>
      <x:c r="AP225" s="5"/>
      <x:c r="AQ225" s="5" t="n">
        <x:v>8.11</x:v>
      </x:c>
      <x:c r="AR225" s="5" t="n">
        <x:v>4.35</x:v>
      </x:c>
      <x:c r="AS225" s="5" t="n">
        <x:v>4.56</x:v>
      </x:c>
      <x:c r="AT225" s="5" t="n">
        <x:v>5.26</x:v>
      </x:c>
      <x:c r="AU225" s="5"/>
      <x:c r="AV225" s="5"/>
      <x:c r="AW225" s="5"/>
      <x:c r="AX225" s="5"/>
      <x:c r="AY225" s="5"/>
      <x:c r="AZ225" s="5"/>
      <x:c r="BA225" s="5"/>
      <x:c r="BB225" s="5"/>
      <x:c r="BC225" s="5"/>
      <x:c r="BD225" s="5"/>
      <x:c r="BE225" s="5"/>
      <x:c r="BF225" s="5"/>
      <x:c r="BG225" s="5"/>
      <x:c r="BH225" s="5"/>
      <x:c r="BI225" s="5"/>
      <x:c r="BJ225" s="5"/>
      <x:c r="BK225" s="5"/>
      <x:c r="BL225" s="5"/>
      <x:c r="BM225" s="5"/>
      <x:c r="BN225" s="5"/>
      <x:c r="BO225" s="5"/>
      <x:c r="BP225" s="5"/>
      <x:c r="BQ225" s="5"/>
      <x:c r="BR225" s="5"/>
      <x:c r="BS225" s="5"/>
      <x:c r="BT225" s="5"/>
      <x:c r="BU225" s="5"/>
      <x:c r="BV225" s="5"/>
      <x:c r="BW225" s="5"/>
      <x:c r="BX225" s="5"/>
      <x:c r="BY225" s="5"/>
      <x:c r="BZ225" s="5"/>
      <x:c r="CA225" s="5"/>
      <x:c r="CB225" s="5"/>
      <x:c r="CC225" s="5"/>
      <x:c r="CD225" s="5"/>
      <x:c r="CE225" s="5"/>
      <x:c r="CF225" s="5"/>
      <x:c r="CG225" s="5"/>
      <x:c r="CH225" s="5"/>
      <x:c r="CI225" s="5"/>
      <x:c r="CJ225" s="5"/>
      <x:c r="CK225" s="5"/>
      <x:c r="CL225" s="5"/>
      <x:c r="CM225" s="5"/>
      <x:c r="CN225" s="5"/>
      <x:c r="CO225" s="5"/>
      <x:c r="CP225" s="5"/>
      <x:c r="CQ225" s="5"/>
      <x:c r="CR225" s="5"/>
      <x:c r="CS225" s="5"/>
      <x:c r="CT225" s="5"/>
      <x:c r="CU225" s="5"/>
      <x:c r="CV225" s="5"/>
      <x:c r="CW225" s="5"/>
      <x:c r="CX225" s="5"/>
      <x:c r="CY225" s="5"/>
      <x:c r="CZ225" s="5"/>
      <x:c r="DA225" s="5"/>
      <x:c r="DB225" s="5"/>
      <x:c r="DC225" s="5"/>
      <x:c r="DD225" s="5"/>
      <x:c r="DE225" s="5"/>
      <x:c r="DF225" s="5"/>
      <x:c r="DG225" s="5"/>
      <x:c r="DH225" s="5"/>
      <x:c r="DI225" s="5"/>
      <x:c r="DJ225" s="5"/>
      <x:c r="DK225" s="5"/>
      <x:c r="DL225" s="5"/>
      <x:c r="DM225" s="5"/>
    </x:row>
    <x:row r="226">
      <x:c r="A226" s="5" t="n">
        <x:v>221</x:v>
      </x:c>
      <x:c r="B226" s="5"/>
      <x:c r="C226" s="5" t="str">
        <x:v>5941-48-0</x:v>
      </x:c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 t="n">
        <x:v>1498</x:v>
      </x:c>
      <x:c r="O226" s="5" t="n">
        <x:v>1663</x:v>
      </x:c>
      <x:c r="P226" s="5" t="n">
        <x:v>1070</x:v>
      </x:c>
      <x:c r="Q226" s="5" t="n">
        <x:v>666</x:v>
      </x:c>
      <x:c r="R226" s="5" t="n">
        <x:v>554</x:v>
      </x:c>
      <x:c r="S226" s="5" t="n">
        <x:v>1117</x:v>
      </x:c>
      <x:c r="T226" s="5"/>
      <x:c r="U226" s="5"/>
      <x:c r="V226" s="5"/>
      <x:c r="W226" s="5"/>
      <x:c r="X226" s="5"/>
      <x:c r="Y226" s="5"/>
      <x:c r="Z226" s="5"/>
      <x:c r="AA226" s="5"/>
      <x:c r="AB226" s="5"/>
      <x:c r="AC226" s="5"/>
      <x:c r="AD226" s="5"/>
      <x:c r="AE226" s="5"/>
      <x:c r="AF226" s="5"/>
      <x:c r="AG226" s="5"/>
      <x:c r="AH226" s="5"/>
      <x:c r="AI226" s="5"/>
      <x:c r="AJ226" s="5"/>
      <x:c r="AK226" s="5"/>
      <x:c r="AL226" s="5"/>
      <x:c r="AM226" s="5"/>
      <x:c r="AN226" s="5"/>
      <x:c r="AO226" s="5"/>
      <x:c r="AP226" s="5"/>
      <x:c r="AQ226" s="5"/>
      <x:c r="AR226" s="5"/>
      <x:c r="AS226" s="5"/>
      <x:c r="AT226" s="5"/>
      <x:c r="AU226" s="5"/>
      <x:c r="AV226" s="5"/>
      <x:c r="AW226" s="5"/>
      <x:c r="AX226" s="5"/>
      <x:c r="AY226" s="5"/>
      <x:c r="AZ226" s="5"/>
      <x:c r="BA226" s="5"/>
      <x:c r="BB226" s="5"/>
      <x:c r="BC226" s="5"/>
      <x:c r="BD226" s="5"/>
      <x:c r="BE226" s="5"/>
      <x:c r="BF226" s="5"/>
      <x:c r="BG226" s="5"/>
      <x:c r="BH226" s="5"/>
      <x:c r="BI226" s="5"/>
      <x:c r="BJ226" s="5"/>
      <x:c r="BK226" s="5"/>
      <x:c r="BL226" s="5"/>
      <x:c r="BM226" s="5"/>
      <x:c r="BN226" s="5"/>
      <x:c r="BO226" s="5"/>
      <x:c r="BP226" s="5"/>
      <x:c r="BQ226" s="5"/>
      <x:c r="BR226" s="5"/>
      <x:c r="BS226" s="5"/>
      <x:c r="BT226" s="5"/>
      <x:c r="BU226" s="5"/>
      <x:c r="BV226" s="5"/>
      <x:c r="BW226" s="5"/>
      <x:c r="BX226" s="5"/>
      <x:c r="BY226" s="5"/>
      <x:c r="BZ226" s="5"/>
      <x:c r="CA226" s="5"/>
      <x:c r="CB226" s="5"/>
      <x:c r="CC226" s="5"/>
      <x:c r="CD226" s="5"/>
      <x:c r="CE226" s="5"/>
      <x:c r="CF226" s="5"/>
      <x:c r="CG226" s="5"/>
      <x:c r="CH226" s="5"/>
      <x:c r="CI226" s="5"/>
      <x:c r="CJ226" s="5"/>
      <x:c r="CK226" s="5"/>
      <x:c r="CL226" s="5"/>
      <x:c r="CM226" s="5"/>
      <x:c r="CN226" s="5"/>
      <x:c r="CO226" s="5"/>
      <x:c r="CP226" s="5"/>
      <x:c r="CQ226" s="5"/>
      <x:c r="CR226" s="5"/>
      <x:c r="CS226" s="5"/>
      <x:c r="CT226" s="5"/>
      <x:c r="CU226" s="5"/>
      <x:c r="CV226" s="5"/>
      <x:c r="CW226" s="5"/>
      <x:c r="CX226" s="5"/>
      <x:c r="CY226" s="5"/>
      <x:c r="CZ226" s="5"/>
      <x:c r="DA226" s="5"/>
      <x:c r="DB226" s="5"/>
      <x:c r="DC226" s="5"/>
      <x:c r="DD226" s="5"/>
      <x:c r="DE226" s="5"/>
      <x:c r="DF226" s="5"/>
      <x:c r="DG226" s="5"/>
      <x:c r="DH226" s="5"/>
      <x:c r="DI226" s="5"/>
      <x:c r="DJ226" s="5"/>
      <x:c r="DK226" s="5"/>
      <x:c r="DL226" s="5"/>
      <x:c r="DM226" s="5"/>
    </x:row>
    <x:row r="227">
      <x:c r="A227" s="5" t="n">
        <x:v>222</x:v>
      </x:c>
      <x:c r="B227" s="5"/>
      <x:c r="C227" s="5" t="str">
        <x:v>6008-27-1</x:v>
      </x:c>
      <x:c r="D227" s="5" t="n">
        <x:v>90.7</x:v>
      </x:c>
      <x:c r="E227" s="5" t="n">
        <x:v>59</x:v>
      </x:c>
      <x:c r="F227" s="5" t="n">
        <x:v>129</x:v>
      </x:c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  <x:c r="AC227" s="5"/>
      <x:c r="AD227" s="5"/>
      <x:c r="AE227" s="5"/>
      <x:c r="AF227" s="5"/>
      <x:c r="AG227" s="5"/>
      <x:c r="AH227" s="5"/>
      <x:c r="AI227" s="5"/>
      <x:c r="AJ227" s="5"/>
      <x:c r="AK227" s="5"/>
      <x:c r="AL227" s="5"/>
      <x:c r="AM227" s="5"/>
      <x:c r="AN227" s="5"/>
      <x:c r="AO227" s="5"/>
      <x:c r="AP227" s="5"/>
      <x:c r="AQ227" s="5"/>
      <x:c r="AR227" s="5"/>
      <x:c r="AS227" s="5"/>
      <x:c r="AT227" s="5"/>
      <x:c r="AU227" s="5"/>
      <x:c r="AV227" s="5"/>
      <x:c r="AW227" s="5"/>
      <x:c r="AX227" s="5"/>
      <x:c r="AY227" s="5"/>
      <x:c r="AZ227" s="5"/>
      <x:c r="BA227" s="5"/>
      <x:c r="BB227" s="5"/>
      <x:c r="BC227" s="5"/>
      <x:c r="BD227" s="5"/>
      <x:c r="BE227" s="5"/>
      <x:c r="BF227" s="5"/>
      <x:c r="BG227" s="5"/>
      <x:c r="BH227" s="5"/>
      <x:c r="BI227" s="5"/>
      <x:c r="BJ227" s="5"/>
      <x:c r="BK227" s="5"/>
      <x:c r="BL227" s="5"/>
      <x:c r="BM227" s="5"/>
      <x:c r="BN227" s="5"/>
      <x:c r="BO227" s="5"/>
      <x:c r="BP227" s="5"/>
      <x:c r="BQ227" s="5"/>
      <x:c r="BR227" s="5"/>
      <x:c r="BS227" s="5"/>
      <x:c r="BT227" s="5"/>
      <x:c r="BU227" s="5"/>
      <x:c r="BV227" s="5"/>
      <x:c r="BW227" s="5"/>
      <x:c r="BX227" s="5"/>
      <x:c r="BY227" s="5"/>
      <x:c r="BZ227" s="5"/>
      <x:c r="CA227" s="5"/>
      <x:c r="CB227" s="5"/>
      <x:c r="CC227" s="5"/>
      <x:c r="CD227" s="5"/>
      <x:c r="CE227" s="5"/>
      <x:c r="CF227" s="5"/>
      <x:c r="CG227" s="5"/>
      <x:c r="CH227" s="5"/>
      <x:c r="CI227" s="5"/>
      <x:c r="CJ227" s="5"/>
      <x:c r="CK227" s="5"/>
      <x:c r="CL227" s="5"/>
      <x:c r="CM227" s="5"/>
      <x:c r="CN227" s="5"/>
      <x:c r="CO227" s="5"/>
      <x:c r="CP227" s="5"/>
      <x:c r="CQ227" s="5"/>
      <x:c r="CR227" s="5"/>
      <x:c r="CS227" s="5"/>
      <x:c r="CT227" s="5"/>
      <x:c r="CU227" s="5"/>
      <x:c r="CV227" s="5"/>
      <x:c r="CW227" s="5"/>
      <x:c r="CX227" s="5"/>
      <x:c r="CY227" s="5"/>
      <x:c r="CZ227" s="5"/>
      <x:c r="DA227" s="5"/>
      <x:c r="DB227" s="5"/>
      <x:c r="DC227" s="5"/>
      <x:c r="DD227" s="5"/>
      <x:c r="DE227" s="5"/>
      <x:c r="DF227" s="5"/>
      <x:c r="DG227" s="5"/>
      <x:c r="DH227" s="5"/>
      <x:c r="DI227" s="5"/>
      <x:c r="DJ227" s="5"/>
      <x:c r="DK227" s="5"/>
      <x:c r="DL227" s="5"/>
      <x:c r="DM227" s="5"/>
    </x:row>
    <x:row r="228">
      <x:c r="A228" s="5" t="n">
        <x:v>223</x:v>
      </x:c>
      <x:c r="B228" s="5" t="str">
        <x:v>2-戊醇</x:v>
      </x:c>
      <x:c r="C228" s="5" t="str">
        <x:v>6032-29-7</x:v>
      </x:c>
      <x:c r="D228" s="5" t="n">
        <x:v>194313</x:v>
      </x:c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 t="n">
        <x:v>0</x:v>
      </x:c>
      <x:c r="U228" s="5" t="n">
        <x:v>0</x:v>
      </x:c>
      <x:c r="V228" s="5"/>
      <x:c r="W228" s="5"/>
      <x:c r="X228" s="5"/>
      <x:c r="Y228" s="5"/>
      <x:c r="Z228" s="5"/>
      <x:c r="AA228" s="5"/>
      <x:c r="AB228" s="5"/>
      <x:c r="AC228" s="5"/>
      <x:c r="AD228" s="5"/>
      <x:c r="AE228" s="5" t="n">
        <x:v>35640</x:v>
      </x:c>
      <x:c r="AF228" s="5"/>
      <x:c r="AG228" s="5"/>
      <x:c r="AH228" s="5"/>
      <x:c r="AI228" s="5"/>
      <x:c r="AJ228" s="5"/>
      <x:c r="AK228" s="5" t="n">
        <x:v>126820</x:v>
      </x:c>
      <x:c r="AL228" s="5" t="n">
        <x:v>209250</x:v>
      </x:c>
      <x:c r="AM228" s="5"/>
      <x:c r="AN228" s="5"/>
      <x:c r="AO228" s="5"/>
      <x:c r="AP228" s="5"/>
      <x:c r="AQ228" s="5"/>
      <x:c r="AR228" s="5" t="n">
        <x:v>12.16</x:v>
      </x:c>
      <x:c r="AS228" s="5" t="n">
        <x:v>22.45</x:v>
      </x:c>
      <x:c r="AT228" s="5" t="n">
        <x:v>18.03</x:v>
      </x:c>
      <x:c r="AU228" s="5"/>
      <x:c r="AV228" s="5"/>
      <x:c r="AW228" s="5"/>
      <x:c r="AX228" s="5"/>
      <x:c r="AY228" s="5"/>
      <x:c r="AZ228" s="5"/>
      <x:c r="BA228" s="5"/>
      <x:c r="BB228" s="5" t="n">
        <x:v>8.07</x:v>
      </x:c>
      <x:c r="BC228" s="5"/>
      <x:c r="BD228" s="5" t="n">
        <x:v>10.57</x:v>
      </x:c>
      <x:c r="BE228" s="5" t="n">
        <x:v>27.85</x:v>
      </x:c>
      <x:c r="BF228" s="5" t="n">
        <x:v>21.82</x:v>
      </x:c>
      <x:c r="BG228" s="5" t="n">
        <x:v>7.76</x:v>
      </x:c>
      <x:c r="BH228" s="5" t="n">
        <x:v>25.95</x:v>
      </x:c>
      <x:c r="BI228" s="5" t="n">
        <x:v>8.03</x:v>
      </x:c>
      <x:c r="BJ228" s="5" t="n">
        <x:v>23.53</x:v>
      </x:c>
      <x:c r="BK228" s="5" t="n">
        <x:v>44.21</x:v>
      </x:c>
      <x:c r="BL228" s="5" t="n">
        <x:v>51.15</x:v>
      </x:c>
      <x:c r="BM228" s="5" t="n">
        <x:v>55.87</x:v>
      </x:c>
      <x:c r="BN228" s="5" t="n">
        <x:v>45.27</x:v>
      </x:c>
      <x:c r="BO228" s="5" t="n">
        <x:v>53.22</x:v>
      </x:c>
      <x:c r="BP228" s="5" t="n">
        <x:v>115.82</x:v>
      </x:c>
      <x:c r="BQ228" s="5"/>
      <x:c r="BR228" s="5"/>
      <x:c r="BS228" s="5"/>
      <x:c r="BT228" s="5"/>
      <x:c r="BU228" s="5"/>
      <x:c r="BV228" s="5"/>
      <x:c r="BW228" s="5"/>
      <x:c r="BX228" s="5"/>
      <x:c r="BY228" s="5"/>
      <x:c r="BZ228" s="5" t="n">
        <x:v>7458.98</x:v>
      </x:c>
      <x:c r="CA228" s="5" t="n">
        <x:v>3661.9</x:v>
      </x:c>
      <x:c r="CB228" s="5" t="n">
        <x:v>2108.3</x:v>
      </x:c>
      <x:c r="CC228" s="5" t="n">
        <x:v>1151.04</x:v>
      </x:c>
      <x:c r="CD228" s="5" t="n">
        <x:v>7028.02</x:v>
      </x:c>
      <x:c r="CE228" s="5" t="n">
        <x:v>11439.68</x:v>
      </x:c>
      <x:c r="CF228" s="5" t="n">
        <x:v>6757.32</x:v>
      </x:c>
      <x:c r="CG228" s="5" t="n">
        <x:v>2445.25</x:v>
      </x:c>
      <x:c r="CH228" s="5" t="n">
        <x:v>393.18</x:v>
      </x:c>
      <x:c r="CI228" s="5" t="n">
        <x:v>5236.81</x:v>
      </x:c>
      <x:c r="CJ228" s="5" t="n">
        <x:v>7801.27</x:v>
      </x:c>
      <x:c r="CK228" s="5" t="n">
        <x:v>8040.38</x:v>
      </x:c>
      <x:c r="CL228" s="5" t="n">
        <x:v>2392.48</x:v>
      </x:c>
      <x:c r="CM228" s="5" t="n">
        <x:v>5691.34</x:v>
      </x:c>
      <x:c r="CN228" s="5"/>
      <x:c r="CO228" s="5"/>
      <x:c r="CP228" s="5"/>
      <x:c r="CQ228" s="5"/>
      <x:c r="CR228" s="5"/>
      <x:c r="CS228" s="5"/>
      <x:c r="CT228" s="5"/>
      <x:c r="CU228" s="5"/>
      <x:c r="CV228" s="5"/>
      <x:c r="CW228" s="5"/>
      <x:c r="CX228" s="5" t="n">
        <x:v>12429.71</x:v>
      </x:c>
      <x:c r="CY228" s="5" t="n">
        <x:v>19238.05</x:v>
      </x:c>
      <x:c r="CZ228" s="5" t="n">
        <x:v>14944.56</x:v>
      </x:c>
      <x:c r="DA228" s="5" t="n">
        <x:v>9684.41</x:v>
      </x:c>
      <x:c r="DB228" s="5" t="n">
        <x:v>14892.51</x:v>
      </x:c>
      <x:c r="DC228" s="5" t="n">
        <x:v>5208.4</x:v>
      </x:c>
      <x:c r="DD228" s="5" t="n">
        <x:v>15171.63</x:v>
      </x:c>
      <x:c r="DE228" s="5" t="n">
        <x:v>12194.49</x:v>
      </x:c>
      <x:c r="DF228" s="5" t="n">
        <x:v>13582.66</x:v>
      </x:c>
      <x:c r="DG228" s="5" t="n">
        <x:v>15260.89</x:v>
      </x:c>
      <x:c r="DH228" s="5" t="n">
        <x:v>12574.64</x:v>
      </x:c>
      <x:c r="DI228" s="5" t="n">
        <x:v>9998.72</x:v>
      </x:c>
      <x:c r="DJ228" s="5" t="n">
        <x:v>25381.23</x:v>
      </x:c>
      <x:c r="DK228" s="5" t="n">
        <x:v>13139.77</x:v>
      </x:c>
      <x:c r="DL228" s="5" t="n">
        <x:v>23440.22</x:v>
      </x:c>
      <x:c r="DM228" s="5" t="n">
        <x:v>13648.13</x:v>
      </x:c>
    </x:row>
    <x:row r="229">
      <x:c r="A229" s="5" t="n">
        <x:v>224</x:v>
      </x:c>
      <x:c r="B229" s="5"/>
      <x:c r="C229" s="5" t="str">
        <x:v>6114-18-7</x:v>
      </x:c>
      <x:c r="D229" s="5"/>
      <x:c r="E229" s="5"/>
      <x:c r="F229" s="5"/>
      <x:c r="G229" s="5"/>
      <x:c r="H229" s="5"/>
      <x:c r="I229" s="5"/>
      <x:c r="J229" s="5" t="n">
        <x:v>1.76</x:v>
      </x:c>
      <x:c r="K229" s="5" t="n">
        <x:v>0.23</x:v>
      </x:c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  <x:c r="AC229" s="5"/>
      <x:c r="AD229" s="5"/>
      <x:c r="AE229" s="5"/>
      <x:c r="AF229" s="5"/>
      <x:c r="AG229" s="5"/>
      <x:c r="AH229" s="5"/>
      <x:c r="AI229" s="5"/>
      <x:c r="AJ229" s="5"/>
      <x:c r="AK229" s="5"/>
      <x:c r="AL229" s="5"/>
      <x:c r="AM229" s="5"/>
      <x:c r="AN229" s="5"/>
      <x:c r="AO229" s="5"/>
      <x:c r="AP229" s="5"/>
      <x:c r="AQ229" s="5"/>
      <x:c r="AR229" s="5"/>
      <x:c r="AS229" s="5"/>
      <x:c r="AT229" s="5"/>
      <x:c r="AU229" s="5"/>
      <x:c r="AV229" s="5"/>
      <x:c r="AW229" s="5"/>
      <x:c r="AX229" s="5"/>
      <x:c r="AY229" s="5"/>
      <x:c r="AZ229" s="5"/>
      <x:c r="BA229" s="5"/>
      <x:c r="BB229" s="5"/>
      <x:c r="BC229" s="5"/>
      <x:c r="BD229" s="5"/>
      <x:c r="BE229" s="5"/>
      <x:c r="BF229" s="5"/>
      <x:c r="BG229" s="5"/>
      <x:c r="BH229" s="5"/>
      <x:c r="BI229" s="5"/>
      <x:c r="BJ229" s="5"/>
      <x:c r="BK229" s="5"/>
      <x:c r="BL229" s="5"/>
      <x:c r="BM229" s="5"/>
      <x:c r="BN229" s="5"/>
      <x:c r="BO229" s="5"/>
      <x:c r="BP229" s="5"/>
      <x:c r="BQ229" s="5"/>
      <x:c r="BR229" s="5"/>
      <x:c r="BS229" s="5"/>
      <x:c r="BT229" s="5"/>
      <x:c r="BU229" s="5"/>
      <x:c r="BV229" s="5"/>
      <x:c r="BW229" s="5"/>
      <x:c r="BX229" s="5"/>
      <x:c r="BY229" s="5"/>
      <x:c r="BZ229" s="5"/>
      <x:c r="CA229" s="5"/>
      <x:c r="CB229" s="5"/>
      <x:c r="CC229" s="5"/>
      <x:c r="CD229" s="5"/>
      <x:c r="CE229" s="5"/>
      <x:c r="CF229" s="5"/>
      <x:c r="CG229" s="5"/>
      <x:c r="CH229" s="5"/>
      <x:c r="CI229" s="5"/>
      <x:c r="CJ229" s="5"/>
      <x:c r="CK229" s="5"/>
      <x:c r="CL229" s="5"/>
      <x:c r="CM229" s="5"/>
      <x:c r="CN229" s="5"/>
      <x:c r="CO229" s="5"/>
      <x:c r="CP229" s="5"/>
      <x:c r="CQ229" s="5"/>
      <x:c r="CR229" s="5"/>
      <x:c r="CS229" s="5"/>
      <x:c r="CT229" s="5"/>
      <x:c r="CU229" s="5"/>
      <x:c r="CV229" s="5"/>
      <x:c r="CW229" s="5"/>
      <x:c r="CX229" s="5"/>
      <x:c r="CY229" s="5"/>
      <x:c r="CZ229" s="5"/>
      <x:c r="DA229" s="5"/>
      <x:c r="DB229" s="5"/>
      <x:c r="DC229" s="5"/>
      <x:c r="DD229" s="5"/>
      <x:c r="DE229" s="5"/>
      <x:c r="DF229" s="5"/>
      <x:c r="DG229" s="5"/>
      <x:c r="DH229" s="5"/>
      <x:c r="DI229" s="5"/>
      <x:c r="DJ229" s="5"/>
      <x:c r="DK229" s="5"/>
      <x:c r="DL229" s="5"/>
      <x:c r="DM229" s="5"/>
    </x:row>
    <x:row r="230">
      <x:c r="A230" s="5" t="n">
        <x:v>225</x:v>
      </x:c>
      <x:c r="B230" s="5" t="str">
        <x:v>己酸-2-苯乙酯</x:v>
      </x:c>
      <x:c r="C230" s="5" t="str">
        <x:v>6290-37-5</x:v>
      </x:c>
      <x:c r="D230" s="5" t="n">
        <x:v>94.34</x:v>
      </x:c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  <x:c r="AC230" s="5"/>
      <x:c r="AD230" s="5"/>
      <x:c r="AE230" s="5"/>
      <x:c r="AF230" s="5"/>
      <x:c r="AG230" s="5"/>
      <x:c r="AH230" s="5"/>
      <x:c r="AI230" s="5"/>
      <x:c r="AJ230" s="5"/>
      <x:c r="AK230" s="5"/>
      <x:c r="AL230" s="5"/>
      <x:c r="AM230" s="5"/>
      <x:c r="AN230" s="5"/>
      <x:c r="AO230" s="5"/>
      <x:c r="AP230" s="5"/>
      <x:c r="AQ230" s="5"/>
      <x:c r="AR230" s="5"/>
      <x:c r="AS230" s="5"/>
      <x:c r="AT230" s="5"/>
      <x:c r="AU230" s="5"/>
      <x:c r="AV230" s="5"/>
      <x:c r="AW230" s="5"/>
      <x:c r="AX230" s="5"/>
      <x:c r="AY230" s="5"/>
      <x:c r="AZ230" s="5" t="n">
        <x:v>33</x:v>
      </x:c>
      <x:c r="BA230" s="5"/>
      <x:c r="BB230" s="5"/>
      <x:c r="BC230" s="5"/>
      <x:c r="BD230" s="5" t="n">
        <x:v>27.64</x:v>
      </x:c>
      <x:c r="BE230" s="5" t="n">
        <x:v>57.55</x:v>
      </x:c>
      <x:c r="BF230" s="5" t="n">
        <x:v>60.47</x:v>
      </x:c>
      <x:c r="BG230" s="5" t="n">
        <x:v>29.84</x:v>
      </x:c>
      <x:c r="BH230" s="5"/>
      <x:c r="BI230" s="5" t="n">
        <x:v>28.75</x:v>
      </x:c>
      <x:c r="BJ230" s="5"/>
      <x:c r="BK230" s="5" t="n">
        <x:v>50.34</x:v>
      </x:c>
      <x:c r="BL230" s="5" t="n">
        <x:v>66.36</x:v>
      </x:c>
      <x:c r="BM230" s="5" t="n">
        <x:v>87.74</x:v>
      </x:c>
      <x:c r="BN230" s="5" t="n">
        <x:v>63.43</x:v>
      </x:c>
      <x:c r="BO230" s="5" t="n">
        <x:v>77.43</x:v>
      </x:c>
      <x:c r="BP230" s="5"/>
      <x:c r="BQ230" s="5"/>
      <x:c r="BR230" s="5"/>
      <x:c r="BS230" s="5"/>
      <x:c r="BT230" s="5"/>
      <x:c r="BU230" s="5"/>
      <x:c r="BV230" s="5"/>
      <x:c r="BW230" s="5"/>
      <x:c r="BX230" s="5"/>
      <x:c r="BY230" s="5"/>
      <x:c r="BZ230" s="5" t="n">
        <x:v>296.895</x:v>
      </x:c>
      <x:c r="CA230" s="5" t="n">
        <x:v>257.65</x:v>
      </x:c>
      <x:c r="CB230" s="5" t="n">
        <x:v>253.52</x:v>
      </x:c>
      <x:c r="CC230" s="5" t="n">
        <x:v>233.91</x:v>
      </x:c>
      <x:c r="CD230" s="5" t="n">
        <x:v>415.56</x:v>
      </x:c>
      <x:c r="CE230" s="5" t="n">
        <x:v>349.12</x:v>
      </x:c>
      <x:c r="CF230" s="5" t="n">
        <x:v>849.34</x:v>
      </x:c>
      <x:c r="CG230" s="5" t="n">
        <x:v>6.22</x:v>
      </x:c>
      <x:c r="CH230" s="5" t="n">
        <x:v>2.95</x:v>
      </x:c>
      <x:c r="CI230" s="5" t="n">
        <x:v>1159.39</x:v>
      </x:c>
      <x:c r="CJ230" s="5" t="n">
        <x:v>1118.08</x:v>
      </x:c>
      <x:c r="CK230" s="5" t="n">
        <x:v>1644.7</x:v>
      </x:c>
      <x:c r="CL230" s="5" t="n">
        <x:v>826.28</x:v>
      </x:c>
      <x:c r="CM230" s="5" t="n">
        <x:v>653.9</x:v>
      </x:c>
      <x:c r="CN230" s="5"/>
      <x:c r="CO230" s="5"/>
      <x:c r="CP230" s="5"/>
      <x:c r="CQ230" s="5"/>
      <x:c r="CR230" s="5"/>
      <x:c r="CS230" s="5"/>
      <x:c r="CT230" s="5"/>
      <x:c r="CU230" s="5"/>
      <x:c r="CV230" s="5"/>
      <x:c r="CW230" s="5"/>
      <x:c r="CX230" s="5"/>
      <x:c r="CY230" s="5"/>
      <x:c r="CZ230" s="5"/>
      <x:c r="DA230" s="5"/>
      <x:c r="DB230" s="5"/>
      <x:c r="DC230" s="5"/>
      <x:c r="DD230" s="5"/>
      <x:c r="DE230" s="5"/>
      <x:c r="DF230" s="5"/>
      <x:c r="DG230" s="5"/>
      <x:c r="DH230" s="5"/>
      <x:c r="DI230" s="5"/>
      <x:c r="DJ230" s="5"/>
      <x:c r="DK230" s="5"/>
      <x:c r="DL230" s="5"/>
      <x:c r="DM230" s="5"/>
    </x:row>
    <x:row r="231">
      <x:c r="A231" s="5" t="n">
        <x:v>226</x:v>
      </x:c>
      <x:c r="B231" s="5"/>
      <x:c r="C231" s="5" t="str">
        <x:v>6314-97-2</x:v>
      </x:c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 t="n">
        <x:v>634</x:v>
      </x:c>
      <x:c r="O231" s="5" t="n">
        <x:v>1446</x:v>
      </x:c>
      <x:c r="P231" s="5" t="n">
        <x:v>1925</x:v>
      </x:c>
      <x:c r="Q231" s="5" t="n">
        <x:v>1556</x:v>
      </x:c>
      <x:c r="R231" s="5" t="n">
        <x:v>1597</x:v>
      </x:c>
      <x:c r="S231" s="5" t="n">
        <x:v>1342</x:v>
      </x:c>
      <x:c r="T231" s="5"/>
      <x:c r="U231" s="5"/>
      <x:c r="V231" s="5"/>
      <x:c r="W231" s="5"/>
      <x:c r="X231" s="5"/>
      <x:c r="Y231" s="5"/>
      <x:c r="Z231" s="5"/>
      <x:c r="AA231" s="5"/>
      <x:c r="AB231" s="5"/>
      <x:c r="AC231" s="5"/>
      <x:c r="AD231" s="5"/>
      <x:c r="AE231" s="5"/>
      <x:c r="AF231" s="5"/>
      <x:c r="AG231" s="5"/>
      <x:c r="AH231" s="5"/>
      <x:c r="AI231" s="5"/>
      <x:c r="AJ231" s="5"/>
      <x:c r="AK231" s="5"/>
      <x:c r="AL231" s="5"/>
      <x:c r="AM231" s="5"/>
      <x:c r="AN231" s="5"/>
      <x:c r="AO231" s="5"/>
      <x:c r="AP231" s="5"/>
      <x:c r="AQ231" s="5"/>
      <x:c r="AR231" s="5"/>
      <x:c r="AS231" s="5"/>
      <x:c r="AT231" s="5"/>
      <x:c r="AU231" s="5"/>
      <x:c r="AV231" s="5"/>
      <x:c r="AW231" s="5"/>
      <x:c r="AX231" s="5"/>
      <x:c r="AY231" s="5"/>
      <x:c r="AZ231" s="5"/>
      <x:c r="BA231" s="5"/>
      <x:c r="BB231" s="5"/>
      <x:c r="BC231" s="5"/>
      <x:c r="BD231" s="5"/>
      <x:c r="BE231" s="5"/>
      <x:c r="BF231" s="5"/>
      <x:c r="BG231" s="5"/>
      <x:c r="BH231" s="5"/>
      <x:c r="BI231" s="5"/>
      <x:c r="BJ231" s="5"/>
      <x:c r="BK231" s="5"/>
      <x:c r="BL231" s="5"/>
      <x:c r="BM231" s="5"/>
      <x:c r="BN231" s="5"/>
      <x:c r="BO231" s="5"/>
      <x:c r="BP231" s="5"/>
      <x:c r="BQ231" s="5"/>
      <x:c r="BR231" s="5"/>
      <x:c r="BS231" s="5"/>
      <x:c r="BT231" s="5"/>
      <x:c r="BU231" s="5"/>
      <x:c r="BV231" s="5"/>
      <x:c r="BW231" s="5"/>
      <x:c r="BX231" s="5"/>
      <x:c r="BY231" s="5"/>
      <x:c r="BZ231" s="5"/>
      <x:c r="CA231" s="5"/>
      <x:c r="CB231" s="5"/>
      <x:c r="CC231" s="5"/>
      <x:c r="CD231" s="5"/>
      <x:c r="CE231" s="5"/>
      <x:c r="CF231" s="5"/>
      <x:c r="CG231" s="5"/>
      <x:c r="CH231" s="5"/>
      <x:c r="CI231" s="5"/>
      <x:c r="CJ231" s="5"/>
      <x:c r="CK231" s="5"/>
      <x:c r="CL231" s="5"/>
      <x:c r="CM231" s="5"/>
      <x:c r="CN231" s="5"/>
      <x:c r="CO231" s="5"/>
      <x:c r="CP231" s="5"/>
      <x:c r="CQ231" s="5"/>
      <x:c r="CR231" s="5"/>
      <x:c r="CS231" s="5"/>
      <x:c r="CT231" s="5"/>
      <x:c r="CU231" s="5"/>
      <x:c r="CV231" s="5"/>
      <x:c r="CW231" s="5"/>
      <x:c r="CX231" s="5"/>
      <x:c r="CY231" s="5"/>
      <x:c r="CZ231" s="5"/>
      <x:c r="DA231" s="5"/>
      <x:c r="DB231" s="5"/>
      <x:c r="DC231" s="5"/>
      <x:c r="DD231" s="5"/>
      <x:c r="DE231" s="5"/>
      <x:c r="DF231" s="5"/>
      <x:c r="DG231" s="5"/>
      <x:c r="DH231" s="5"/>
      <x:c r="DI231" s="5"/>
      <x:c r="DJ231" s="5"/>
      <x:c r="DK231" s="5"/>
      <x:c r="DL231" s="5"/>
      <x:c r="DM231" s="5"/>
    </x:row>
    <x:row r="232">
      <x:c r="A232" s="5" t="n">
        <x:v>227</x:v>
      </x:c>
      <x:c r="B232" s="5" t="str">
        <x:v>己酸己酯</x:v>
      </x:c>
      <x:c r="C232" s="5" t="str">
        <x:v>6378-65-0</x:v>
      </x:c>
      <x:c r="D232" s="5" t="n">
        <x:v>1891</x:v>
      </x:c>
      <x:c r="E232" s="5" t="n">
        <x:v>146</x:v>
      </x:c>
      <x:c r="F232" s="5" t="n">
        <x:v>28416</x:v>
      </x:c>
      <x:c r="G232" s="5" t="n">
        <x:v>40.12</x:v>
      </x:c>
      <x:c r="H232" s="5" t="n">
        <x:v>54.57</x:v>
      </x:c>
      <x:c r="I232" s="5" t="n">
        <x:v>39.16</x:v>
      </x:c>
      <x:c r="J232" s="5" t="n">
        <x:v>58.38</x:v>
      </x:c>
      <x:c r="K232" s="5" t="n">
        <x:v>15.05</x:v>
      </x:c>
      <x:c r="L232" s="5"/>
      <x:c r="M232" s="5"/>
      <x:c r="N232" s="5" t="n">
        <x:v>193759</x:v>
      </x:c>
      <x:c r="O232" s="5" t="n">
        <x:v>170265</x:v>
      </x:c>
      <x:c r="P232" s="5" t="n">
        <x:v>155251</x:v>
      </x:c>
      <x:c r="Q232" s="5" t="n">
        <x:v>118620</x:v>
      </x:c>
      <x:c r="R232" s="5" t="n">
        <x:v>133816</x:v>
      </x:c>
      <x:c r="S232" s="5" t="n">
        <x:v>130156</x:v>
      </x:c>
      <x:c r="T232" s="5" t="n">
        <x:v>27</x:v>
      </x:c>
      <x:c r="U232" s="5" t="n">
        <x:v>20</x:v>
      </x:c>
      <x:c r="V232" s="5"/>
      <x:c r="W232" s="5" t="n">
        <x:v>16800</x:v>
      </x:c>
      <x:c r="X232" s="5" t="n">
        <x:v>11600</x:v>
      </x:c>
      <x:c r="Y232" s="5" t="n">
        <x:v>24400</x:v>
      </x:c>
      <x:c r="Z232" s="5" t="n">
        <x:v>42700</x:v>
      </x:c>
      <x:c r="AA232" s="5" t="n">
        <x:v>60400</x:v>
      </x:c>
      <x:c r="AB232" s="5" t="n">
        <x:v>110000</x:v>
      </x:c>
      <x:c r="AC232" s="5" t="n">
        <x:v>123000</x:v>
      </x:c>
      <x:c r="AD232" s="5" t="n">
        <x:v>129000</x:v>
      </x:c>
      <x:c r="AE232" s="5"/>
      <x:c r="AF232" s="5"/>
      <x:c r="AG232" s="5"/>
      <x:c r="AH232" s="5"/>
      <x:c r="AI232" s="5"/>
      <x:c r="AJ232" s="5"/>
      <x:c r="AK232" s="5" t="n">
        <x:v>2890</x:v>
      </x:c>
      <x:c r="AL232" s="5" t="n">
        <x:v>2710</x:v>
      </x:c>
      <x:c r="AM232" s="5" t="n">
        <x:v>37950</x:v>
      </x:c>
      <x:c r="AN232" s="5" t="n">
        <x:v>2740</x:v>
      </x:c>
      <x:c r="AO232" s="5" t="n">
        <x:v>3520</x:v>
      </x:c>
      <x:c r="AP232" s="5" t="n">
        <x:v>23070</x:v>
      </x:c>
      <x:c r="AQ232" s="5" t="n">
        <x:v>87.72</x:v>
      </x:c>
      <x:c r="AR232" s="5" t="n">
        <x:v>52.3</x:v>
      </x:c>
      <x:c r="AS232" s="5" t="n">
        <x:v>13.12</x:v>
      </x:c>
      <x:c r="AT232" s="5" t="n">
        <x:v>15.44</x:v>
      </x:c>
      <x:c r="AU232" s="5"/>
      <x:c r="AV232" s="5"/>
      <x:c r="AW232" s="5"/>
      <x:c r="AX232" s="5"/>
      <x:c r="AY232" s="5"/>
      <x:c r="AZ232" s="5"/>
      <x:c r="BA232" s="5"/>
      <x:c r="BB232" s="5" t="n">
        <x:v>3.83</x:v>
      </x:c>
      <x:c r="BC232" s="5" t="n">
        <x:v>2.5</x:v>
      </x:c>
      <x:c r="BD232" s="5" t="n">
        <x:v>1596.9</x:v>
      </x:c>
      <x:c r="BE232" s="5" t="n">
        <x:v>2319.5</x:v>
      </x:c>
      <x:c r="BF232" s="5" t="n">
        <x:v>3030.17</x:v>
      </x:c>
      <x:c r="BG232" s="5" t="n">
        <x:v>1053</x:v>
      </x:c>
      <x:c r="BH232" s="5" t="n">
        <x:v>26.98</x:v>
      </x:c>
      <x:c r="BI232" s="5" t="n">
        <x:v>997.01</x:v>
      </x:c>
      <x:c r="BJ232" s="5" t="n">
        <x:v>3.49</x:v>
      </x:c>
      <x:c r="BK232" s="5" t="n">
        <x:v>17.21</x:v>
      </x:c>
      <x:c r="BL232" s="5" t="n">
        <x:v>23.28</x:v>
      </x:c>
      <x:c r="BM232" s="5" t="n">
        <x:v>21.33</x:v>
      </x:c>
      <x:c r="BN232" s="5" t="n">
        <x:v>20.26</x:v>
      </x:c>
      <x:c r="BO232" s="5" t="n">
        <x:v>28.15</x:v>
      </x:c>
      <x:c r="BP232" s="5" t="n">
        <x:v>4.47</x:v>
      </x:c>
      <x:c r="BQ232" s="5"/>
      <x:c r="BR232" s="5"/>
      <x:c r="BS232" s="5"/>
      <x:c r="BT232" s="5"/>
      <x:c r="BU232" s="5"/>
      <x:c r="BV232" s="5"/>
      <x:c r="BW232" s="5"/>
      <x:c r="BX232" s="5"/>
      <x:c r="BY232" s="5"/>
      <x:c r="BZ232" s="5" t="n">
        <x:v>5078.7267</x:v>
      </x:c>
      <x:c r="CA232" s="5" t="n">
        <x:v>4687.6333</x:v>
      </x:c>
      <x:c r="CB232" s="5" t="n">
        <x:v>6437.79</x:v>
      </x:c>
      <x:c r="CC232" s="5" t="n">
        <x:v>3964.57</x:v>
      </x:c>
      <x:c r="CD232" s="5" t="n">
        <x:v>13587.34</x:v>
      </x:c>
      <x:c r="CE232" s="5" t="n">
        <x:v>5944.8</x:v>
      </x:c>
      <x:c r="CF232" s="5" t="n">
        <x:v>14913.66</x:v>
      </x:c>
      <x:c r="CG232" s="5" t="n">
        <x:v>2111.38</x:v>
      </x:c>
      <x:c r="CH232" s="5" t="n">
        <x:v>1467.24</x:v>
      </x:c>
      <x:c r="CI232" s="5" t="n">
        <x:v>22385.5</x:v>
      </x:c>
      <x:c r="CJ232" s="5" t="n">
        <x:v>49589.17</x:v>
      </x:c>
      <x:c r="CK232" s="5" t="n">
        <x:v>47099.9</x:v>
      </x:c>
      <x:c r="CL232" s="5" t="n">
        <x:v>18766.17</x:v>
      </x:c>
      <x:c r="CM232" s="5" t="n">
        <x:v>16632.01</x:v>
      </x:c>
      <x:c r="CN232" s="5" t="n">
        <x:v>4369</x:v>
      </x:c>
      <x:c r="CO232" s="5" t="n">
        <x:v>8356</x:v>
      </x:c>
      <x:c r="CP232" s="5" t="n">
        <x:v>6522</x:v>
      </x:c>
      <x:c r="CQ232" s="5" t="n">
        <x:v>9375</x:v>
      </x:c>
      <x:c r="CR232" s="5"/>
      <x:c r="CS232" s="5"/>
      <x:c r="CT232" s="5" t="n">
        <x:v>1723.85</x:v>
      </x:c>
      <x:c r="CU232" s="5" t="n">
        <x:v>466.19</x:v>
      </x:c>
      <x:c r="CV232" s="5" t="n">
        <x:v>1295.2</x:v>
      </x:c>
      <x:c r="CW232" s="5" t="n">
        <x:v>798.25</x:v>
      </x:c>
      <x:c r="CX232" s="5" t="n">
        <x:v>49144.44</x:v>
      </x:c>
      <x:c r="CY232" s="5" t="n">
        <x:v>7646.02</x:v>
      </x:c>
      <x:c r="CZ232" s="5" t="n">
        <x:v>12965.8</x:v>
      </x:c>
      <x:c r="DA232" s="5" t="n">
        <x:v>31239.62</x:v>
      </x:c>
      <x:c r="DB232" s="5" t="n">
        <x:v>6445.45</x:v>
      </x:c>
      <x:c r="DC232" s="5" t="n">
        <x:v>25845.63</x:v>
      </x:c>
      <x:c r="DD232" s="5" t="n">
        <x:v>32284.99</x:v>
      </x:c>
      <x:c r="DE232" s="5" t="n">
        <x:v>31295.98</x:v>
      </x:c>
      <x:c r="DF232" s="5" t="n">
        <x:v>20134.13</x:v>
      </x:c>
      <x:c r="DG232" s="5" t="n">
        <x:v>24861.8</x:v>
      </x:c>
      <x:c r="DH232" s="5" t="n">
        <x:v>24509.07</x:v>
      </x:c>
      <x:c r="DI232" s="5" t="n">
        <x:v>28724.84</x:v>
      </x:c>
      <x:c r="DJ232" s="5" t="n">
        <x:v>22125.93</x:v>
      </x:c>
      <x:c r="DK232" s="5" t="n">
        <x:v>21406.87</x:v>
      </x:c>
      <x:c r="DL232" s="5" t="n">
        <x:v>29482.28</x:v>
      </x:c>
      <x:c r="DM232" s="5" t="n">
        <x:v>11763.95</x:v>
      </x:c>
    </x:row>
    <x:row r="233">
      <x:c r="A233" s="5" t="n">
        <x:v>228</x:v>
      </x:c>
      <x:c r="B233" s="5"/>
      <x:c r="C233" s="5" t="str">
        <x:v>6920-72-5</x:v>
      </x:c>
      <x:c r="D233" s="5"/>
      <x:c r="E233" s="5"/>
      <x:c r="F233" s="5"/>
      <x:c r="G233" s="5"/>
      <x:c r="H233" s="5"/>
      <x:c r="I233" s="5"/>
      <x:c r="J233" s="5" t="n">
        <x:v>2.56</x:v>
      </x:c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  <x:c r="AC233" s="5"/>
      <x:c r="AD233" s="5"/>
      <x:c r="AE233" s="5"/>
      <x:c r="AF233" s="5"/>
      <x:c r="AG233" s="5"/>
      <x:c r="AH233" s="5"/>
      <x:c r="AI233" s="5"/>
      <x:c r="AJ233" s="5"/>
      <x:c r="AK233" s="5"/>
      <x:c r="AL233" s="5"/>
      <x:c r="AM233" s="5"/>
      <x:c r="AN233" s="5"/>
      <x:c r="AO233" s="5"/>
      <x:c r="AP233" s="5"/>
      <x:c r="AQ233" s="5"/>
      <x:c r="AR233" s="5"/>
      <x:c r="AS233" s="5"/>
      <x:c r="AT233" s="5"/>
      <x:c r="AU233" s="5"/>
      <x:c r="AV233" s="5"/>
      <x:c r="AW233" s="5"/>
      <x:c r="AX233" s="5"/>
      <x:c r="AY233" s="5"/>
      <x:c r="AZ233" s="5"/>
      <x:c r="BA233" s="5"/>
      <x:c r="BB233" s="5"/>
      <x:c r="BC233" s="5"/>
      <x:c r="BD233" s="5"/>
      <x:c r="BE233" s="5"/>
      <x:c r="BF233" s="5"/>
      <x:c r="BG233" s="5"/>
      <x:c r="BH233" s="5"/>
      <x:c r="BI233" s="5"/>
      <x:c r="BJ233" s="5"/>
      <x:c r="BK233" s="5"/>
      <x:c r="BL233" s="5"/>
      <x:c r="BM233" s="5"/>
      <x:c r="BN233" s="5"/>
      <x:c r="BO233" s="5"/>
      <x:c r="BP233" s="5"/>
      <x:c r="BQ233" s="5"/>
      <x:c r="BR233" s="5"/>
      <x:c r="BS233" s="5"/>
      <x:c r="BT233" s="5"/>
      <x:c r="BU233" s="5"/>
      <x:c r="BV233" s="5"/>
      <x:c r="BW233" s="5"/>
      <x:c r="BX233" s="5"/>
      <x:c r="BY233" s="5"/>
      <x:c r="BZ233" s="5"/>
      <x:c r="CA233" s="5"/>
      <x:c r="CB233" s="5"/>
      <x:c r="CC233" s="5"/>
      <x:c r="CD233" s="5"/>
      <x:c r="CE233" s="5"/>
      <x:c r="CF233" s="5"/>
      <x:c r="CG233" s="5"/>
      <x:c r="CH233" s="5"/>
      <x:c r="CI233" s="5"/>
      <x:c r="CJ233" s="5"/>
      <x:c r="CK233" s="5"/>
      <x:c r="CL233" s="5"/>
      <x:c r="CM233" s="5"/>
      <x:c r="CN233" s="5"/>
      <x:c r="CO233" s="5"/>
      <x:c r="CP233" s="5"/>
      <x:c r="CQ233" s="5"/>
      <x:c r="CR233" s="5"/>
      <x:c r="CS233" s="5"/>
      <x:c r="CT233" s="5"/>
      <x:c r="CU233" s="5"/>
      <x:c r="CV233" s="5"/>
      <x:c r="CW233" s="5"/>
      <x:c r="CX233" s="5"/>
      <x:c r="CY233" s="5"/>
      <x:c r="CZ233" s="5"/>
      <x:c r="DA233" s="5"/>
      <x:c r="DB233" s="5"/>
      <x:c r="DC233" s="5"/>
      <x:c r="DD233" s="5"/>
      <x:c r="DE233" s="5"/>
      <x:c r="DF233" s="5"/>
      <x:c r="DG233" s="5"/>
      <x:c r="DH233" s="5"/>
      <x:c r="DI233" s="5"/>
      <x:c r="DJ233" s="5"/>
      <x:c r="DK233" s="5"/>
      <x:c r="DL233" s="5"/>
      <x:c r="DM233" s="5"/>
    </x:row>
    <x:row r="234">
      <x:c r="A234" s="5" t="n">
        <x:v>229</x:v>
      </x:c>
      <x:c r="B234" s="5"/>
      <x:c r="C234" s="5" t="str">
        <x:v>6976-72-3</x:v>
      </x:c>
      <x:c r="D234" s="5"/>
      <x:c r="E234" s="5"/>
      <x:c r="F234" s="5"/>
      <x:c r="G234" s="5"/>
      <x:c r="H234" s="5"/>
      <x:c r="I234" s="5" t="n">
        <x:v>1.93</x:v>
      </x:c>
      <x:c r="J234" s="5" t="n">
        <x:v>4.64</x:v>
      </x:c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  <x:c r="AC234" s="5"/>
      <x:c r="AD234" s="5"/>
      <x:c r="AE234" s="5"/>
      <x:c r="AF234" s="5"/>
      <x:c r="AG234" s="5"/>
      <x:c r="AH234" s="5"/>
      <x:c r="AI234" s="5"/>
      <x:c r="AJ234" s="5"/>
      <x:c r="AK234" s="5"/>
      <x:c r="AL234" s="5"/>
      <x:c r="AM234" s="5"/>
      <x:c r="AN234" s="5"/>
      <x:c r="AO234" s="5"/>
      <x:c r="AP234" s="5"/>
      <x:c r="AQ234" s="5"/>
      <x:c r="AR234" s="5"/>
      <x:c r="AS234" s="5"/>
      <x:c r="AT234" s="5"/>
      <x:c r="AU234" s="5"/>
      <x:c r="AV234" s="5"/>
      <x:c r="AW234" s="5"/>
      <x:c r="AX234" s="5"/>
      <x:c r="AY234" s="5"/>
      <x:c r="AZ234" s="5"/>
      <x:c r="BA234" s="5"/>
      <x:c r="BB234" s="5"/>
      <x:c r="BC234" s="5"/>
      <x:c r="BD234" s="5"/>
      <x:c r="BE234" s="5"/>
      <x:c r="BF234" s="5"/>
      <x:c r="BG234" s="5"/>
      <x:c r="BH234" s="5"/>
      <x:c r="BI234" s="5"/>
      <x:c r="BJ234" s="5"/>
      <x:c r="BK234" s="5"/>
      <x:c r="BL234" s="5"/>
      <x:c r="BM234" s="5"/>
      <x:c r="BN234" s="5"/>
      <x:c r="BO234" s="5"/>
      <x:c r="BP234" s="5"/>
      <x:c r="BQ234" s="5"/>
      <x:c r="BR234" s="5"/>
      <x:c r="BS234" s="5"/>
      <x:c r="BT234" s="5"/>
      <x:c r="BU234" s="5"/>
      <x:c r="BV234" s="5"/>
      <x:c r="BW234" s="5"/>
      <x:c r="BX234" s="5"/>
      <x:c r="BY234" s="5"/>
      <x:c r="BZ234" s="5"/>
      <x:c r="CA234" s="5"/>
      <x:c r="CB234" s="5"/>
      <x:c r="CC234" s="5"/>
      <x:c r="CD234" s="5"/>
      <x:c r="CE234" s="5"/>
      <x:c r="CF234" s="5"/>
      <x:c r="CG234" s="5"/>
      <x:c r="CH234" s="5"/>
      <x:c r="CI234" s="5"/>
      <x:c r="CJ234" s="5"/>
      <x:c r="CK234" s="5"/>
      <x:c r="CL234" s="5"/>
      <x:c r="CM234" s="5"/>
      <x:c r="CN234" s="5"/>
      <x:c r="CO234" s="5"/>
      <x:c r="CP234" s="5"/>
      <x:c r="CQ234" s="5"/>
      <x:c r="CR234" s="5"/>
      <x:c r="CS234" s="5"/>
      <x:c r="CT234" s="5"/>
      <x:c r="CU234" s="5"/>
      <x:c r="CV234" s="5"/>
      <x:c r="CW234" s="5"/>
      <x:c r="CX234" s="5"/>
      <x:c r="CY234" s="5"/>
      <x:c r="CZ234" s="5"/>
      <x:c r="DA234" s="5"/>
      <x:c r="DB234" s="5"/>
      <x:c r="DC234" s="5"/>
      <x:c r="DD234" s="5"/>
      <x:c r="DE234" s="5"/>
      <x:c r="DF234" s="5"/>
      <x:c r="DG234" s="5"/>
      <x:c r="DH234" s="5"/>
      <x:c r="DI234" s="5"/>
      <x:c r="DJ234" s="5"/>
      <x:c r="DK234" s="5"/>
      <x:c r="DL234" s="5"/>
      <x:c r="DM234" s="5"/>
    </x:row>
    <x:row r="235">
      <x:c r="A235" s="5" t="n">
        <x:v>230</x:v>
      </x:c>
      <x:c r="B235" s="5"/>
      <x:c r="C235" s="5" t="str">
        <x:v>7367-88-6</x:v>
      </x:c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 t="n">
        <x:v>496</x:v>
      </x:c>
      <x:c r="O235" s="5" t="n">
        <x:v>385</x:v>
      </x:c>
      <x:c r="P235" s="5" t="n">
        <x:v>458</x:v>
      </x:c>
      <x:c r="Q235" s="5" t="n">
        <x:v>353</x:v>
      </x:c>
      <x:c r="R235" s="5" t="n">
        <x:v>370</x:v>
      </x:c>
      <x:c r="S235" s="5" t="n">
        <x:v>413</x:v>
      </x:c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  <x:c r="AQ235" s="5"/>
      <x:c r="AR235" s="5"/>
      <x:c r="AS235" s="5"/>
      <x:c r="AT235" s="5"/>
      <x:c r="AU235" s="5"/>
      <x:c r="AV235" s="5"/>
      <x:c r="AW235" s="5"/>
      <x:c r="AX235" s="5"/>
      <x:c r="AY235" s="5"/>
      <x:c r="AZ235" s="5"/>
      <x:c r="BA235" s="5"/>
      <x:c r="BB235" s="5"/>
      <x:c r="BC235" s="5"/>
      <x:c r="BD235" s="5"/>
      <x:c r="BE235" s="5"/>
      <x:c r="BF235" s="5"/>
      <x:c r="BG235" s="5"/>
      <x:c r="BH235" s="5"/>
      <x:c r="BI235" s="5"/>
      <x:c r="BJ235" s="5"/>
      <x:c r="BK235" s="5"/>
      <x:c r="BL235" s="5"/>
      <x:c r="BM235" s="5"/>
      <x:c r="BN235" s="5"/>
      <x:c r="BO235" s="5"/>
      <x:c r="BP235" s="5"/>
      <x:c r="BQ235" s="5"/>
      <x:c r="BR235" s="5"/>
      <x:c r="BS235" s="5"/>
      <x:c r="BT235" s="5"/>
      <x:c r="BU235" s="5"/>
      <x:c r="BV235" s="5"/>
      <x:c r="BW235" s="5"/>
      <x:c r="BX235" s="5"/>
      <x:c r="BY235" s="5"/>
      <x:c r="BZ235" s="5"/>
      <x:c r="CA235" s="5"/>
      <x:c r="CB235" s="5"/>
      <x:c r="CC235" s="5"/>
      <x:c r="CD235" s="5"/>
      <x:c r="CE235" s="5"/>
      <x:c r="CF235" s="5"/>
      <x:c r="CG235" s="5"/>
      <x:c r="CH235" s="5"/>
      <x:c r="CI235" s="5"/>
      <x:c r="CJ235" s="5"/>
      <x:c r="CK235" s="5"/>
      <x:c r="CL235" s="5"/>
      <x:c r="CM235" s="5"/>
      <x:c r="CN235" s="5"/>
      <x:c r="CO235" s="5"/>
      <x:c r="CP235" s="5"/>
      <x:c r="CQ235" s="5"/>
      <x:c r="CR235" s="5"/>
      <x:c r="CS235" s="5"/>
      <x:c r="CT235" s="5"/>
      <x:c r="CU235" s="5"/>
      <x:c r="CV235" s="5"/>
      <x:c r="CW235" s="5"/>
      <x:c r="CX235" s="5"/>
      <x:c r="CY235" s="5"/>
      <x:c r="CZ235" s="5"/>
      <x:c r="DA235" s="5"/>
      <x:c r="DB235" s="5"/>
      <x:c r="DC235" s="5"/>
      <x:c r="DD235" s="5"/>
      <x:c r="DE235" s="5"/>
      <x:c r="DF235" s="5"/>
      <x:c r="DG235" s="5"/>
      <x:c r="DH235" s="5"/>
      <x:c r="DI235" s="5"/>
      <x:c r="DJ235" s="5"/>
      <x:c r="DK235" s="5"/>
      <x:c r="DL235" s="5"/>
      <x:c r="DM235" s="5"/>
    </x:row>
    <x:row r="236">
      <x:c r="A236" s="5" t="n">
        <x:v>231</x:v>
      </x:c>
      <x:c r="B236" s="5"/>
      <x:c r="C236" s="5" t="str">
        <x:v>7378-89-4</x:v>
      </x:c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 t="n">
        <x:v>238</x:v>
      </x:c>
      <x:c r="P236" s="5" t="n">
        <x:v>363</x:v>
      </x:c>
      <x:c r="Q236" s="5" t="n">
        <x:v>90</x:v>
      </x:c>
      <x:c r="R236" s="5" t="n">
        <x:v>174</x:v>
      </x:c>
      <x:c r="S236" s="5" t="n">
        <x:v>158</x:v>
      </x:c>
      <x:c r="T236" s="5"/>
      <x:c r="U236" s="5"/>
      <x:c r="V236" s="5"/>
      <x:c r="W236" s="5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  <x:c r="AQ236" s="5"/>
      <x:c r="AR236" s="5"/>
      <x:c r="AS236" s="5"/>
      <x:c r="AT236" s="5"/>
      <x:c r="AU236" s="5"/>
      <x:c r="AV236" s="5"/>
      <x:c r="AW236" s="5"/>
      <x:c r="AX236" s="5"/>
      <x:c r="AY236" s="5"/>
      <x:c r="AZ236" s="5"/>
      <x:c r="BA236" s="5"/>
      <x:c r="BB236" s="5"/>
      <x:c r="BC236" s="5"/>
      <x:c r="BD236" s="5"/>
      <x:c r="BE236" s="5"/>
      <x:c r="BF236" s="5"/>
      <x:c r="BG236" s="5"/>
      <x:c r="BH236" s="5"/>
      <x:c r="BI236" s="5"/>
      <x:c r="BJ236" s="5"/>
      <x:c r="BK236" s="5"/>
      <x:c r="BL236" s="5"/>
      <x:c r="BM236" s="5"/>
      <x:c r="BN236" s="5"/>
      <x:c r="BO236" s="5"/>
      <x:c r="BP236" s="5"/>
      <x:c r="BQ236" s="5"/>
      <x:c r="BR236" s="5"/>
      <x:c r="BS236" s="5"/>
      <x:c r="BT236" s="5"/>
      <x:c r="BU236" s="5"/>
      <x:c r="BV236" s="5"/>
      <x:c r="BW236" s="5"/>
      <x:c r="BX236" s="5"/>
      <x:c r="BY236" s="5"/>
      <x:c r="BZ236" s="5"/>
      <x:c r="CA236" s="5"/>
      <x:c r="CB236" s="5"/>
      <x:c r="CC236" s="5"/>
      <x:c r="CD236" s="5"/>
      <x:c r="CE236" s="5"/>
      <x:c r="CF236" s="5"/>
      <x:c r="CG236" s="5"/>
      <x:c r="CH236" s="5"/>
      <x:c r="CI236" s="5"/>
      <x:c r="CJ236" s="5"/>
      <x:c r="CK236" s="5"/>
      <x:c r="CL236" s="5"/>
      <x:c r="CM236" s="5"/>
      <x:c r="CN236" s="5"/>
      <x:c r="CO236" s="5"/>
      <x:c r="CP236" s="5"/>
      <x:c r="CQ236" s="5"/>
      <x:c r="CR236" s="5"/>
      <x:c r="CS236" s="5"/>
      <x:c r="CT236" s="5"/>
      <x:c r="CU236" s="5"/>
      <x:c r="CV236" s="5"/>
      <x:c r="CW236" s="5"/>
      <x:c r="CX236" s="5"/>
      <x:c r="CY236" s="5"/>
      <x:c r="CZ236" s="5"/>
      <x:c r="DA236" s="5"/>
      <x:c r="DB236" s="5"/>
      <x:c r="DC236" s="5"/>
      <x:c r="DD236" s="5"/>
      <x:c r="DE236" s="5"/>
      <x:c r="DF236" s="5"/>
      <x:c r="DG236" s="5"/>
      <x:c r="DH236" s="5"/>
      <x:c r="DI236" s="5"/>
      <x:c r="DJ236" s="5"/>
      <x:c r="DK236" s="5"/>
      <x:c r="DL236" s="5"/>
      <x:c r="DM236" s="5"/>
    </x:row>
    <x:row r="237">
      <x:c r="A237" s="5" t="n">
        <x:v>232</x:v>
      </x:c>
      <x:c r="B237" s="5" t="str">
        <x:v>2-甲基丁酸乙酯</x:v>
      </x:c>
      <x:c r="C237" s="5" t="str">
        <x:v>7452-79-1</x:v>
      </x:c>
      <x:c r="D237" s="5" t="n">
        <x:v>18</x:v>
      </x:c>
      <x:c r="E237" s="5" t="n">
        <x:v>819</x:v>
      </x:c>
      <x:c r="F237" s="5" t="n">
        <x:v>863</x:v>
      </x:c>
      <x:c r="G237" s="5"/>
      <x:c r="H237" s="5"/>
      <x:c r="I237" s="5"/>
      <x:c r="J237" s="5"/>
      <x:c r="K237" s="5"/>
      <x:c r="L237" s="5"/>
      <x:c r="M237" s="5"/>
      <x:c r="N237" s="5" t="n">
        <x:v>809</x:v>
      </x:c>
      <x:c r="O237" s="5" t="n">
        <x:v>1369</x:v>
      </x:c>
      <x:c r="P237" s="5" t="n">
        <x:v>621</x:v>
      </x:c>
      <x:c r="Q237" s="5" t="n">
        <x:v>997</x:v>
      </x:c>
      <x:c r="R237" s="5" t="n">
        <x:v>201</x:v>
      </x:c>
      <x:c r="S237" s="5" t="n">
        <x:v>1611</x:v>
      </x:c>
      <x:c r="T237" s="5"/>
      <x:c r="U237" s="5"/>
      <x:c r="V237" s="5"/>
      <x:c r="W237" s="5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  <x:c r="AQ237" s="5" t="n">
        <x:v>12.62</x:v>
      </x:c>
      <x:c r="AR237" s="5" t="n">
        <x:v>2.99</x:v>
      </x:c>
      <x:c r="AS237" s="5" t="n">
        <x:v>3.94</x:v>
      </x:c>
      <x:c r="AT237" s="5" t="n">
        <x:v>7.98</x:v>
      </x:c>
      <x:c r="AU237" s="5" t="n">
        <x:v>0.97</x:v>
      </x:c>
      <x:c r="AV237" s="5"/>
      <x:c r="AW237" s="5"/>
      <x:c r="AX237" s="5"/>
      <x:c r="AY237" s="5"/>
      <x:c r="AZ237" s="5" t="n">
        <x:v>464</x:v>
      </x:c>
      <x:c r="BA237" s="5" t="n">
        <x:v>530</x:v>
      </x:c>
      <x:c r="BB237" s="5"/>
      <x:c r="BC237" s="5"/>
      <x:c r="BD237" s="5"/>
      <x:c r="BE237" s="5"/>
      <x:c r="BF237" s="5"/>
      <x:c r="BG237" s="5"/>
      <x:c r="BH237" s="5"/>
      <x:c r="BI237" s="5"/>
      <x:c r="BJ237" s="5"/>
      <x:c r="BK237" s="5"/>
      <x:c r="BL237" s="5"/>
      <x:c r="BM237" s="5"/>
      <x:c r="BN237" s="5"/>
      <x:c r="BO237" s="5"/>
      <x:c r="BP237" s="5"/>
      <x:c r="BQ237" s="5"/>
      <x:c r="BR237" s="5"/>
      <x:c r="BS237" s="5"/>
      <x:c r="BT237" s="5"/>
      <x:c r="BU237" s="5"/>
      <x:c r="BV237" s="5"/>
      <x:c r="BW237" s="5"/>
      <x:c r="BX237" s="5"/>
      <x:c r="BY237" s="5"/>
      <x:c r="BZ237" s="5"/>
      <x:c r="CA237" s="5"/>
      <x:c r="CB237" s="5"/>
      <x:c r="CC237" s="5"/>
      <x:c r="CD237" s="5"/>
      <x:c r="CE237" s="5"/>
      <x:c r="CF237" s="5"/>
      <x:c r="CG237" s="5"/>
      <x:c r="CH237" s="5"/>
      <x:c r="CI237" s="5"/>
      <x:c r="CJ237" s="5"/>
      <x:c r="CK237" s="5"/>
      <x:c r="CL237" s="5"/>
      <x:c r="CM237" s="5"/>
      <x:c r="CN237" s="5" t="n">
        <x:v>258</x:v>
      </x:c>
      <x:c r="CO237" s="5" t="n">
        <x:v>931</x:v>
      </x:c>
      <x:c r="CP237" s="5" t="n">
        <x:v>336</x:v>
      </x:c>
      <x:c r="CQ237" s="5" t="n">
        <x:v>340</x:v>
      </x:c>
      <x:c r="CR237" s="5"/>
      <x:c r="CS237" s="5"/>
      <x:c r="CT237" s="5"/>
      <x:c r="CU237" s="5"/>
      <x:c r="CV237" s="5"/>
      <x:c r="CW237" s="5"/>
      <x:c r="CX237" s="5" t="n">
        <x:v>224.66</x:v>
      </x:c>
      <x:c r="CY237" s="5" t="n">
        <x:v>914.27</x:v>
      </x:c>
      <x:c r="CZ237" s="5" t="n">
        <x:v>518.24</x:v>
      </x:c>
      <x:c r="DA237" s="5" t="n">
        <x:v>282.06</x:v>
      </x:c>
      <x:c r="DB237" s="5" t="n">
        <x:v>711.61</x:v>
      </x:c>
      <x:c r="DC237" s="5" t="n">
        <x:v>110.44</x:v>
      </x:c>
      <x:c r="DD237" s="5" t="n">
        <x:v>1064.95</x:v>
      </x:c>
      <x:c r="DE237" s="5" t="n">
        <x:v>181.5</x:v>
      </x:c>
      <x:c r="DF237" s="5" t="n">
        <x:v>1254.92</x:v>
      </x:c>
      <x:c r="DG237" s="5" t="n">
        <x:v>236.86</x:v>
      </x:c>
      <x:c r="DH237" s="5" t="n">
        <x:v>935.47</x:v>
      </x:c>
      <x:c r="DI237" s="5" t="n">
        <x:v>178.25</x:v>
      </x:c>
      <x:c r="DJ237" s="5" t="n">
        <x:v>999.7</x:v>
      </x:c>
      <x:c r="DK237" s="5" t="n">
        <x:v>128.96</x:v>
      </x:c>
      <x:c r="DL237" s="5" t="n">
        <x:v>1161.27</x:v>
      </x:c>
      <x:c r="DM237" s="5" t="n">
        <x:v>299.93</x:v>
      </x:c>
    </x:row>
    <x:row r="238">
      <x:c r="A238" s="5" t="n">
        <x:v>233</x:v>
      </x:c>
      <x:c r="B238" s="5"/>
      <x:c r="C238" s="5" t="str">
        <x:v>7493-69-8</x:v>
      </x:c>
      <x:c r="D238" s="5"/>
      <x:c r="E238" s="5"/>
      <x:c r="F238" s="5"/>
      <x:c r="G238" s="5"/>
      <x:c r="H238" s="5" t="n">
        <x:v>2.78</x:v>
      </x:c>
      <x:c r="I238" s="5" t="n">
        <x:v>0.88</x:v>
      </x:c>
      <x:c r="J238" s="5" t="n">
        <x:v>1.99</x:v>
      </x:c>
      <x:c r="K238" s="5" t="n">
        <x:v>0.77</x:v>
      </x:c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  <x:c r="AQ238" s="5"/>
      <x:c r="AR238" s="5"/>
      <x:c r="AS238" s="5"/>
      <x:c r="AT238" s="5"/>
      <x:c r="AU238" s="5"/>
      <x:c r="AV238" s="5"/>
      <x:c r="AW238" s="5"/>
      <x:c r="AX238" s="5"/>
      <x:c r="AY238" s="5"/>
      <x:c r="AZ238" s="5"/>
      <x:c r="BA238" s="5"/>
      <x:c r="BB238" s="5"/>
      <x:c r="BC238" s="5"/>
      <x:c r="BD238" s="5"/>
      <x:c r="BE238" s="5"/>
      <x:c r="BF238" s="5"/>
      <x:c r="BG238" s="5"/>
      <x:c r="BH238" s="5"/>
      <x:c r="BI238" s="5"/>
      <x:c r="BJ238" s="5"/>
      <x:c r="BK238" s="5"/>
      <x:c r="BL238" s="5"/>
      <x:c r="BM238" s="5"/>
      <x:c r="BN238" s="5"/>
      <x:c r="BO238" s="5"/>
      <x:c r="BP238" s="5"/>
      <x:c r="BQ238" s="5"/>
      <x:c r="BR238" s="5"/>
      <x:c r="BS238" s="5"/>
      <x:c r="BT238" s="5"/>
      <x:c r="BU238" s="5"/>
      <x:c r="BV238" s="5"/>
      <x:c r="BW238" s="5"/>
      <x:c r="BX238" s="5"/>
      <x:c r="BY238" s="5"/>
      <x:c r="BZ238" s="5"/>
      <x:c r="CA238" s="5"/>
      <x:c r="CB238" s="5"/>
      <x:c r="CC238" s="5"/>
      <x:c r="CD238" s="5"/>
      <x:c r="CE238" s="5"/>
      <x:c r="CF238" s="5"/>
      <x:c r="CG238" s="5"/>
      <x:c r="CH238" s="5"/>
      <x:c r="CI238" s="5"/>
      <x:c r="CJ238" s="5"/>
      <x:c r="CK238" s="5"/>
      <x:c r="CL238" s="5"/>
      <x:c r="CM238" s="5"/>
      <x:c r="CN238" s="5"/>
      <x:c r="CO238" s="5"/>
      <x:c r="CP238" s="5"/>
      <x:c r="CQ238" s="5"/>
      <x:c r="CR238" s="5"/>
      <x:c r="CS238" s="5"/>
      <x:c r="CT238" s="5"/>
      <x:c r="CU238" s="5"/>
      <x:c r="CV238" s="5"/>
      <x:c r="CW238" s="5"/>
      <x:c r="CX238" s="5"/>
      <x:c r="CY238" s="5"/>
      <x:c r="CZ238" s="5"/>
      <x:c r="DA238" s="5"/>
      <x:c r="DB238" s="5"/>
      <x:c r="DC238" s="5"/>
      <x:c r="DD238" s="5"/>
      <x:c r="DE238" s="5"/>
      <x:c r="DF238" s="5"/>
      <x:c r="DG238" s="5"/>
      <x:c r="DH238" s="5"/>
      <x:c r="DI238" s="5"/>
      <x:c r="DJ238" s="5"/>
      <x:c r="DK238" s="5"/>
      <x:c r="DL238" s="5"/>
      <x:c r="DM238" s="5"/>
    </x:row>
    <x:row r="239">
      <x:c r="A239" s="5" t="n">
        <x:v>234</x:v>
      </x:c>
      <x:c r="B239" s="5"/>
      <x:c r="C239" s="5" t="str">
        <x:v>7779-75-1</x:v>
      </x:c>
      <x:c r="D239" s="5"/>
      <x:c r="E239" s="5"/>
      <x:c r="F239" s="5"/>
      <x:c r="G239" s="5"/>
      <x:c r="H239" s="5"/>
      <x:c r="I239" s="5"/>
      <x:c r="J239" s="5"/>
      <x:c r="K239" s="5" t="n">
        <x:v>0.04</x:v>
      </x:c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  <x:c r="AQ239" s="5"/>
      <x:c r="AR239" s="5"/>
      <x:c r="AS239" s="5"/>
      <x:c r="AT239" s="5"/>
      <x:c r="AU239" s="5"/>
      <x:c r="AV239" s="5"/>
      <x:c r="AW239" s="5"/>
      <x:c r="AX239" s="5"/>
      <x:c r="AY239" s="5"/>
      <x:c r="AZ239" s="5"/>
      <x:c r="BA239" s="5"/>
      <x:c r="BB239" s="5"/>
      <x:c r="BC239" s="5"/>
      <x:c r="BD239" s="5"/>
      <x:c r="BE239" s="5"/>
      <x:c r="BF239" s="5"/>
      <x:c r="BG239" s="5"/>
      <x:c r="BH239" s="5"/>
      <x:c r="BI239" s="5"/>
      <x:c r="BJ239" s="5"/>
      <x:c r="BK239" s="5"/>
      <x:c r="BL239" s="5"/>
      <x:c r="BM239" s="5"/>
      <x:c r="BN239" s="5"/>
      <x:c r="BO239" s="5"/>
      <x:c r="BP239" s="5"/>
      <x:c r="BQ239" s="5"/>
      <x:c r="BR239" s="5"/>
      <x:c r="BS239" s="5"/>
      <x:c r="BT239" s="5"/>
      <x:c r="BU239" s="5"/>
      <x:c r="BV239" s="5"/>
      <x:c r="BW239" s="5"/>
      <x:c r="BX239" s="5"/>
      <x:c r="BY239" s="5"/>
      <x:c r="BZ239" s="5"/>
      <x:c r="CA239" s="5"/>
      <x:c r="CB239" s="5"/>
      <x:c r="CC239" s="5"/>
      <x:c r="CD239" s="5"/>
      <x:c r="CE239" s="5"/>
      <x:c r="CF239" s="5"/>
      <x:c r="CG239" s="5"/>
      <x:c r="CH239" s="5"/>
      <x:c r="CI239" s="5"/>
      <x:c r="CJ239" s="5"/>
      <x:c r="CK239" s="5"/>
      <x:c r="CL239" s="5"/>
      <x:c r="CM239" s="5"/>
      <x:c r="CN239" s="5"/>
      <x:c r="CO239" s="5"/>
      <x:c r="CP239" s="5"/>
      <x:c r="CQ239" s="5"/>
      <x:c r="CR239" s="5"/>
      <x:c r="CS239" s="5"/>
      <x:c r="CT239" s="5"/>
      <x:c r="CU239" s="5"/>
      <x:c r="CV239" s="5"/>
      <x:c r="CW239" s="5"/>
      <x:c r="CX239" s="5"/>
      <x:c r="CY239" s="5"/>
      <x:c r="CZ239" s="5"/>
      <x:c r="DA239" s="5"/>
      <x:c r="DB239" s="5"/>
      <x:c r="DC239" s="5"/>
      <x:c r="DD239" s="5"/>
      <x:c r="DE239" s="5"/>
      <x:c r="DF239" s="5"/>
      <x:c r="DG239" s="5"/>
      <x:c r="DH239" s="5"/>
      <x:c r="DI239" s="5"/>
      <x:c r="DJ239" s="5"/>
      <x:c r="DK239" s="5"/>
      <x:c r="DL239" s="5"/>
      <x:c r="DM239" s="5"/>
    </x:row>
    <x:row r="240">
      <x:c r="A240" s="5" t="n">
        <x:v>235</x:v>
      </x:c>
      <x:c r="B240" s="5" t="str">
        <x:v>庚酸异丁酯</x:v>
      </x:c>
      <x:c r="C240" s="5" t="str">
        <x:v>7779-80-8</x:v>
      </x:c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 t="n">
        <x:v>465</x:v>
      </x:c>
      <x:c r="O240" s="5" t="n">
        <x:v>912</x:v>
      </x:c>
      <x:c r="P240" s="5" t="n">
        <x:v>365</x:v>
      </x:c>
      <x:c r="Q240" s="5" t="n">
        <x:v>770</x:v>
      </x:c>
      <x:c r="R240" s="5" t="n">
        <x:v>473</x:v>
      </x:c>
      <x:c r="S240" s="5" t="n">
        <x:v>279</x:v>
      </x:c>
      <x:c r="T240" s="5"/>
      <x:c r="U240" s="5"/>
      <x:c r="V240" s="5"/>
      <x:c r="W240" s="5"/>
      <x:c r="X240" s="5"/>
      <x:c r="Y240" s="5"/>
      <x:c r="Z240" s="5"/>
      <x:c r="AA240" s="5"/>
      <x:c r="AB240" s="5"/>
      <x:c r="AC240" s="5"/>
      <x:c r="AD240" s="5"/>
      <x:c r="AE240" s="5"/>
      <x:c r="AF240" s="5"/>
      <x:c r="AG240" s="5"/>
      <x:c r="AH240" s="5"/>
      <x:c r="AI240" s="5"/>
      <x:c r="AJ240" s="5"/>
      <x:c r="AK240" s="5"/>
      <x:c r="AL240" s="5"/>
      <x:c r="AM240" s="5"/>
      <x:c r="AN240" s="5"/>
      <x:c r="AO240" s="5"/>
      <x:c r="AP240" s="5"/>
      <x:c r="AQ240" s="5"/>
      <x:c r="AR240" s="5"/>
      <x:c r="AS240" s="5"/>
      <x:c r="AT240" s="5"/>
      <x:c r="AU240" s="5"/>
      <x:c r="AV240" s="5"/>
      <x:c r="AW240" s="5"/>
      <x:c r="AX240" s="5"/>
      <x:c r="AY240" s="5"/>
      <x:c r="AZ240" s="5"/>
      <x:c r="BA240" s="5"/>
      <x:c r="BB240" s="5"/>
      <x:c r="BC240" s="5"/>
      <x:c r="BD240" s="5"/>
      <x:c r="BE240" s="5"/>
      <x:c r="BF240" s="5"/>
      <x:c r="BG240" s="5"/>
      <x:c r="BH240" s="5"/>
      <x:c r="BI240" s="5"/>
      <x:c r="BJ240" s="5"/>
      <x:c r="BK240" s="5"/>
      <x:c r="BL240" s="5"/>
      <x:c r="BM240" s="5"/>
      <x:c r="BN240" s="5"/>
      <x:c r="BO240" s="5"/>
      <x:c r="BP240" s="5"/>
      <x:c r="BQ240" s="5"/>
      <x:c r="BR240" s="5"/>
      <x:c r="BS240" s="5"/>
      <x:c r="BT240" s="5"/>
      <x:c r="BU240" s="5"/>
      <x:c r="BV240" s="5"/>
      <x:c r="BW240" s="5"/>
      <x:c r="BX240" s="5"/>
      <x:c r="BY240" s="5"/>
      <x:c r="BZ240" s="5"/>
      <x:c r="CA240" s="5"/>
      <x:c r="CB240" s="5"/>
      <x:c r="CC240" s="5"/>
      <x:c r="CD240" s="5"/>
      <x:c r="CE240" s="5"/>
      <x:c r="CF240" s="5"/>
      <x:c r="CG240" s="5"/>
      <x:c r="CH240" s="5"/>
      <x:c r="CI240" s="5"/>
      <x:c r="CJ240" s="5"/>
      <x:c r="CK240" s="5"/>
      <x:c r="CL240" s="5"/>
      <x:c r="CM240" s="5"/>
      <x:c r="CN240" s="5"/>
      <x:c r="CO240" s="5"/>
      <x:c r="CP240" s="5"/>
      <x:c r="CQ240" s="5"/>
      <x:c r="CR240" s="5"/>
      <x:c r="CS240" s="5"/>
      <x:c r="CT240" s="5"/>
      <x:c r="CU240" s="5"/>
      <x:c r="CV240" s="5"/>
      <x:c r="CW240" s="5"/>
      <x:c r="CX240" s="5" t="n">
        <x:v>22.76</x:v>
      </x:c>
      <x:c r="CY240" s="5"/>
      <x:c r="CZ240" s="5"/>
      <x:c r="DA240" s="5" t="n">
        <x:v>43.12</x:v>
      </x:c>
      <x:c r="DB240" s="5" t="n">
        <x:v>0.23</x:v>
      </x:c>
      <x:c r="DC240" s="5" t="n">
        <x:v>45.94</x:v>
      </x:c>
      <x:c r="DD240" s="5" t="n">
        <x:v>3.09</x:v>
      </x:c>
      <x:c r="DE240" s="5" t="n">
        <x:v>27.41</x:v>
      </x:c>
      <x:c r="DF240" s="5" t="n">
        <x:v>1.08</x:v>
      </x:c>
      <x:c r="DG240" s="5" t="n">
        <x:v>0.33</x:v>
      </x:c>
      <x:c r="DH240" s="5" t="n">
        <x:v>3.36</x:v>
      </x:c>
      <x:c r="DI240" s="5" t="n">
        <x:v>0.23</x:v>
      </x:c>
      <x:c r="DJ240" s="5" t="n">
        <x:v>1.27</x:v>
      </x:c>
      <x:c r="DK240" s="5" t="n">
        <x:v>0.28</x:v>
      </x:c>
      <x:c r="DL240" s="5" t="n">
        <x:v>3.67</x:v>
      </x:c>
      <x:c r="DM240" s="5"/>
    </x:row>
    <x:row r="241">
      <x:c r="A241" s="5" t="n">
        <x:v>236</x:v>
      </x:c>
      <x:c r="B241" s="5" t="str">
        <x:v>4-乙烯基愈创木酚</x:v>
      </x:c>
      <x:c r="C241" s="5" t="str">
        <x:v>7786-61-0</x:v>
      </x:c>
      <x:c r="D241" s="5" t="n">
        <x:v>209</x:v>
      </x:c>
      <x:c r="E241" s="5"/>
      <x:c r="F241" s="5" t="n">
        <x:v>12</x:v>
      </x:c>
      <x:c r="G241" s="5"/>
      <x:c r="H241" s="5"/>
      <x:c r="I241" s="5"/>
      <x:c r="J241" s="5"/>
      <x:c r="K241" s="5" t="n">
        <x:v>6.48</x:v>
      </x:c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 t="n">
        <x:v>1.0833</x:v>
      </x:c>
      <x:c r="W241" s="5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  <x:c r="AQ241" s="5"/>
      <x:c r="AR241" s="5"/>
      <x:c r="AS241" s="5"/>
      <x:c r="AT241" s="5"/>
      <x:c r="AU241" s="5"/>
      <x:c r="AV241" s="5"/>
      <x:c r="AW241" s="5"/>
      <x:c r="AX241" s="5"/>
      <x:c r="AY241" s="5"/>
      <x:c r="AZ241" s="5"/>
      <x:c r="BA241" s="5"/>
      <x:c r="BB241" s="5"/>
      <x:c r="BC241" s="5"/>
      <x:c r="BD241" s="5"/>
      <x:c r="BE241" s="5"/>
      <x:c r="BF241" s="5"/>
      <x:c r="BG241" s="5"/>
      <x:c r="BH241" s="5"/>
      <x:c r="BI241" s="5"/>
      <x:c r="BJ241" s="5"/>
      <x:c r="BK241" s="5"/>
      <x:c r="BL241" s="5"/>
      <x:c r="BM241" s="5"/>
      <x:c r="BN241" s="5"/>
      <x:c r="BO241" s="5"/>
      <x:c r="BP241" s="5"/>
      <x:c r="BQ241" s="5"/>
      <x:c r="BR241" s="5"/>
      <x:c r="BS241" s="5"/>
      <x:c r="BT241" s="5"/>
      <x:c r="BU241" s="5"/>
      <x:c r="BV241" s="5"/>
      <x:c r="BW241" s="5"/>
      <x:c r="BX241" s="5"/>
      <x:c r="BY241" s="5"/>
      <x:c r="BZ241" s="5" t="n">
        <x:v>635.14</x:v>
      </x:c>
      <x:c r="CA241" s="5" t="n">
        <x:v>270.07</x:v>
      </x:c>
      <x:c r="CB241" s="5" t="n">
        <x:v>953.69</x:v>
      </x:c>
      <x:c r="CC241" s="5" t="n">
        <x:v>913.34</x:v>
      </x:c>
      <x:c r="CD241" s="5" t="n">
        <x:v>625.42</x:v>
      </x:c>
      <x:c r="CE241" s="5" t="n">
        <x:v>1244.92</x:v>
      </x:c>
      <x:c r="CF241" s="5" t="n">
        <x:v>1590.85</x:v>
      </x:c>
      <x:c r="CG241" s="5" t="n">
        <x:v>723.95</x:v>
      </x:c>
      <x:c r="CH241" s="5" t="n">
        <x:v>546.01</x:v>
      </x:c>
      <x:c r="CI241" s="5" t="n">
        <x:v>1224.43</x:v>
      </x:c>
      <x:c r="CJ241" s="5" t="n">
        <x:v>1107.29</x:v>
      </x:c>
      <x:c r="CK241" s="5" t="n">
        <x:v>1014</x:v>
      </x:c>
      <x:c r="CL241" s="5" t="n">
        <x:v>1024.08</x:v>
      </x:c>
      <x:c r="CM241" s="5"/>
      <x:c r="CN241" s="5"/>
      <x:c r="CO241" s="5"/>
      <x:c r="CP241" s="5"/>
      <x:c r="CQ241" s="5"/>
      <x:c r="CR241" s="5"/>
      <x:c r="CS241" s="5"/>
      <x:c r="CT241" s="5"/>
      <x:c r="CU241" s="5"/>
      <x:c r="CV241" s="5"/>
      <x:c r="CW241" s="5"/>
      <x:c r="CX241" s="5" t="n">
        <x:v>3.16</x:v>
      </x:c>
      <x:c r="CY241" s="5" t="n">
        <x:v>9.68</x:v>
      </x:c>
      <x:c r="CZ241" s="5" t="n">
        <x:v>5.74</x:v>
      </x:c>
      <x:c r="DA241" s="5" t="n">
        <x:v>3.01</x:v>
      </x:c>
      <x:c r="DB241" s="5"/>
      <x:c r="DC241" s="5" t="n">
        <x:v>3.54</x:v>
      </x:c>
      <x:c r="DD241" s="5" t="n">
        <x:v>20.76</x:v>
      </x:c>
      <x:c r="DE241" s="5" t="n">
        <x:v>5.49</x:v>
      </x:c>
      <x:c r="DF241" s="5" t="n">
        <x:v>13.98</x:v>
      </x:c>
      <x:c r="DG241" s="5" t="n">
        <x:v>3.59</x:v>
      </x:c>
      <x:c r="DH241" s="5" t="n">
        <x:v>8.37</x:v>
      </x:c>
      <x:c r="DI241" s="5" t="n">
        <x:v>2.81</x:v>
      </x:c>
      <x:c r="DJ241" s="5" t="n">
        <x:v>10.88</x:v>
      </x:c>
      <x:c r="DK241" s="5" t="n">
        <x:v>3.75</x:v>
      </x:c>
      <x:c r="DL241" s="5" t="n">
        <x:v>9.91</x:v>
      </x:c>
      <x:c r="DM241" s="5" t="n">
        <x:v>2.97</x:v>
      </x:c>
    </x:row>
    <x:row r="242">
      <x:c r="A242" s="5" t="n">
        <x:v>237</x:v>
      </x:c>
      <x:c r="B242" s="5"/>
      <x:c r="C242" s="5" t="str">
        <x:v>7789-99-3</x:v>
      </x:c>
      <x:c r="D242" s="5"/>
      <x:c r="E242" s="5"/>
      <x:c r="F242" s="5"/>
      <x:c r="G242" s="5"/>
      <x:c r="H242" s="5"/>
      <x:c r="I242" s="5"/>
      <x:c r="J242" s="5"/>
      <x:c r="K242" s="5" t="n">
        <x:v>0.25</x:v>
      </x:c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  <x:c r="AQ242" s="5"/>
      <x:c r="AR242" s="5"/>
      <x:c r="AS242" s="5"/>
      <x:c r="AT242" s="5"/>
      <x:c r="AU242" s="5"/>
      <x:c r="AV242" s="5"/>
      <x:c r="AW242" s="5"/>
      <x:c r="AX242" s="5"/>
      <x:c r="AY242" s="5"/>
      <x:c r="AZ242" s="5"/>
      <x:c r="BA242" s="5"/>
      <x:c r="BB242" s="5"/>
      <x:c r="BC242" s="5"/>
      <x:c r="BD242" s="5"/>
      <x:c r="BE242" s="5"/>
      <x:c r="BF242" s="5"/>
      <x:c r="BG242" s="5"/>
      <x:c r="BH242" s="5"/>
      <x:c r="BI242" s="5"/>
      <x:c r="BJ242" s="5"/>
      <x:c r="BK242" s="5"/>
      <x:c r="BL242" s="5"/>
      <x:c r="BM242" s="5"/>
      <x:c r="BN242" s="5"/>
      <x:c r="BO242" s="5"/>
      <x:c r="BP242" s="5"/>
      <x:c r="BQ242" s="5"/>
      <x:c r="BR242" s="5"/>
      <x:c r="BS242" s="5"/>
      <x:c r="BT242" s="5"/>
      <x:c r="BU242" s="5"/>
      <x:c r="BV242" s="5"/>
      <x:c r="BW242" s="5"/>
      <x:c r="BX242" s="5"/>
      <x:c r="BY242" s="5"/>
      <x:c r="BZ242" s="5"/>
      <x:c r="CA242" s="5"/>
      <x:c r="CB242" s="5"/>
      <x:c r="CC242" s="5"/>
      <x:c r="CD242" s="5"/>
      <x:c r="CE242" s="5"/>
      <x:c r="CF242" s="5"/>
      <x:c r="CG242" s="5"/>
      <x:c r="CH242" s="5"/>
      <x:c r="CI242" s="5"/>
      <x:c r="CJ242" s="5"/>
      <x:c r="CK242" s="5"/>
      <x:c r="CL242" s="5"/>
      <x:c r="CM242" s="5"/>
      <x:c r="CN242" s="5"/>
      <x:c r="CO242" s="5"/>
      <x:c r="CP242" s="5"/>
      <x:c r="CQ242" s="5"/>
      <x:c r="CR242" s="5"/>
      <x:c r="CS242" s="5"/>
      <x:c r="CT242" s="5"/>
      <x:c r="CU242" s="5"/>
      <x:c r="CV242" s="5"/>
      <x:c r="CW242" s="5"/>
      <x:c r="CX242" s="5"/>
      <x:c r="CY242" s="5"/>
      <x:c r="CZ242" s="5"/>
      <x:c r="DA242" s="5"/>
      <x:c r="DB242" s="5"/>
      <x:c r="DC242" s="5"/>
      <x:c r="DD242" s="5"/>
      <x:c r="DE242" s="5"/>
      <x:c r="DF242" s="5"/>
      <x:c r="DG242" s="5"/>
      <x:c r="DH242" s="5"/>
      <x:c r="DI242" s="5"/>
      <x:c r="DJ242" s="5"/>
      <x:c r="DK242" s="5"/>
      <x:c r="DL242" s="5"/>
      <x:c r="DM242" s="5"/>
    </x:row>
    <x:row r="243">
      <x:c r="A243" s="5" t="n">
        <x:v>238</x:v>
      </x:c>
      <x:c r="B243" s="5"/>
      <x:c r="C243" s="5" t="str">
        <x:v>10031-93-3</x:v>
      </x:c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 t="n">
        <x:v>845</x:v>
      </x:c>
      <x:c r="P243" s="5" t="n">
        <x:v>829</x:v>
      </x:c>
      <x:c r="Q243" s="5" t="n">
        <x:v>727</x:v>
      </x:c>
      <x:c r="R243" s="5" t="n">
        <x:v>739</x:v>
      </x:c>
      <x:c r="S243" s="5" t="n">
        <x:v>757</x:v>
      </x:c>
      <x:c r="T243" s="5"/>
      <x:c r="U243" s="5"/>
      <x:c r="V243" s="5"/>
      <x:c r="W243" s="5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  <x:c r="AQ243" s="5"/>
      <x:c r="AR243" s="5"/>
      <x:c r="AS243" s="5"/>
      <x:c r="AT243" s="5"/>
      <x:c r="AU243" s="5"/>
      <x:c r="AV243" s="5"/>
      <x:c r="AW243" s="5"/>
      <x:c r="AX243" s="5"/>
      <x:c r="AY243" s="5"/>
      <x:c r="AZ243" s="5"/>
      <x:c r="BA243" s="5"/>
      <x:c r="BB243" s="5"/>
      <x:c r="BC243" s="5"/>
      <x:c r="BD243" s="5"/>
      <x:c r="BE243" s="5"/>
      <x:c r="BF243" s="5"/>
      <x:c r="BG243" s="5"/>
      <x:c r="BH243" s="5"/>
      <x:c r="BI243" s="5"/>
      <x:c r="BJ243" s="5"/>
      <x:c r="BK243" s="5"/>
      <x:c r="BL243" s="5"/>
      <x:c r="BM243" s="5"/>
      <x:c r="BN243" s="5"/>
      <x:c r="BO243" s="5"/>
      <x:c r="BP243" s="5"/>
      <x:c r="BQ243" s="5"/>
      <x:c r="BR243" s="5"/>
      <x:c r="BS243" s="5"/>
      <x:c r="BT243" s="5"/>
      <x:c r="BU243" s="5"/>
      <x:c r="BV243" s="5"/>
      <x:c r="BW243" s="5"/>
      <x:c r="BX243" s="5"/>
      <x:c r="BY243" s="5"/>
      <x:c r="BZ243" s="5"/>
      <x:c r="CA243" s="5"/>
      <x:c r="CB243" s="5"/>
      <x:c r="CC243" s="5"/>
      <x:c r="CD243" s="5"/>
      <x:c r="CE243" s="5"/>
      <x:c r="CF243" s="5"/>
      <x:c r="CG243" s="5"/>
      <x:c r="CH243" s="5"/>
      <x:c r="CI243" s="5"/>
      <x:c r="CJ243" s="5"/>
      <x:c r="CK243" s="5"/>
      <x:c r="CL243" s="5"/>
      <x:c r="CM243" s="5"/>
      <x:c r="CN243" s="5"/>
      <x:c r="CO243" s="5"/>
      <x:c r="CP243" s="5"/>
      <x:c r="CQ243" s="5"/>
      <x:c r="CR243" s="5"/>
      <x:c r="CS243" s="5"/>
      <x:c r="CT243" s="5"/>
      <x:c r="CU243" s="5"/>
      <x:c r="CV243" s="5"/>
      <x:c r="CW243" s="5"/>
      <x:c r="CX243" s="5"/>
      <x:c r="CY243" s="5"/>
      <x:c r="CZ243" s="5"/>
      <x:c r="DA243" s="5"/>
      <x:c r="DB243" s="5"/>
      <x:c r="DC243" s="5"/>
      <x:c r="DD243" s="5"/>
      <x:c r="DE243" s="5"/>
      <x:c r="DF243" s="5"/>
      <x:c r="DG243" s="5"/>
      <x:c r="DH243" s="5"/>
      <x:c r="DI243" s="5"/>
      <x:c r="DJ243" s="5"/>
      <x:c r="DK243" s="5"/>
      <x:c r="DL243" s="5"/>
      <x:c r="DM243" s="5"/>
    </x:row>
    <x:row r="244">
      <x:c r="A244" s="5" t="n">
        <x:v>239</x:v>
      </x:c>
      <x:c r="B244" s="5" t="str">
        <x:v>5-甲基己酸乙酯</x:v>
      </x:c>
      <x:c r="C244" s="5" t="str">
        <x:v>10236-10-9</x:v>
      </x:c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 t="n">
        <x:v>4005</x:v>
      </x:c>
      <x:c r="O244" s="5" t="n">
        <x:v>4654</x:v>
      </x:c>
      <x:c r="P244" s="5" t="n">
        <x:v>5446</x:v>
      </x:c>
      <x:c r="Q244" s="5" t="n">
        <x:v>1536</x:v>
      </x:c>
      <x:c r="R244" s="5" t="n">
        <x:v>5301</x:v>
      </x:c>
      <x:c r="S244" s="5" t="n">
        <x:v>5090</x:v>
      </x:c>
      <x:c r="T244" s="5"/>
      <x:c r="U244" s="5"/>
      <x:c r="V244" s="5"/>
      <x:c r="W244" s="5"/>
      <x:c r="X244" s="5"/>
      <x:c r="Y244" s="5"/>
      <x:c r="Z244" s="5"/>
      <x:c r="AA244" s="5"/>
      <x:c r="AB244" s="5"/>
      <x:c r="AC244" s="5"/>
      <x:c r="AD244" s="5"/>
      <x:c r="AE244" s="5"/>
      <x:c r="AF244" s="5"/>
      <x:c r="AG244" s="5"/>
      <x:c r="AH244" s="5"/>
      <x:c r="AI244" s="5"/>
      <x:c r="AJ244" s="5"/>
      <x:c r="AK244" s="5"/>
      <x:c r="AL244" s="5"/>
      <x:c r="AM244" s="5"/>
      <x:c r="AN244" s="5"/>
      <x:c r="AO244" s="5"/>
      <x:c r="AP244" s="5"/>
      <x:c r="AQ244" s="5"/>
      <x:c r="AR244" s="5"/>
      <x:c r="AS244" s="5"/>
      <x:c r="AT244" s="5"/>
      <x:c r="AU244" s="5"/>
      <x:c r="AV244" s="5"/>
      <x:c r="AW244" s="5"/>
      <x:c r="AX244" s="5"/>
      <x:c r="AY244" s="5"/>
      <x:c r="AZ244" s="5" t="n">
        <x:v>34</x:v>
      </x:c>
      <x:c r="BA244" s="5" t="n">
        <x:v>49</x:v>
      </x:c>
      <x:c r="BB244" s="5"/>
      <x:c r="BC244" s="5"/>
      <x:c r="BD244" s="5"/>
      <x:c r="BE244" s="5"/>
      <x:c r="BF244" s="5"/>
      <x:c r="BG244" s="5"/>
      <x:c r="BH244" s="5"/>
      <x:c r="BI244" s="5"/>
      <x:c r="BJ244" s="5"/>
      <x:c r="BK244" s="5"/>
      <x:c r="BL244" s="5"/>
      <x:c r="BM244" s="5"/>
      <x:c r="BN244" s="5"/>
      <x:c r="BO244" s="5"/>
      <x:c r="BP244" s="5"/>
      <x:c r="BQ244" s="5"/>
      <x:c r="BR244" s="5"/>
      <x:c r="BS244" s="5"/>
      <x:c r="BT244" s="5"/>
      <x:c r="BU244" s="5"/>
      <x:c r="BV244" s="5"/>
      <x:c r="BW244" s="5"/>
      <x:c r="BX244" s="5"/>
      <x:c r="BY244" s="5"/>
      <x:c r="BZ244" s="5"/>
      <x:c r="CA244" s="5"/>
      <x:c r="CB244" s="5"/>
      <x:c r="CC244" s="5"/>
      <x:c r="CD244" s="5"/>
      <x:c r="CE244" s="5"/>
      <x:c r="CF244" s="5"/>
      <x:c r="CG244" s="5"/>
      <x:c r="CH244" s="5"/>
      <x:c r="CI244" s="5"/>
      <x:c r="CJ244" s="5"/>
      <x:c r="CK244" s="5"/>
      <x:c r="CL244" s="5"/>
      <x:c r="CM244" s="5"/>
      <x:c r="CN244" s="5"/>
      <x:c r="CO244" s="5"/>
      <x:c r="CP244" s="5"/>
      <x:c r="CQ244" s="5"/>
      <x:c r="CR244" s="5"/>
      <x:c r="CS244" s="5"/>
      <x:c r="CT244" s="5"/>
      <x:c r="CU244" s="5"/>
      <x:c r="CV244" s="5"/>
      <x:c r="CW244" s="5"/>
      <x:c r="CX244" s="5"/>
      <x:c r="CY244" s="5"/>
      <x:c r="CZ244" s="5"/>
      <x:c r="DA244" s="5"/>
      <x:c r="DB244" s="5"/>
      <x:c r="DC244" s="5"/>
      <x:c r="DD244" s="5"/>
      <x:c r="DE244" s="5"/>
      <x:c r="DF244" s="5"/>
      <x:c r="DG244" s="5"/>
      <x:c r="DH244" s="5"/>
      <x:c r="DI244" s="5"/>
      <x:c r="DJ244" s="5"/>
      <x:c r="DK244" s="5"/>
      <x:c r="DL244" s="5"/>
      <x:c r="DM244" s="5"/>
    </x:row>
    <x:row r="245">
      <x:c r="A245" s="5" t="n">
        <x:v>240</x:v>
      </x:c>
      <x:c r="B245" s="5" t="str">
        <x:v>DL-2-羟基-4-甲基戊酸乙酯</x:v>
      </x:c>
      <x:c r="C245" s="5" t="str">
        <x:v>10348-47-7</x:v>
      </x:c>
      <x:c r="D245" s="5"/>
      <x:c r="E245" s="5" t="n">
        <x:v>6739</x:v>
      </x:c>
      <x:c r="F245" s="5" t="n">
        <x:v>4268</x:v>
      </x:c>
      <x:c r="G245" s="5" t="n">
        <x:v>5.7</x:v>
      </x:c>
      <x:c r="H245" s="5" t="n">
        <x:v>125.39</x:v>
      </x:c>
      <x:c r="I245" s="5" t="n">
        <x:v>4.25</x:v>
      </x:c>
      <x:c r="J245" s="5" t="n">
        <x:v>13.66</x:v>
      </x:c>
      <x:c r="K245" s="5" t="n">
        <x:v>3.55</x:v>
      </x:c>
      <x:c r="L245" s="5" t="n">
        <x:v>3374</x:v>
      </x:c>
      <x:c r="M245" s="5" t="n">
        <x:v>4326</x:v>
      </x:c>
      <x:c r="N245" s="5" t="n">
        <x:v>2439</x:v>
      </x:c>
      <x:c r="O245" s="5" t="n">
        <x:v>3288</x:v>
      </x:c>
      <x:c r="P245" s="5" t="n">
        <x:v>3646</x:v>
      </x:c>
      <x:c r="Q245" s="5" t="n">
        <x:v>3925</x:v>
      </x:c>
      <x:c r="R245" s="5" t="n">
        <x:v>3430</x:v>
      </x:c>
      <x:c r="S245" s="5" t="n">
        <x:v>3353</x:v>
      </x:c>
      <x:c r="T245" s="5"/>
      <x:c r="U245" s="5"/>
      <x:c r="V245" s="5"/>
      <x:c r="W245" s="5"/>
      <x:c r="X245" s="5"/>
      <x:c r="Y245" s="5"/>
      <x:c r="Z245" s="5"/>
      <x:c r="AA245" s="5"/>
      <x:c r="AB245" s="5"/>
      <x:c r="AC245" s="5"/>
      <x:c r="AD245" s="5"/>
      <x:c r="AE245" s="5"/>
      <x:c r="AF245" s="5"/>
      <x:c r="AG245" s="5"/>
      <x:c r="AH245" s="5"/>
      <x:c r="AI245" s="5"/>
      <x:c r="AJ245" s="5"/>
      <x:c r="AK245" s="5"/>
      <x:c r="AL245" s="5"/>
      <x:c r="AM245" s="5"/>
      <x:c r="AN245" s="5"/>
      <x:c r="AO245" s="5"/>
      <x:c r="AP245" s="5"/>
      <x:c r="AQ245" s="5"/>
      <x:c r="AR245" s="5"/>
      <x:c r="AS245" s="5"/>
      <x:c r="AT245" s="5"/>
      <x:c r="AU245" s="5"/>
      <x:c r="AV245" s="5"/>
      <x:c r="AW245" s="5"/>
      <x:c r="AX245" s="5"/>
      <x:c r="AY245" s="5"/>
      <x:c r="AZ245" s="5"/>
      <x:c r="BA245" s="5"/>
      <x:c r="BB245" s="5"/>
      <x:c r="BC245" s="5"/>
      <x:c r="BD245" s="5"/>
      <x:c r="BE245" s="5"/>
      <x:c r="BF245" s="5"/>
      <x:c r="BG245" s="5"/>
      <x:c r="BH245" s="5"/>
      <x:c r="BI245" s="5"/>
      <x:c r="BJ245" s="5"/>
      <x:c r="BK245" s="5"/>
      <x:c r="BL245" s="5"/>
      <x:c r="BM245" s="5"/>
      <x:c r="BN245" s="5"/>
      <x:c r="BO245" s="5"/>
      <x:c r="BP245" s="5"/>
      <x:c r="BQ245" s="5"/>
      <x:c r="BR245" s="5"/>
      <x:c r="BS245" s="5"/>
      <x:c r="BT245" s="5"/>
      <x:c r="BU245" s="5"/>
      <x:c r="BV245" s="5"/>
      <x:c r="BW245" s="5"/>
      <x:c r="BX245" s="5"/>
      <x:c r="BY245" s="5"/>
      <x:c r="BZ245" s="5"/>
      <x:c r="CA245" s="5"/>
      <x:c r="CB245" s="5"/>
      <x:c r="CC245" s="5"/>
      <x:c r="CD245" s="5"/>
      <x:c r="CE245" s="5"/>
      <x:c r="CF245" s="5"/>
      <x:c r="CG245" s="5"/>
      <x:c r="CH245" s="5"/>
      <x:c r="CI245" s="5"/>
      <x:c r="CJ245" s="5"/>
      <x:c r="CK245" s="5"/>
      <x:c r="CL245" s="5"/>
      <x:c r="CM245" s="5"/>
      <x:c r="CN245" s="5"/>
      <x:c r="CO245" s="5"/>
      <x:c r="CP245" s="5"/>
      <x:c r="CQ245" s="5"/>
      <x:c r="CR245" s="5"/>
      <x:c r="CS245" s="5"/>
      <x:c r="CT245" s="5"/>
      <x:c r="CU245" s="5"/>
      <x:c r="CV245" s="5" t="n">
        <x:v>504.99</x:v>
      </x:c>
      <x:c r="CW245" s="5"/>
      <x:c r="CX245" s="5"/>
      <x:c r="CY245" s="5"/>
      <x:c r="CZ245" s="5"/>
      <x:c r="DA245" s="5"/>
      <x:c r="DB245" s="5"/>
      <x:c r="DC245" s="5"/>
      <x:c r="DD245" s="5"/>
      <x:c r="DE245" s="5"/>
      <x:c r="DF245" s="5"/>
      <x:c r="DG245" s="5"/>
      <x:c r="DH245" s="5"/>
      <x:c r="DI245" s="5"/>
      <x:c r="DJ245" s="5"/>
      <x:c r="DK245" s="5"/>
      <x:c r="DL245" s="5"/>
      <x:c r="DM245" s="5"/>
    </x:row>
    <x:row r="246">
      <x:c r="A246" s="5" t="n">
        <x:v>241</x:v>
      </x:c>
      <x:c r="B246" s="5"/>
      <x:c r="C246" s="5" t="str">
        <x:v>10482-56-1</x:v>
      </x:c>
      <x:c r="D246" s="5"/>
      <x:c r="E246" s="5"/>
      <x:c r="F246" s="5"/>
      <x:c r="G246" s="5"/>
      <x:c r="H246" s="5"/>
      <x:c r="I246" s="5"/>
      <x:c r="J246" s="5"/>
      <x:c r="K246" s="5" t="n">
        <x:v>0.94</x:v>
      </x:c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  <x:c r="AQ246" s="5"/>
      <x:c r="AR246" s="5"/>
      <x:c r="AS246" s="5"/>
      <x:c r="AT246" s="5"/>
      <x:c r="AU246" s="5"/>
      <x:c r="AV246" s="5"/>
      <x:c r="AW246" s="5"/>
      <x:c r="AX246" s="5"/>
      <x:c r="AY246" s="5"/>
      <x:c r="AZ246" s="5"/>
      <x:c r="BA246" s="5"/>
      <x:c r="BB246" s="5"/>
      <x:c r="BC246" s="5"/>
      <x:c r="BD246" s="5"/>
      <x:c r="BE246" s="5"/>
      <x:c r="BF246" s="5"/>
      <x:c r="BG246" s="5"/>
      <x:c r="BH246" s="5"/>
      <x:c r="BI246" s="5"/>
      <x:c r="BJ246" s="5"/>
      <x:c r="BK246" s="5"/>
      <x:c r="BL246" s="5"/>
      <x:c r="BM246" s="5"/>
      <x:c r="BN246" s="5"/>
      <x:c r="BO246" s="5"/>
      <x:c r="BP246" s="5"/>
      <x:c r="BQ246" s="5"/>
      <x:c r="BR246" s="5"/>
      <x:c r="BS246" s="5"/>
      <x:c r="BT246" s="5"/>
      <x:c r="BU246" s="5"/>
      <x:c r="BV246" s="5"/>
      <x:c r="BW246" s="5"/>
      <x:c r="BX246" s="5"/>
      <x:c r="BY246" s="5"/>
      <x:c r="BZ246" s="5"/>
      <x:c r="CA246" s="5"/>
      <x:c r="CB246" s="5"/>
      <x:c r="CC246" s="5"/>
      <x:c r="CD246" s="5"/>
      <x:c r="CE246" s="5"/>
      <x:c r="CF246" s="5"/>
      <x:c r="CG246" s="5"/>
      <x:c r="CH246" s="5"/>
      <x:c r="CI246" s="5"/>
      <x:c r="CJ246" s="5"/>
      <x:c r="CK246" s="5"/>
      <x:c r="CL246" s="5"/>
      <x:c r="CM246" s="5"/>
      <x:c r="CN246" s="5"/>
      <x:c r="CO246" s="5"/>
      <x:c r="CP246" s="5"/>
      <x:c r="CQ246" s="5"/>
      <x:c r="CR246" s="5"/>
      <x:c r="CS246" s="5"/>
      <x:c r="CT246" s="5"/>
      <x:c r="CU246" s="5"/>
      <x:c r="CV246" s="5"/>
      <x:c r="CW246" s="5"/>
      <x:c r="CX246" s="5"/>
      <x:c r="CY246" s="5"/>
      <x:c r="CZ246" s="5"/>
      <x:c r="DA246" s="5"/>
      <x:c r="DB246" s="5"/>
      <x:c r="DC246" s="5"/>
      <x:c r="DD246" s="5"/>
      <x:c r="DE246" s="5"/>
      <x:c r="DF246" s="5"/>
      <x:c r="DG246" s="5"/>
      <x:c r="DH246" s="5"/>
      <x:c r="DI246" s="5"/>
      <x:c r="DJ246" s="5"/>
      <x:c r="DK246" s="5"/>
      <x:c r="DL246" s="5"/>
      <x:c r="DM246" s="5"/>
    </x:row>
    <x:row r="247">
      <x:c r="A247" s="5" t="n">
        <x:v>242</x:v>
      </x:c>
      <x:c r="B247" s="5" t="str">
        <x:v>2,6-二乙基吡嗪</x:v>
      </x:c>
      <x:c r="C247" s="5" t="str">
        <x:v>13067-27-1</x:v>
      </x:c>
      <x:c r="D247" s="5" t="n">
        <x:v>6</x:v>
      </x:c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  <x:c r="AC247" s="5"/>
      <x:c r="AD247" s="5"/>
      <x:c r="AE247" s="5"/>
      <x:c r="AF247" s="5"/>
      <x:c r="AG247" s="5"/>
      <x:c r="AH247" s="5"/>
      <x:c r="AI247" s="5"/>
      <x:c r="AJ247" s="5"/>
      <x:c r="AK247" s="5"/>
      <x:c r="AL247" s="5"/>
      <x:c r="AM247" s="5"/>
      <x:c r="AN247" s="5"/>
      <x:c r="AO247" s="5"/>
      <x:c r="AP247" s="5"/>
      <x:c r="AQ247" s="5"/>
      <x:c r="AR247" s="5"/>
      <x:c r="AS247" s="5"/>
      <x:c r="AT247" s="5"/>
      <x:c r="AU247" s="5"/>
      <x:c r="AV247" s="5"/>
      <x:c r="AW247" s="5"/>
      <x:c r="AX247" s="5"/>
      <x:c r="AY247" s="5"/>
      <x:c r="AZ247" s="5"/>
      <x:c r="BA247" s="5"/>
      <x:c r="BB247" s="5"/>
      <x:c r="BC247" s="5"/>
      <x:c r="BD247" s="5"/>
      <x:c r="BE247" s="5"/>
      <x:c r="BF247" s="5"/>
      <x:c r="BG247" s="5"/>
      <x:c r="BH247" s="5"/>
      <x:c r="BI247" s="5"/>
      <x:c r="BJ247" s="5"/>
      <x:c r="BK247" s="5"/>
      <x:c r="BL247" s="5"/>
      <x:c r="BM247" s="5"/>
      <x:c r="BN247" s="5"/>
      <x:c r="BO247" s="5"/>
      <x:c r="BP247" s="5"/>
      <x:c r="BQ247" s="5"/>
      <x:c r="BR247" s="5"/>
      <x:c r="BS247" s="5"/>
      <x:c r="BT247" s="5"/>
      <x:c r="BU247" s="5"/>
      <x:c r="BV247" s="5"/>
      <x:c r="BW247" s="5"/>
      <x:c r="BX247" s="5"/>
      <x:c r="BY247" s="5"/>
      <x:c r="BZ247" s="5"/>
      <x:c r="CA247" s="5"/>
      <x:c r="CB247" s="5"/>
      <x:c r="CC247" s="5"/>
      <x:c r="CD247" s="5"/>
      <x:c r="CE247" s="5"/>
      <x:c r="CF247" s="5"/>
      <x:c r="CG247" s="5"/>
      <x:c r="CH247" s="5"/>
      <x:c r="CI247" s="5"/>
      <x:c r="CJ247" s="5"/>
      <x:c r="CK247" s="5"/>
      <x:c r="CL247" s="5"/>
      <x:c r="CM247" s="5"/>
      <x:c r="CN247" s="5"/>
      <x:c r="CO247" s="5"/>
      <x:c r="CP247" s="5"/>
      <x:c r="CQ247" s="5"/>
      <x:c r="CR247" s="5"/>
      <x:c r="CS247" s="5"/>
      <x:c r="CT247" s="5"/>
      <x:c r="CU247" s="5"/>
      <x:c r="CV247" s="5"/>
      <x:c r="CW247" s="5"/>
      <x:c r="CX247" s="5"/>
      <x:c r="CY247" s="5" t="n">
        <x:v>12.01</x:v>
      </x:c>
      <x:c r="CZ247" s="5" t="n">
        <x:v>14.84</x:v>
      </x:c>
      <x:c r="DA247" s="5"/>
      <x:c r="DB247" s="5" t="n">
        <x:v>13.61</x:v>
      </x:c>
      <x:c r="DC247" s="5"/>
      <x:c r="DD247" s="5" t="n">
        <x:v>15.82</x:v>
      </x:c>
      <x:c r="DE247" s="5"/>
      <x:c r="DF247" s="5" t="n">
        <x:v>11.49</x:v>
      </x:c>
      <x:c r="DG247" s="5"/>
      <x:c r="DH247" s="5" t="n">
        <x:v>14.85</x:v>
      </x:c>
      <x:c r="DI247" s="5" t="n">
        <x:v>7.51</x:v>
      </x:c>
      <x:c r="DJ247" s="5" t="n">
        <x:v>14.27</x:v>
      </x:c>
      <x:c r="DK247" s="5"/>
      <x:c r="DL247" s="5" t="n">
        <x:v>20.35</x:v>
      </x:c>
      <x:c r="DM247" s="5" t="n">
        <x:v>0.63</x:v>
      </x:c>
    </x:row>
    <x:row r="248">
      <x:c r="A248" s="5" t="n">
        <x:v>243</x:v>
      </x:c>
      <x:c r="B248" s="5" t="str">
        <x:v>3-甲硫基丙酸乙酯</x:v>
      </x:c>
      <x:c r="C248" s="5" t="str">
        <x:v>13327-56-5</x:v>
      </x:c>
      <x:c r="D248" s="5"/>
      <x:c r="E248" s="5"/>
      <x:c r="F248" s="5" t="n">
        <x:v>308</x:v>
      </x:c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  <x:c r="AQ248" s="5"/>
      <x:c r="AR248" s="5"/>
      <x:c r="AS248" s="5"/>
      <x:c r="AT248" s="5"/>
      <x:c r="AU248" s="5"/>
      <x:c r="AV248" s="5"/>
      <x:c r="AW248" s="5"/>
      <x:c r="AX248" s="5"/>
      <x:c r="AY248" s="5"/>
      <x:c r="AZ248" s="5"/>
      <x:c r="BA248" s="5" t="n">
        <x:v>73</x:v>
      </x:c>
      <x:c r="BB248" s="5"/>
      <x:c r="BC248" s="5"/>
      <x:c r="BD248" s="5"/>
      <x:c r="BE248" s="5"/>
      <x:c r="BF248" s="5"/>
      <x:c r="BG248" s="5"/>
      <x:c r="BH248" s="5"/>
      <x:c r="BI248" s="5"/>
      <x:c r="BJ248" s="5"/>
      <x:c r="BK248" s="5"/>
      <x:c r="BL248" s="5"/>
      <x:c r="BM248" s="5"/>
      <x:c r="BN248" s="5"/>
      <x:c r="BO248" s="5"/>
      <x:c r="BP248" s="5"/>
      <x:c r="BQ248" s="5"/>
      <x:c r="BR248" s="5"/>
      <x:c r="BS248" s="5"/>
      <x:c r="BT248" s="5"/>
      <x:c r="BU248" s="5"/>
      <x:c r="BV248" s="5"/>
      <x:c r="BW248" s="5"/>
      <x:c r="BX248" s="5"/>
      <x:c r="BY248" s="5"/>
      <x:c r="BZ248" s="5"/>
      <x:c r="CA248" s="5"/>
      <x:c r="CB248" s="5"/>
      <x:c r="CC248" s="5"/>
      <x:c r="CD248" s="5"/>
      <x:c r="CE248" s="5"/>
      <x:c r="CF248" s="5"/>
      <x:c r="CG248" s="5"/>
      <x:c r="CH248" s="5"/>
      <x:c r="CI248" s="5"/>
      <x:c r="CJ248" s="5"/>
      <x:c r="CK248" s="5"/>
      <x:c r="CL248" s="5"/>
      <x:c r="CM248" s="5"/>
      <x:c r="CN248" s="5"/>
      <x:c r="CO248" s="5"/>
      <x:c r="CP248" s="5"/>
      <x:c r="CQ248" s="5"/>
      <x:c r="CR248" s="5"/>
      <x:c r="CS248" s="5"/>
      <x:c r="CT248" s="5"/>
      <x:c r="CU248" s="5"/>
      <x:c r="CV248" s="5"/>
      <x:c r="CW248" s="5"/>
      <x:c r="CX248" s="5"/>
      <x:c r="CY248" s="5"/>
      <x:c r="CZ248" s="5"/>
      <x:c r="DA248" s="5"/>
      <x:c r="DB248" s="5"/>
      <x:c r="DC248" s="5"/>
      <x:c r="DD248" s="5"/>
      <x:c r="DE248" s="5"/>
      <x:c r="DF248" s="5"/>
      <x:c r="DG248" s="5"/>
      <x:c r="DH248" s="5"/>
      <x:c r="DI248" s="5"/>
      <x:c r="DJ248" s="5"/>
      <x:c r="DK248" s="5"/>
      <x:c r="DL248" s="5"/>
      <x:c r="DM248" s="5"/>
    </x:row>
    <x:row r="249">
      <x:c r="A249" s="5" t="n">
        <x:v>244</x:v>
      </x:c>
      <x:c r="B249" s="5" t="str">
        <x:v>2-糠醛缩二乙醇</x:v>
      </x:c>
      <x:c r="C249" s="5" t="str">
        <x:v>13529-27-6</x:v>
      </x:c>
      <x:c r="D249" s="5" t="n">
        <x:v>6172</x:v>
      </x:c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  <x:c r="AQ249" s="5"/>
      <x:c r="AR249" s="5"/>
      <x:c r="AS249" s="5"/>
      <x:c r="AT249" s="5"/>
      <x:c r="AU249" s="5"/>
      <x:c r="AV249" s="5"/>
      <x:c r="AW249" s="5"/>
      <x:c r="AX249" s="5"/>
      <x:c r="AY249" s="5"/>
      <x:c r="AZ249" s="5"/>
      <x:c r="BA249" s="5"/>
      <x:c r="BB249" s="5"/>
      <x:c r="BC249" s="5"/>
      <x:c r="BD249" s="5"/>
      <x:c r="BE249" s="5"/>
      <x:c r="BF249" s="5"/>
      <x:c r="BG249" s="5"/>
      <x:c r="BH249" s="5"/>
      <x:c r="BI249" s="5"/>
      <x:c r="BJ249" s="5"/>
      <x:c r="BK249" s="5"/>
      <x:c r="BL249" s="5"/>
      <x:c r="BM249" s="5"/>
      <x:c r="BN249" s="5"/>
      <x:c r="BO249" s="5"/>
      <x:c r="BP249" s="5"/>
      <x:c r="BQ249" s="5"/>
      <x:c r="BR249" s="5"/>
      <x:c r="BS249" s="5"/>
      <x:c r="BT249" s="5"/>
      <x:c r="BU249" s="5"/>
      <x:c r="BV249" s="5"/>
      <x:c r="BW249" s="5"/>
      <x:c r="BX249" s="5"/>
      <x:c r="BY249" s="5"/>
      <x:c r="BZ249" s="5"/>
      <x:c r="CA249" s="5"/>
      <x:c r="CB249" s="5"/>
      <x:c r="CC249" s="5"/>
      <x:c r="CD249" s="5"/>
      <x:c r="CE249" s="5"/>
      <x:c r="CF249" s="5"/>
      <x:c r="CG249" s="5"/>
      <x:c r="CH249" s="5"/>
      <x:c r="CI249" s="5"/>
      <x:c r="CJ249" s="5"/>
      <x:c r="CK249" s="5"/>
      <x:c r="CL249" s="5"/>
      <x:c r="CM249" s="5"/>
      <x:c r="CN249" s="5"/>
      <x:c r="CO249" s="5"/>
      <x:c r="CP249" s="5"/>
      <x:c r="CQ249" s="5"/>
      <x:c r="CR249" s="5"/>
      <x:c r="CS249" s="5"/>
      <x:c r="CT249" s="5"/>
      <x:c r="CU249" s="5"/>
      <x:c r="CV249" s="5"/>
      <x:c r="CW249" s="5"/>
      <x:c r="CX249" s="5" t="n">
        <x:v>275.39</x:v>
      </x:c>
      <x:c r="CY249" s="5" t="n">
        <x:v>14952.69</x:v>
      </x:c>
      <x:c r="CZ249" s="5" t="n">
        <x:v>15894.13</x:v>
      </x:c>
      <x:c r="DA249" s="5" t="n">
        <x:v>320.53</x:v>
      </x:c>
      <x:c r="DB249" s="5" t="n">
        <x:v>2196.85</x:v>
      </x:c>
      <x:c r="DC249" s="5" t="n">
        <x:v>459.98</x:v>
      </x:c>
      <x:c r="DD249" s="5" t="n">
        <x:v>9983.4</x:v>
      </x:c>
      <x:c r="DE249" s="5" t="n">
        <x:v>457.29</x:v>
      </x:c>
      <x:c r="DF249" s="5" t="n">
        <x:v>9878.96</x:v>
      </x:c>
      <x:c r="DG249" s="5" t="n">
        <x:v>976.3</x:v>
      </x:c>
      <x:c r="DH249" s="5" t="n">
        <x:v>7836.64</x:v>
      </x:c>
      <x:c r="DI249" s="5" t="n">
        <x:v>1112.62</x:v>
      </x:c>
      <x:c r="DJ249" s="5" t="n">
        <x:v>11358.62</x:v>
      </x:c>
      <x:c r="DK249" s="5" t="n">
        <x:v>959.03</x:v>
      </x:c>
      <x:c r="DL249" s="5" t="n">
        <x:v>14688.17</x:v>
      </x:c>
      <x:c r="DM249" s="5" t="n">
        <x:v>857.27</x:v>
      </x:c>
    </x:row>
    <x:row r="250">
      <x:c r="A250" s="5" t="n">
        <x:v>245</x:v>
      </x:c>
      <x:c r="B250" s="5" t="str">
        <x:v>2-乙基-6-甲基吡嗪</x:v>
      </x:c>
      <x:c r="C250" s="5" t="str">
        <x:v>13925-03-6</x:v>
      </x:c>
      <x:c r="D250" s="5" t="n">
        <x:v>40</x:v>
      </x:c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  <x:c r="AQ250" s="5"/>
      <x:c r="AR250" s="5"/>
      <x:c r="AS250" s="5"/>
      <x:c r="AT250" s="5"/>
      <x:c r="AU250" s="5"/>
      <x:c r="AV250" s="5"/>
      <x:c r="AW250" s="5"/>
      <x:c r="AX250" s="5"/>
      <x:c r="AY250" s="5"/>
      <x:c r="AZ250" s="5"/>
      <x:c r="BA250" s="5"/>
      <x:c r="BB250" s="5"/>
      <x:c r="BC250" s="5"/>
      <x:c r="BD250" s="5"/>
      <x:c r="BE250" s="5"/>
      <x:c r="BF250" s="5"/>
      <x:c r="BG250" s="5"/>
      <x:c r="BH250" s="5"/>
      <x:c r="BI250" s="5"/>
      <x:c r="BJ250" s="5"/>
      <x:c r="BK250" s="5"/>
      <x:c r="BL250" s="5"/>
      <x:c r="BM250" s="5"/>
      <x:c r="BN250" s="5"/>
      <x:c r="BO250" s="5"/>
      <x:c r="BP250" s="5"/>
      <x:c r="BQ250" s="5"/>
      <x:c r="BR250" s="5"/>
      <x:c r="BS250" s="5"/>
      <x:c r="BT250" s="5"/>
      <x:c r="BU250" s="5"/>
      <x:c r="BV250" s="5"/>
      <x:c r="BW250" s="5"/>
      <x:c r="BX250" s="5"/>
      <x:c r="BY250" s="5"/>
      <x:c r="BZ250" s="5"/>
      <x:c r="CA250" s="5"/>
      <x:c r="CB250" s="5"/>
      <x:c r="CC250" s="5"/>
      <x:c r="CD250" s="5"/>
      <x:c r="CE250" s="5"/>
      <x:c r="CF250" s="5"/>
      <x:c r="CG250" s="5"/>
      <x:c r="CH250" s="5"/>
      <x:c r="CI250" s="5"/>
      <x:c r="CJ250" s="5"/>
      <x:c r="CK250" s="5"/>
      <x:c r="CL250" s="5"/>
      <x:c r="CM250" s="5"/>
      <x:c r="CN250" s="5"/>
      <x:c r="CO250" s="5"/>
      <x:c r="CP250" s="5"/>
      <x:c r="CQ250" s="5"/>
      <x:c r="CR250" s="5"/>
      <x:c r="CS250" s="5"/>
      <x:c r="CT250" s="5"/>
      <x:c r="CU250" s="5"/>
      <x:c r="CV250" s="5"/>
      <x:c r="CW250" s="5"/>
      <x:c r="CX250" s="5" t="n">
        <x:v>55.61</x:v>
      </x:c>
      <x:c r="CY250" s="5" t="n">
        <x:v>55.61</x:v>
      </x:c>
      <x:c r="CZ250" s="5" t="n">
        <x:v>58.5</x:v>
      </x:c>
      <x:c r="DA250" s="5" t="n">
        <x:v>58.5</x:v>
      </x:c>
      <x:c r="DB250" s="5" t="n">
        <x:v>54.97</x:v>
      </x:c>
      <x:c r="DC250" s="5" t="n">
        <x:v>54.97</x:v>
      </x:c>
      <x:c r="DD250" s="5" t="n">
        <x:v>72.89</x:v>
      </x:c>
      <x:c r="DE250" s="5" t="n">
        <x:v>72.89</x:v>
      </x:c>
      <x:c r="DF250" s="5" t="n">
        <x:v>85.29</x:v>
      </x:c>
      <x:c r="DG250" s="5" t="n">
        <x:v>85.29</x:v>
      </x:c>
      <x:c r="DH250" s="5" t="n">
        <x:v>140.41</x:v>
      </x:c>
      <x:c r="DI250" s="5" t="n">
        <x:v>140.41</x:v>
      </x:c>
      <x:c r="DJ250" s="5" t="n">
        <x:v>94.21</x:v>
      </x:c>
      <x:c r="DK250" s="5" t="n">
        <x:v>94.21</x:v>
      </x:c>
      <x:c r="DL250" s="5" t="n">
        <x:v>39.57</x:v>
      </x:c>
      <x:c r="DM250" s="5" t="n">
        <x:v>39.57</x:v>
      </x:c>
    </x:row>
    <x:row r="251">
      <x:c r="A251" s="5" t="n">
        <x:v>246</x:v>
      </x:c>
      <x:c r="B251" s="5" t="str">
        <x:v>十七烷酸乙酯</x:v>
      </x:c>
      <x:c r="C251" s="5" t="str">
        <x:v>14010-23-2</x:v>
      </x:c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 t="n">
        <x:v>3610</x:v>
      </x:c>
      <x:c r="AL251" s="5" t="n">
        <x:v>4350</x:v>
      </x:c>
      <x:c r="AM251" s="5"/>
      <x:c r="AN251" s="5"/>
      <x:c r="AO251" s="5"/>
      <x:c r="AP251" s="5"/>
      <x:c r="AQ251" s="5"/>
      <x:c r="AR251" s="5"/>
      <x:c r="AS251" s="5"/>
      <x:c r="AT251" s="5"/>
      <x:c r="AU251" s="5"/>
      <x:c r="AV251" s="5"/>
      <x:c r="AW251" s="5"/>
      <x:c r="AX251" s="5"/>
      <x:c r="AY251" s="5"/>
      <x:c r="AZ251" s="5"/>
      <x:c r="BA251" s="5"/>
      <x:c r="BB251" s="5"/>
      <x:c r="BC251" s="5"/>
      <x:c r="BD251" s="5"/>
      <x:c r="BE251" s="5"/>
      <x:c r="BF251" s="5"/>
      <x:c r="BG251" s="5"/>
      <x:c r="BH251" s="5"/>
      <x:c r="BI251" s="5"/>
      <x:c r="BJ251" s="5"/>
      <x:c r="BK251" s="5"/>
      <x:c r="BL251" s="5"/>
      <x:c r="BM251" s="5"/>
      <x:c r="BN251" s="5"/>
      <x:c r="BO251" s="5"/>
      <x:c r="BP251" s="5"/>
      <x:c r="BQ251" s="5"/>
      <x:c r="BR251" s="5"/>
      <x:c r="BS251" s="5"/>
      <x:c r="BT251" s="5"/>
      <x:c r="BU251" s="5"/>
      <x:c r="BV251" s="5"/>
      <x:c r="BW251" s="5"/>
      <x:c r="BX251" s="5"/>
      <x:c r="BY251" s="5"/>
      <x:c r="BZ251" s="5"/>
      <x:c r="CA251" s="5"/>
      <x:c r="CB251" s="5"/>
      <x:c r="CC251" s="5"/>
      <x:c r="CD251" s="5"/>
      <x:c r="CE251" s="5"/>
      <x:c r="CF251" s="5"/>
      <x:c r="CG251" s="5"/>
      <x:c r="CH251" s="5"/>
      <x:c r="CI251" s="5"/>
      <x:c r="CJ251" s="5"/>
      <x:c r="CK251" s="5"/>
      <x:c r="CL251" s="5"/>
      <x:c r="CM251" s="5"/>
      <x:c r="CN251" s="5"/>
      <x:c r="CO251" s="5"/>
      <x:c r="CP251" s="5"/>
      <x:c r="CQ251" s="5"/>
      <x:c r="CR251" s="5"/>
      <x:c r="CS251" s="5"/>
      <x:c r="CT251" s="5"/>
      <x:c r="CU251" s="5"/>
      <x:c r="CV251" s="5"/>
      <x:c r="CW251" s="5"/>
      <x:c r="CX251" s="5"/>
      <x:c r="CY251" s="5"/>
      <x:c r="CZ251" s="5"/>
      <x:c r="DA251" s="5"/>
      <x:c r="DB251" s="5"/>
      <x:c r="DC251" s="5"/>
      <x:c r="DD251" s="5"/>
      <x:c r="DE251" s="5"/>
      <x:c r="DF251" s="5"/>
      <x:c r="DG251" s="5"/>
      <x:c r="DH251" s="5"/>
      <x:c r="DI251" s="5"/>
      <x:c r="DJ251" s="5"/>
      <x:c r="DK251" s="5"/>
      <x:c r="DL251" s="5"/>
      <x:c r="DM251" s="5"/>
    </x:row>
    <x:row r="252">
      <x:c r="A252" s="5" t="n">
        <x:v>247</x:v>
      </x:c>
      <x:c r="B252" s="5" t="str">
        <x:v>三甲基吡嗪</x:v>
      </x:c>
      <x:c r="C252" s="5" t="str">
        <x:v>14667-55-1</x:v>
      </x:c>
      <x:c r="D252" s="5" t="n">
        <x:v>730</x:v>
      </x:c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  <x:c r="AQ252" s="5"/>
      <x:c r="AR252" s="5"/>
      <x:c r="AS252" s="5"/>
      <x:c r="AT252" s="5"/>
      <x:c r="AU252" s="5"/>
      <x:c r="AV252" s="5"/>
      <x:c r="AW252" s="5"/>
      <x:c r="AX252" s="5"/>
      <x:c r="AY252" s="5"/>
      <x:c r="AZ252" s="5"/>
      <x:c r="BA252" s="5"/>
      <x:c r="BB252" s="5"/>
      <x:c r="BC252" s="5"/>
      <x:c r="BD252" s="5"/>
      <x:c r="BE252" s="5"/>
      <x:c r="BF252" s="5"/>
      <x:c r="BG252" s="5"/>
      <x:c r="BH252" s="5"/>
      <x:c r="BI252" s="5"/>
      <x:c r="BJ252" s="5"/>
      <x:c r="BK252" s="5"/>
      <x:c r="BL252" s="5"/>
      <x:c r="BM252" s="5"/>
      <x:c r="BN252" s="5"/>
      <x:c r="BO252" s="5"/>
      <x:c r="BP252" s="5"/>
      <x:c r="BQ252" s="5"/>
      <x:c r="BR252" s="5"/>
      <x:c r="BS252" s="5"/>
      <x:c r="BT252" s="5"/>
      <x:c r="BU252" s="5"/>
      <x:c r="BV252" s="5"/>
      <x:c r="BW252" s="5"/>
      <x:c r="BX252" s="5"/>
      <x:c r="BY252" s="5"/>
      <x:c r="BZ252" s="5" t="n">
        <x:v>1</x:v>
      </x:c>
      <x:c r="CA252" s="5" t="n">
        <x:v>1</x:v>
      </x:c>
      <x:c r="CB252" s="5"/>
      <x:c r="CC252" s="5"/>
      <x:c r="CD252" s="5"/>
      <x:c r="CE252" s="5"/>
      <x:c r="CF252" s="5"/>
      <x:c r="CG252" s="5" t="n">
        <x:v>69.7</x:v>
      </x:c>
      <x:c r="CH252" s="5" t="n">
        <x:v>22.23</x:v>
      </x:c>
      <x:c r="CI252" s="5"/>
      <x:c r="CJ252" s="5"/>
      <x:c r="CK252" s="5"/>
      <x:c r="CL252" s="5"/>
      <x:c r="CM252" s="5"/>
      <x:c r="CN252" s="5"/>
      <x:c r="CO252" s="5"/>
      <x:c r="CP252" s="5"/>
      <x:c r="CQ252" s="5"/>
      <x:c r="CR252" s="5"/>
      <x:c r="CS252" s="5"/>
      <x:c r="CT252" s="5"/>
      <x:c r="CU252" s="5"/>
      <x:c r="CV252" s="5"/>
      <x:c r="CW252" s="5"/>
      <x:c r="CX252" s="5" t="n">
        <x:v>58.15</x:v>
      </x:c>
      <x:c r="CY252" s="5" t="n">
        <x:v>85.9</x:v>
      </x:c>
      <x:c r="CZ252" s="5" t="n">
        <x:v>99.01</x:v>
      </x:c>
      <x:c r="DA252" s="5" t="n">
        <x:v>88.91</x:v>
      </x:c>
      <x:c r="DB252" s="5" t="n">
        <x:v>112.21</x:v>
      </x:c>
      <x:c r="DC252" s="5" t="n">
        <x:v>47.51</x:v>
      </x:c>
      <x:c r="DD252" s="5" t="n">
        <x:v>102.06</x:v>
      </x:c>
      <x:c r="DE252" s="5" t="n">
        <x:v>44.77</x:v>
      </x:c>
      <x:c r="DF252" s="5" t="n">
        <x:v>91.8</x:v>
      </x:c>
      <x:c r="DG252" s="5" t="n">
        <x:v>51.3</x:v>
      </x:c>
      <x:c r="DH252" s="5" t="n">
        <x:v>97.77</x:v>
      </x:c>
      <x:c r="DI252" s="5" t="n">
        <x:v>40.76</x:v>
      </x:c>
      <x:c r="DJ252" s="5" t="n">
        <x:v>86.53</x:v>
      </x:c>
      <x:c r="DK252" s="5" t="n">
        <x:v>65.94</x:v>
      </x:c>
      <x:c r="DL252" s="5" t="n">
        <x:v>129</x:v>
      </x:c>
      <x:c r="DM252" s="5" t="n">
        <x:v>52.48</x:v>
      </x:c>
    </x:row>
    <x:row r="253">
      <x:c r="A253" s="5" t="n">
        <x:v>248</x:v>
      </x:c>
      <x:c r="B253" s="5" t="str">
        <x:v>2-甲基丁酸丁酯</x:v>
      </x:c>
      <x:c r="C253" s="5" t="str">
        <x:v>15706-73-7</x:v>
      </x:c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  <x:c r="AQ253" s="5"/>
      <x:c r="AR253" s="5"/>
      <x:c r="AS253" s="5"/>
      <x:c r="AT253" s="5"/>
      <x:c r="AU253" s="5"/>
      <x:c r="AV253" s="5"/>
      <x:c r="AW253" s="5"/>
      <x:c r="AX253" s="5"/>
      <x:c r="AY253" s="5"/>
      <x:c r="AZ253" s="5"/>
      <x:c r="BA253" s="5"/>
      <x:c r="BB253" s="5"/>
      <x:c r="BC253" s="5"/>
      <x:c r="BD253" s="5"/>
      <x:c r="BE253" s="5"/>
      <x:c r="BF253" s="5"/>
      <x:c r="BG253" s="5"/>
      <x:c r="BH253" s="5"/>
      <x:c r="BI253" s="5"/>
      <x:c r="BJ253" s="5"/>
      <x:c r="BK253" s="5"/>
      <x:c r="BL253" s="5"/>
      <x:c r="BM253" s="5"/>
      <x:c r="BN253" s="5"/>
      <x:c r="BO253" s="5"/>
      <x:c r="BP253" s="5"/>
      <x:c r="BQ253" s="5"/>
      <x:c r="BR253" s="5"/>
      <x:c r="BS253" s="5"/>
      <x:c r="BT253" s="5"/>
      <x:c r="BU253" s="5"/>
      <x:c r="BV253" s="5"/>
      <x:c r="BW253" s="5"/>
      <x:c r="BX253" s="5"/>
      <x:c r="BY253" s="5"/>
      <x:c r="BZ253" s="5" t="n">
        <x:v>4197.6067</x:v>
      </x:c>
      <x:c r="CA253" s="5" t="n">
        <x:v>4045.7733</x:v>
      </x:c>
      <x:c r="CB253" s="5" t="n">
        <x:v>13889.37</x:v>
      </x:c>
      <x:c r="CC253" s="5" t="n">
        <x:v>10598.19</x:v>
      </x:c>
      <x:c r="CD253" s="5" t="n">
        <x:v>14715.89</x:v>
      </x:c>
      <x:c r="CE253" s="5" t="n">
        <x:v>5113.07</x:v>
      </x:c>
      <x:c r="CF253" s="5" t="n">
        <x:v>1458.56</x:v>
      </x:c>
      <x:c r="CG253" s="5" t="n">
        <x:v>2243.08</x:v>
      </x:c>
      <x:c r="CH253" s="5" t="n">
        <x:v>1301.47</x:v>
      </x:c>
      <x:c r="CI253" s="5" t="n">
        <x:v>4903.82</x:v>
      </x:c>
      <x:c r="CJ253" s="5" t="n">
        <x:v>4073.31</x:v>
      </x:c>
      <x:c r="CK253" s="5" t="n">
        <x:v>3424</x:v>
      </x:c>
      <x:c r="CL253" s="5" t="n">
        <x:v>2072.83</x:v>
      </x:c>
      <x:c r="CM253" s="5"/>
      <x:c r="CN253" s="5"/>
      <x:c r="CO253" s="5"/>
      <x:c r="CP253" s="5"/>
      <x:c r="CQ253" s="5"/>
      <x:c r="CR253" s="5"/>
      <x:c r="CS253" s="5"/>
      <x:c r="CT253" s="5"/>
      <x:c r="CU253" s="5"/>
      <x:c r="CV253" s="5"/>
      <x:c r="CW253" s="5"/>
      <x:c r="CX253" s="5"/>
      <x:c r="CY253" s="5"/>
      <x:c r="CZ253" s="5"/>
      <x:c r="DA253" s="5"/>
      <x:c r="DB253" s="5"/>
      <x:c r="DC253" s="5"/>
      <x:c r="DD253" s="5"/>
      <x:c r="DE253" s="5"/>
      <x:c r="DF253" s="5"/>
      <x:c r="DG253" s="5"/>
      <x:c r="DH253" s="5"/>
      <x:c r="DI253" s="5"/>
      <x:c r="DJ253" s="5"/>
      <x:c r="DK253" s="5"/>
      <x:c r="DL253" s="5"/>
      <x:c r="DM253" s="5"/>
    </x:row>
    <x:row r="254">
      <x:c r="A254" s="5" t="n">
        <x:v>249</x:v>
      </x:c>
      <x:c r="B254" s="5" t="str">
        <x:v>2,3-二乙基吡嗪</x:v>
      </x:c>
      <x:c r="C254" s="5" t="str">
        <x:v>15707-24-1</x:v>
      </x:c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  <x:c r="AQ254" s="5"/>
      <x:c r="AR254" s="5"/>
      <x:c r="AS254" s="5"/>
      <x:c r="AT254" s="5"/>
      <x:c r="AU254" s="5"/>
      <x:c r="AV254" s="5"/>
      <x:c r="AW254" s="5"/>
      <x:c r="AX254" s="5"/>
      <x:c r="AY254" s="5"/>
      <x:c r="AZ254" s="5"/>
      <x:c r="BA254" s="5"/>
      <x:c r="BB254" s="5"/>
      <x:c r="BC254" s="5"/>
      <x:c r="BD254" s="5"/>
      <x:c r="BE254" s="5"/>
      <x:c r="BF254" s="5"/>
      <x:c r="BG254" s="5"/>
      <x:c r="BH254" s="5"/>
      <x:c r="BI254" s="5"/>
      <x:c r="BJ254" s="5"/>
      <x:c r="BK254" s="5"/>
      <x:c r="BL254" s="5"/>
      <x:c r="BM254" s="5"/>
      <x:c r="BN254" s="5"/>
      <x:c r="BO254" s="5"/>
      <x:c r="BP254" s="5"/>
      <x:c r="BQ254" s="5"/>
      <x:c r="BR254" s="5"/>
      <x:c r="BS254" s="5"/>
      <x:c r="BT254" s="5"/>
      <x:c r="BU254" s="5"/>
      <x:c r="BV254" s="5"/>
      <x:c r="BW254" s="5"/>
      <x:c r="BX254" s="5"/>
      <x:c r="BY254" s="5"/>
      <x:c r="BZ254" s="5" t="n">
        <x:v>42.485</x:v>
      </x:c>
      <x:c r="CA254" s="5" t="n">
        <x:v>42.225</x:v>
      </x:c>
      <x:c r="CB254" s="5" t="n">
        <x:v>128.64</x:v>
      </x:c>
      <x:c r="CC254" s="5" t="n">
        <x:v>106.8</x:v>
      </x:c>
      <x:c r="CD254" s="5" t="n">
        <x:v>109.22</x:v>
      </x:c>
      <x:c r="CE254" s="5" t="n">
        <x:v>116.53</x:v>
      </x:c>
      <x:c r="CF254" s="5" t="n">
        <x:v>103.92</x:v>
      </x:c>
      <x:c r="CG254" s="5" t="n">
        <x:v>140.14</x:v>
      </x:c>
      <x:c r="CH254" s="5" t="n">
        <x:v>90.26</x:v>
      </x:c>
      <x:c r="CI254" s="5" t="n">
        <x:v>107</x:v>
      </x:c>
      <x:c r="CJ254" s="5" t="n">
        <x:v>103.3</x:v>
      </x:c>
      <x:c r="CK254" s="5" t="n">
        <x:v>101.96</x:v>
      </x:c>
      <x:c r="CL254" s="5" t="n">
        <x:v>105.5</x:v>
      </x:c>
      <x:c r="CM254" s="5" t="n">
        <x:v>89.89</x:v>
      </x:c>
      <x:c r="CN254" s="5"/>
      <x:c r="CO254" s="5"/>
      <x:c r="CP254" s="5"/>
      <x:c r="CQ254" s="5"/>
      <x:c r="CR254" s="5"/>
      <x:c r="CS254" s="5"/>
      <x:c r="CT254" s="5"/>
      <x:c r="CU254" s="5"/>
      <x:c r="CV254" s="5"/>
      <x:c r="CW254" s="5"/>
      <x:c r="CX254" s="5"/>
      <x:c r="CY254" s="5"/>
      <x:c r="CZ254" s="5"/>
      <x:c r="DA254" s="5"/>
      <x:c r="DB254" s="5"/>
      <x:c r="DC254" s="5"/>
      <x:c r="DD254" s="5"/>
      <x:c r="DE254" s="5"/>
      <x:c r="DF254" s="5"/>
      <x:c r="DG254" s="5"/>
      <x:c r="DH254" s="5"/>
      <x:c r="DI254" s="5"/>
      <x:c r="DJ254" s="5"/>
      <x:c r="DK254" s="5"/>
      <x:c r="DL254" s="5"/>
      <x:c r="DM254" s="5"/>
    </x:row>
    <x:row r="255">
      <x:c r="A255" s="5" t="n">
        <x:v>250</x:v>
      </x:c>
      <x:c r="B255" s="5" t="str">
        <x:v>3,3-二乙氧基-1-丙醇</x:v>
      </x:c>
      <x:c r="C255" s="5" t="str">
        <x:v>16777-87-0</x:v>
      </x:c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  <x:c r="AQ255" s="5" t="n">
        <x:v>2.63</x:v>
      </x:c>
      <x:c r="AR255" s="5" t="n">
        <x:v>3.98</x:v>
      </x:c>
      <x:c r="AS255" s="5" t="n">
        <x:v>4.03</x:v>
      </x:c>
      <x:c r="AT255" s="5" t="n">
        <x:v>3.52</x:v>
      </x:c>
      <x:c r="AU255" s="5"/>
      <x:c r="AV255" s="5"/>
      <x:c r="AW255" s="5"/>
      <x:c r="AX255" s="5"/>
      <x:c r="AY255" s="5"/>
      <x:c r="AZ255" s="5"/>
      <x:c r="BA255" s="5"/>
      <x:c r="BB255" s="5"/>
      <x:c r="BC255" s="5"/>
      <x:c r="BD255" s="5"/>
      <x:c r="BE255" s="5"/>
      <x:c r="BF255" s="5"/>
      <x:c r="BG255" s="5"/>
      <x:c r="BH255" s="5"/>
      <x:c r="BI255" s="5"/>
      <x:c r="BJ255" s="5"/>
      <x:c r="BK255" s="5"/>
      <x:c r="BL255" s="5"/>
      <x:c r="BM255" s="5"/>
      <x:c r="BN255" s="5"/>
      <x:c r="BO255" s="5"/>
      <x:c r="BP255" s="5"/>
      <x:c r="BQ255" s="5"/>
      <x:c r="BR255" s="5"/>
      <x:c r="BS255" s="5"/>
      <x:c r="BT255" s="5"/>
      <x:c r="BU255" s="5"/>
      <x:c r="BV255" s="5"/>
      <x:c r="BW255" s="5"/>
      <x:c r="BX255" s="5"/>
      <x:c r="BY255" s="5"/>
      <x:c r="BZ255" s="5"/>
      <x:c r="CA255" s="5"/>
      <x:c r="CB255" s="5"/>
      <x:c r="CC255" s="5"/>
      <x:c r="CD255" s="5"/>
      <x:c r="CE255" s="5"/>
      <x:c r="CF255" s="5"/>
      <x:c r="CG255" s="5"/>
      <x:c r="CH255" s="5"/>
      <x:c r="CI255" s="5"/>
      <x:c r="CJ255" s="5"/>
      <x:c r="CK255" s="5"/>
      <x:c r="CL255" s="5"/>
      <x:c r="CM255" s="5"/>
      <x:c r="CN255" s="5"/>
      <x:c r="CO255" s="5"/>
      <x:c r="CP255" s="5"/>
      <x:c r="CQ255" s="5"/>
      <x:c r="CR255" s="5"/>
      <x:c r="CS255" s="5"/>
      <x:c r="CT255" s="5"/>
      <x:c r="CU255" s="5"/>
      <x:c r="CV255" s="5"/>
      <x:c r="CW255" s="5"/>
      <x:c r="CX255" s="5"/>
      <x:c r="CY255" s="5"/>
      <x:c r="CZ255" s="5"/>
      <x:c r="DA255" s="5"/>
      <x:c r="DB255" s="5"/>
      <x:c r="DC255" s="5"/>
      <x:c r="DD255" s="5"/>
      <x:c r="DE255" s="5"/>
      <x:c r="DF255" s="5"/>
      <x:c r="DG255" s="5"/>
      <x:c r="DH255" s="5"/>
      <x:c r="DI255" s="5"/>
      <x:c r="DJ255" s="5"/>
      <x:c r="DK255" s="5"/>
      <x:c r="DL255" s="5"/>
      <x:c r="DM255" s="5"/>
    </x:row>
    <x:row r="256">
      <x:c r="A256" s="5" t="n">
        <x:v>251</x:v>
      </x:c>
      <x:c r="B256" s="5" t="str">
        <x:v>2,3-丁二醇</x:v>
      </x:c>
      <x:c r="C256" s="5" t="str">
        <x:v>19132-06-0</x:v>
      </x:c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  <x:c r="AC256" s="5"/>
      <x:c r="AD256" s="5"/>
      <x:c r="AE256" s="5" t="n">
        <x:v>68070</x:v>
      </x:c>
      <x:c r="AF256" s="5" t="n">
        <x:v>88240</x:v>
      </x:c>
      <x:c r="AG256" s="5" t="n">
        <x:v>87770</x:v>
      </x:c>
      <x:c r="AH256" s="5"/>
      <x:c r="AI256" s="5"/>
      <x:c r="AJ256" s="5"/>
      <x:c r="AK256" s="5"/>
      <x:c r="AL256" s="5"/>
      <x:c r="AM256" s="5"/>
      <x:c r="AN256" s="5"/>
      <x:c r="AO256" s="5"/>
      <x:c r="AP256" s="5"/>
      <x:c r="AQ256" s="5" t="n">
        <x:v>1.56</x:v>
      </x:c>
      <x:c r="AR256" s="5" t="n">
        <x:v>2.25</x:v>
      </x:c>
      <x:c r="AS256" s="5" t="n">
        <x:v>4.71</x:v>
      </x:c>
      <x:c r="AT256" s="5" t="n">
        <x:v>4.09</x:v>
      </x:c>
      <x:c r="AU256" s="5"/>
      <x:c r="AV256" s="5"/>
      <x:c r="AW256" s="5"/>
      <x:c r="AX256" s="5"/>
      <x:c r="AY256" s="5"/>
      <x:c r="AZ256" s="5"/>
      <x:c r="BA256" s="5"/>
      <x:c r="BB256" s="5"/>
      <x:c r="BC256" s="5"/>
      <x:c r="BD256" s="5"/>
      <x:c r="BE256" s="5"/>
      <x:c r="BF256" s="5"/>
      <x:c r="BG256" s="5"/>
      <x:c r="BH256" s="5"/>
      <x:c r="BI256" s="5"/>
      <x:c r="BJ256" s="5"/>
      <x:c r="BK256" s="5"/>
      <x:c r="BL256" s="5"/>
      <x:c r="BM256" s="5"/>
      <x:c r="BN256" s="5"/>
      <x:c r="BO256" s="5"/>
      <x:c r="BP256" s="5"/>
      <x:c r="BQ256" s="5"/>
      <x:c r="BR256" s="5"/>
      <x:c r="BS256" s="5"/>
      <x:c r="BT256" s="5"/>
      <x:c r="BU256" s="5"/>
      <x:c r="BV256" s="5"/>
      <x:c r="BW256" s="5"/>
      <x:c r="BX256" s="5"/>
      <x:c r="BY256" s="5"/>
      <x:c r="BZ256" s="5"/>
      <x:c r="CA256" s="5"/>
      <x:c r="CB256" s="5"/>
      <x:c r="CC256" s="5"/>
      <x:c r="CD256" s="5"/>
      <x:c r="CE256" s="5"/>
      <x:c r="CF256" s="5"/>
      <x:c r="CG256" s="5"/>
      <x:c r="CH256" s="5"/>
      <x:c r="CI256" s="5"/>
      <x:c r="CJ256" s="5"/>
      <x:c r="CK256" s="5"/>
      <x:c r="CL256" s="5"/>
      <x:c r="CM256" s="5"/>
      <x:c r="CN256" s="5"/>
      <x:c r="CO256" s="5"/>
      <x:c r="CP256" s="5"/>
      <x:c r="CQ256" s="5"/>
      <x:c r="CR256" s="5"/>
      <x:c r="CS256" s="5"/>
      <x:c r="CT256" s="5"/>
      <x:c r="CU256" s="5"/>
      <x:c r="CV256" s="5"/>
      <x:c r="CW256" s="5"/>
      <x:c r="CX256" s="5"/>
      <x:c r="CY256" s="5"/>
      <x:c r="CZ256" s="5"/>
      <x:c r="DA256" s="5"/>
      <x:c r="DB256" s="5"/>
      <x:c r="DC256" s="5"/>
      <x:c r="DD256" s="5"/>
      <x:c r="DE256" s="5"/>
      <x:c r="DF256" s="5"/>
      <x:c r="DG256" s="5"/>
      <x:c r="DH256" s="5"/>
      <x:c r="DI256" s="5"/>
      <x:c r="DJ256" s="5"/>
      <x:c r="DK256" s="5"/>
      <x:c r="DL256" s="5"/>
      <x:c r="DM256" s="5"/>
    </x:row>
    <x:row r="257">
      <x:c r="A257" s="5" t="n">
        <x:v>252</x:v>
      </x:c>
      <x:c r="B257" s="5" t="str">
        <x:v>乳酸异戊酯</x:v>
      </x:c>
      <x:c r="C257" s="5" t="str">
        <x:v>19329-89-6</x:v>
      </x:c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  <x:c r="AE257" s="5"/>
      <x:c r="AF257" s="5" t="n">
        <x:v>9150</x:v>
      </x:c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  <x:c r="AQ257" s="5" t="n">
        <x:v>1.14</x:v>
      </x:c>
      <x:c r="AR257" s="5" t="n">
        <x:v>3.55</x:v>
      </x:c>
      <x:c r="AS257" s="5"/>
      <x:c r="AT257" s="5" t="n">
        <x:v>1.43</x:v>
      </x:c>
      <x:c r="AU257" s="5"/>
      <x:c r="AV257" s="5"/>
      <x:c r="AW257" s="5"/>
      <x:c r="AX257" s="5"/>
      <x:c r="AY257" s="5"/>
      <x:c r="AZ257" s="5"/>
      <x:c r="BA257" s="5"/>
      <x:c r="BB257" s="5"/>
      <x:c r="BC257" s="5"/>
      <x:c r="BD257" s="5"/>
      <x:c r="BE257" s="5"/>
      <x:c r="BF257" s="5"/>
      <x:c r="BG257" s="5"/>
      <x:c r="BH257" s="5"/>
      <x:c r="BI257" s="5"/>
      <x:c r="BJ257" s="5"/>
      <x:c r="BK257" s="5"/>
      <x:c r="BL257" s="5"/>
      <x:c r="BM257" s="5"/>
      <x:c r="BN257" s="5"/>
      <x:c r="BO257" s="5"/>
      <x:c r="BP257" s="5"/>
      <x:c r="BQ257" s="5"/>
      <x:c r="BR257" s="5"/>
      <x:c r="BS257" s="5"/>
      <x:c r="BT257" s="5"/>
      <x:c r="BU257" s="5"/>
      <x:c r="BV257" s="5"/>
      <x:c r="BW257" s="5"/>
      <x:c r="BX257" s="5"/>
      <x:c r="BY257" s="5"/>
      <x:c r="BZ257" s="5"/>
      <x:c r="CA257" s="5"/>
      <x:c r="CB257" s="5"/>
      <x:c r="CC257" s="5"/>
      <x:c r="CD257" s="5"/>
      <x:c r="CE257" s="5"/>
      <x:c r="CF257" s="5"/>
      <x:c r="CG257" s="5"/>
      <x:c r="CH257" s="5"/>
      <x:c r="CI257" s="5"/>
      <x:c r="CJ257" s="5"/>
      <x:c r="CK257" s="5"/>
      <x:c r="CL257" s="5"/>
      <x:c r="CM257" s="5"/>
      <x:c r="CN257" s="5"/>
      <x:c r="CO257" s="5"/>
      <x:c r="CP257" s="5"/>
      <x:c r="CQ257" s="5"/>
      <x:c r="CR257" s="5"/>
      <x:c r="CS257" s="5"/>
      <x:c r="CT257" s="5"/>
      <x:c r="CU257" s="5"/>
      <x:c r="CV257" s="5"/>
      <x:c r="CW257" s="5"/>
      <x:c r="CX257" s="5"/>
      <x:c r="CY257" s="5"/>
      <x:c r="CZ257" s="5"/>
      <x:c r="DA257" s="5"/>
      <x:c r="DB257" s="5"/>
      <x:c r="DC257" s="5"/>
      <x:c r="DD257" s="5"/>
      <x:c r="DE257" s="5"/>
      <x:c r="DF257" s="5"/>
      <x:c r="DG257" s="5"/>
      <x:c r="DH257" s="5"/>
      <x:c r="DI257" s="5"/>
      <x:c r="DJ257" s="5"/>
      <x:c r="DK257" s="5"/>
      <x:c r="DL257" s="5"/>
      <x:c r="DM257" s="5"/>
    </x:row>
    <x:row r="258">
      <x:c r="A258" s="5" t="n">
        <x:v>253</x:v>
      </x:c>
      <x:c r="B258" s="5" t="str">
        <x:v>异丙基3-苯基丙酸酯</x:v>
      </x:c>
      <x:c r="C258" s="5" t="str">
        <x:v>22767-95-9</x:v>
      </x:c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  <x:c r="AQ258" s="5"/>
      <x:c r="AR258" s="5"/>
      <x:c r="AS258" s="5"/>
      <x:c r="AT258" s="5"/>
      <x:c r="AU258" s="5"/>
      <x:c r="AV258" s="5"/>
      <x:c r="AW258" s="5"/>
      <x:c r="AX258" s="5"/>
      <x:c r="AY258" s="5"/>
      <x:c r="AZ258" s="5"/>
      <x:c r="BA258" s="5" t="n">
        <x:v>32</x:v>
      </x:c>
      <x:c r="BB258" s="5"/>
      <x:c r="BC258" s="5"/>
      <x:c r="BD258" s="5"/>
      <x:c r="BE258" s="5"/>
      <x:c r="BF258" s="5"/>
      <x:c r="BG258" s="5"/>
      <x:c r="BH258" s="5"/>
      <x:c r="BI258" s="5"/>
      <x:c r="BJ258" s="5"/>
      <x:c r="BK258" s="5"/>
      <x:c r="BL258" s="5"/>
      <x:c r="BM258" s="5"/>
      <x:c r="BN258" s="5"/>
      <x:c r="BO258" s="5"/>
      <x:c r="BP258" s="5"/>
      <x:c r="BQ258" s="5"/>
      <x:c r="BR258" s="5"/>
      <x:c r="BS258" s="5"/>
      <x:c r="BT258" s="5"/>
      <x:c r="BU258" s="5"/>
      <x:c r="BV258" s="5"/>
      <x:c r="BW258" s="5"/>
      <x:c r="BX258" s="5"/>
      <x:c r="BY258" s="5"/>
      <x:c r="BZ258" s="5"/>
      <x:c r="CA258" s="5"/>
      <x:c r="CB258" s="5"/>
      <x:c r="CC258" s="5"/>
      <x:c r="CD258" s="5"/>
      <x:c r="CE258" s="5"/>
      <x:c r="CF258" s="5"/>
      <x:c r="CG258" s="5"/>
      <x:c r="CH258" s="5"/>
      <x:c r="CI258" s="5"/>
      <x:c r="CJ258" s="5"/>
      <x:c r="CK258" s="5"/>
      <x:c r="CL258" s="5"/>
      <x:c r="CM258" s="5"/>
      <x:c r="CN258" s="5"/>
      <x:c r="CO258" s="5"/>
      <x:c r="CP258" s="5"/>
      <x:c r="CQ258" s="5"/>
      <x:c r="CR258" s="5"/>
      <x:c r="CS258" s="5"/>
      <x:c r="CT258" s="5"/>
      <x:c r="CU258" s="5"/>
      <x:c r="CV258" s="5"/>
      <x:c r="CW258" s="5"/>
      <x:c r="CX258" s="5"/>
      <x:c r="CY258" s="5"/>
      <x:c r="CZ258" s="5"/>
      <x:c r="DA258" s="5"/>
      <x:c r="DB258" s="5"/>
      <x:c r="DC258" s="5"/>
      <x:c r="DD258" s="5"/>
      <x:c r="DE258" s="5"/>
      <x:c r="DF258" s="5"/>
      <x:c r="DG258" s="5"/>
      <x:c r="DH258" s="5"/>
      <x:c r="DI258" s="5"/>
      <x:c r="DJ258" s="5"/>
      <x:c r="DK258" s="5"/>
      <x:c r="DL258" s="5"/>
      <x:c r="DM258" s="5"/>
    </x:row>
    <x:row r="259">
      <x:c r="A259" s="5" t="n">
        <x:v>254</x:v>
      </x:c>
      <x:c r="B259" s="5" t="str">
        <x:v>大马士酮</x:v>
      </x:c>
      <x:c r="C259" s="5" t="str">
        <x:v>23726-91-2</x:v>
      </x:c>
      <x:c r="D259" s="5" t="n">
        <x:v>0.12</x:v>
      </x:c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  <x:c r="AQ259" s="5"/>
      <x:c r="AR259" s="5"/>
      <x:c r="AS259" s="5"/>
      <x:c r="AT259" s="5"/>
      <x:c r="AU259" s="5"/>
      <x:c r="AV259" s="5"/>
      <x:c r="AW259" s="5"/>
      <x:c r="AX259" s="5"/>
      <x:c r="AY259" s="5"/>
      <x:c r="AZ259" s="5"/>
      <x:c r="BA259" s="5" t="n">
        <x:v>148</x:v>
      </x:c>
      <x:c r="BB259" s="5"/>
      <x:c r="BC259" s="5"/>
      <x:c r="BD259" s="5"/>
      <x:c r="BE259" s="5"/>
      <x:c r="BF259" s="5"/>
      <x:c r="BG259" s="5"/>
      <x:c r="BH259" s="5"/>
      <x:c r="BI259" s="5"/>
      <x:c r="BJ259" s="5"/>
      <x:c r="BK259" s="5"/>
      <x:c r="BL259" s="5"/>
      <x:c r="BM259" s="5"/>
      <x:c r="BN259" s="5"/>
      <x:c r="BO259" s="5"/>
      <x:c r="BP259" s="5"/>
      <x:c r="BQ259" s="5"/>
      <x:c r="BR259" s="5"/>
      <x:c r="BS259" s="5"/>
      <x:c r="BT259" s="5"/>
      <x:c r="BU259" s="5"/>
      <x:c r="BV259" s="5"/>
      <x:c r="BW259" s="5"/>
      <x:c r="BX259" s="5"/>
      <x:c r="BY259" s="5"/>
      <x:c r="BZ259" s="5"/>
      <x:c r="CA259" s="5"/>
      <x:c r="CB259" s="5"/>
      <x:c r="CC259" s="5"/>
      <x:c r="CD259" s="5"/>
      <x:c r="CE259" s="5"/>
      <x:c r="CF259" s="5"/>
      <x:c r="CG259" s="5"/>
      <x:c r="CH259" s="5"/>
      <x:c r="CI259" s="5"/>
      <x:c r="CJ259" s="5"/>
      <x:c r="CK259" s="5"/>
      <x:c r="CL259" s="5"/>
      <x:c r="CM259" s="5"/>
      <x:c r="CN259" s="5"/>
      <x:c r="CO259" s="5"/>
      <x:c r="CP259" s="5"/>
      <x:c r="CQ259" s="5"/>
      <x:c r="CR259" s="5"/>
      <x:c r="CS259" s="5"/>
      <x:c r="CT259" s="5"/>
      <x:c r="CU259" s="5"/>
      <x:c r="CV259" s="5"/>
      <x:c r="CW259" s="5"/>
      <x:c r="CX259" s="5"/>
      <x:c r="CY259" s="5"/>
      <x:c r="CZ259" s="5"/>
      <x:c r="DA259" s="5"/>
      <x:c r="DB259" s="5"/>
      <x:c r="DC259" s="5"/>
      <x:c r="DD259" s="5"/>
      <x:c r="DE259" s="5"/>
      <x:c r="DF259" s="5"/>
      <x:c r="DG259" s="5"/>
      <x:c r="DH259" s="5"/>
      <x:c r="DI259" s="5"/>
      <x:c r="DJ259" s="5"/>
      <x:c r="DK259" s="5"/>
      <x:c r="DL259" s="5"/>
      <x:c r="DM259" s="5"/>
    </x:row>
    <x:row r="260">
      <x:c r="A260" s="5" t="n">
        <x:v>255</x:v>
      </x:c>
      <x:c r="B260" s="5" t="str">
        <x:v>β-大马酮</x:v>
      </x:c>
      <x:c r="C260" s="5" t="str">
        <x:v>23726-93-4</x:v>
      </x:c>
      <x:c r="D260" s="5" t="n">
        <x:v>0.12</x:v>
      </x:c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 t="n">
        <x:v>1.5</x:v>
      </x:c>
      <x:c r="W260" s="5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  <x:c r="AQ260" s="5"/>
      <x:c r="AR260" s="5"/>
      <x:c r="AS260" s="5"/>
      <x:c r="AT260" s="5"/>
      <x:c r="AU260" s="5"/>
      <x:c r="AV260" s="5"/>
      <x:c r="AW260" s="5"/>
      <x:c r="AX260" s="5"/>
      <x:c r="AY260" s="5"/>
      <x:c r="AZ260" s="5"/>
      <x:c r="BA260" s="5"/>
      <x:c r="BB260" s="5"/>
      <x:c r="BC260" s="5"/>
      <x:c r="BD260" s="5"/>
      <x:c r="BE260" s="5"/>
      <x:c r="BF260" s="5"/>
      <x:c r="BG260" s="5"/>
      <x:c r="BH260" s="5"/>
      <x:c r="BI260" s="5"/>
      <x:c r="BJ260" s="5"/>
      <x:c r="BK260" s="5"/>
      <x:c r="BL260" s="5"/>
      <x:c r="BM260" s="5"/>
      <x:c r="BN260" s="5"/>
      <x:c r="BO260" s="5"/>
      <x:c r="BP260" s="5"/>
      <x:c r="BQ260" s="5"/>
      <x:c r="BR260" s="5"/>
      <x:c r="BS260" s="5"/>
      <x:c r="BT260" s="5"/>
      <x:c r="BU260" s="5"/>
      <x:c r="BV260" s="5"/>
      <x:c r="BW260" s="5"/>
      <x:c r="BX260" s="5"/>
      <x:c r="BY260" s="5"/>
      <x:c r="BZ260" s="5" t="n">
        <x:v>55.8067</x:v>
      </x:c>
      <x:c r="CA260" s="5" t="n">
        <x:v>60.76</x:v>
      </x:c>
      <x:c r="CB260" s="5" t="n">
        <x:v>10.88</x:v>
      </x:c>
      <x:c r="CC260" s="5" t="n">
        <x:v>6.59</x:v>
      </x:c>
      <x:c r="CD260" s="5" t="n">
        <x:v>14.04</x:v>
      </x:c>
      <x:c r="CE260" s="5" t="n">
        <x:v>9.12</x:v>
      </x:c>
      <x:c r="CF260" s="5" t="n">
        <x:v>13.19</x:v>
      </x:c>
      <x:c r="CG260" s="5" t="n">
        <x:v>2.35</x:v>
      </x:c>
      <x:c r="CH260" s="5" t="n">
        <x:v>2.03</x:v>
      </x:c>
      <x:c r="CI260" s="5" t="n">
        <x:v>9.41</x:v>
      </x:c>
      <x:c r="CJ260" s="5" t="n">
        <x:v>19.7</x:v>
      </x:c>
      <x:c r="CK260" s="5" t="n">
        <x:v>12.05</x:v>
      </x:c>
      <x:c r="CL260" s="5" t="n">
        <x:v>14.67</x:v>
      </x:c>
      <x:c r="CM260" s="5"/>
      <x:c r="CN260" s="5"/>
      <x:c r="CO260" s="5"/>
      <x:c r="CP260" s="5"/>
      <x:c r="CQ260" s="5"/>
      <x:c r="CR260" s="5"/>
      <x:c r="CS260" s="5"/>
      <x:c r="CT260" s="5"/>
      <x:c r="CU260" s="5"/>
      <x:c r="CV260" s="5"/>
      <x:c r="CW260" s="5"/>
      <x:c r="CX260" s="5"/>
      <x:c r="CY260" s="5" t="n">
        <x:v>4.38</x:v>
      </x:c>
      <x:c r="CZ260" s="5"/>
      <x:c r="DA260" s="5" t="n">
        <x:v>3.47</x:v>
      </x:c>
      <x:c r="DB260" s="5"/>
      <x:c r="DC260" s="5" t="n">
        <x:v>2.26</x:v>
      </x:c>
      <x:c r="DD260" s="5"/>
      <x:c r="DE260" s="5" t="n">
        <x:v>3.67</x:v>
      </x:c>
      <x:c r="DF260" s="5" t="n">
        <x:v>4.61</x:v>
      </x:c>
      <x:c r="DG260" s="5" t="n">
        <x:v>4.01</x:v>
      </x:c>
      <x:c r="DH260" s="5" t="n">
        <x:v>6.38</x:v>
      </x:c>
      <x:c r="DI260" s="5" t="n">
        <x:v>1.67</x:v>
      </x:c>
      <x:c r="DJ260" s="5" t="n">
        <x:v>5.8</x:v>
      </x:c>
      <x:c r="DK260" s="5" t="n">
        <x:v>1.55</x:v>
      </x:c>
      <x:c r="DL260" s="5" t="n">
        <x:v>5.04</x:v>
      </x:c>
      <x:c r="DM260" s="5" t="n">
        <x:v>4.08</x:v>
      </x:c>
    </x:row>
    <x:row r="261">
      <x:c r="A261" s="5" t="n">
        <x:v>256</x:v>
      </x:c>
      <x:c r="B261" s="5" t="str">
        <x:v>2-甲基丁酸-2-苯乙酯</x:v>
      </x:c>
      <x:c r="C261" s="5" t="str">
        <x:v>24817-51-4</x:v>
      </x:c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  <x:c r="AQ261" s="5"/>
      <x:c r="AR261" s="5"/>
      <x:c r="AS261" s="5"/>
      <x:c r="AT261" s="5"/>
      <x:c r="AU261" s="5"/>
      <x:c r="AV261" s="5"/>
      <x:c r="AW261" s="5"/>
      <x:c r="AX261" s="5"/>
      <x:c r="AY261" s="5"/>
      <x:c r="AZ261" s="5" t="n">
        <x:v>27</x:v>
      </x:c>
      <x:c r="BA261" s="5"/>
      <x:c r="BB261" s="5"/>
      <x:c r="BC261" s="5"/>
      <x:c r="BD261" s="5"/>
      <x:c r="BE261" s="5"/>
      <x:c r="BF261" s="5"/>
      <x:c r="BG261" s="5"/>
      <x:c r="BH261" s="5"/>
      <x:c r="BI261" s="5"/>
      <x:c r="BJ261" s="5"/>
      <x:c r="BK261" s="5"/>
      <x:c r="BL261" s="5"/>
      <x:c r="BM261" s="5"/>
      <x:c r="BN261" s="5"/>
      <x:c r="BO261" s="5"/>
      <x:c r="BP261" s="5"/>
      <x:c r="BQ261" s="5"/>
      <x:c r="BR261" s="5"/>
      <x:c r="BS261" s="5"/>
      <x:c r="BT261" s="5"/>
      <x:c r="BU261" s="5"/>
      <x:c r="BV261" s="5"/>
      <x:c r="BW261" s="5"/>
      <x:c r="BX261" s="5"/>
      <x:c r="BY261" s="5"/>
      <x:c r="BZ261" s="5"/>
      <x:c r="CA261" s="5"/>
      <x:c r="CB261" s="5"/>
      <x:c r="CC261" s="5"/>
      <x:c r="CD261" s="5"/>
      <x:c r="CE261" s="5"/>
      <x:c r="CF261" s="5"/>
      <x:c r="CG261" s="5"/>
      <x:c r="CH261" s="5"/>
      <x:c r="CI261" s="5"/>
      <x:c r="CJ261" s="5"/>
      <x:c r="CK261" s="5"/>
      <x:c r="CL261" s="5"/>
      <x:c r="CM261" s="5"/>
      <x:c r="CN261" s="5"/>
      <x:c r="CO261" s="5"/>
      <x:c r="CP261" s="5"/>
      <x:c r="CQ261" s="5"/>
      <x:c r="CR261" s="5"/>
      <x:c r="CS261" s="5"/>
      <x:c r="CT261" s="5"/>
      <x:c r="CU261" s="5"/>
      <x:c r="CV261" s="5"/>
      <x:c r="CW261" s="5"/>
      <x:c r="CX261" s="5"/>
      <x:c r="CY261" s="5"/>
      <x:c r="CZ261" s="5"/>
      <x:c r="DA261" s="5"/>
      <x:c r="DB261" s="5"/>
      <x:c r="DC261" s="5"/>
      <x:c r="DD261" s="5"/>
      <x:c r="DE261" s="5"/>
      <x:c r="DF261" s="5"/>
      <x:c r="DG261" s="5"/>
      <x:c r="DH261" s="5"/>
      <x:c r="DI261" s="5"/>
      <x:c r="DJ261" s="5"/>
      <x:c r="DK261" s="5"/>
      <x:c r="DL261" s="5"/>
      <x:c r="DM261" s="5"/>
    </x:row>
    <x:row r="262">
      <x:c r="A262" s="5" t="n">
        <x:v>257</x:v>
      </x:c>
      <x:c r="B262" s="5" t="str">
        <x:v>4-甲基-戊酸乙酯</x:v>
      </x:c>
      <x:c r="C262" s="5" t="str">
        <x:v>25415-67-2</x:v>
      </x:c>
      <x:c r="D262" s="5"/>
      <x:c r="E262" s="5" t="n">
        <x:v>605</x:v>
      </x:c>
      <x:c r="F262" s="5" t="n">
        <x:v>932</x:v>
      </x:c>
      <x:c r="G262" s="5" t="n">
        <x:v>8.56</x:v>
      </x:c>
      <x:c r="H262" s="5" t="n">
        <x:v>124.14</x:v>
      </x:c>
      <x:c r="I262" s="5" t="n">
        <x:v>7.47</x:v>
      </x:c>
      <x:c r="J262" s="5" t="n">
        <x:v>11.92</x:v>
      </x:c>
      <x:c r="K262" s="5" t="n">
        <x:v>3.11</x:v>
      </x:c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 t="n">
        <x:v>4360</x:v>
      </x:c>
      <x:c r="X262" s="5" t="n">
        <x:v>1570</x:v>
      </x:c>
      <x:c r="Y262" s="5" t="n">
        <x:v>1520</x:v>
      </x:c>
      <x:c r="Z262" s="5" t="n">
        <x:v>1200</x:v>
      </x:c>
      <x:c r="AA262" s="5" t="n">
        <x:v>570</x:v>
      </x:c>
      <x:c r="AB262" s="5" t="n">
        <x:v>643</x:v>
      </x:c>
      <x:c r="AC262" s="5" t="n">
        <x:v>550</x:v>
      </x:c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  <x:c r="AQ262" s="5"/>
      <x:c r="AR262" s="5"/>
      <x:c r="AS262" s="5"/>
      <x:c r="AT262" s="5"/>
      <x:c r="AU262" s="5"/>
      <x:c r="AV262" s="5"/>
      <x:c r="AW262" s="5"/>
      <x:c r="AX262" s="5"/>
      <x:c r="AY262" s="5"/>
      <x:c r="AZ262" s="5"/>
      <x:c r="BA262" s="5"/>
      <x:c r="BB262" s="5"/>
      <x:c r="BC262" s="5"/>
      <x:c r="BD262" s="5"/>
      <x:c r="BE262" s="5"/>
      <x:c r="BF262" s="5"/>
      <x:c r="BG262" s="5"/>
      <x:c r="BH262" s="5"/>
      <x:c r="BI262" s="5"/>
      <x:c r="BJ262" s="5"/>
      <x:c r="BK262" s="5"/>
      <x:c r="BL262" s="5"/>
      <x:c r="BM262" s="5"/>
      <x:c r="BN262" s="5"/>
      <x:c r="BO262" s="5"/>
      <x:c r="BP262" s="5"/>
      <x:c r="BQ262" s="5"/>
      <x:c r="BR262" s="5"/>
      <x:c r="BS262" s="5"/>
      <x:c r="BT262" s="5"/>
      <x:c r="BU262" s="5"/>
      <x:c r="BV262" s="5"/>
      <x:c r="BW262" s="5"/>
      <x:c r="BX262" s="5"/>
      <x:c r="BY262" s="5"/>
      <x:c r="BZ262" s="5"/>
      <x:c r="CA262" s="5"/>
      <x:c r="CB262" s="5"/>
      <x:c r="CC262" s="5"/>
      <x:c r="CD262" s="5"/>
      <x:c r="CE262" s="5"/>
      <x:c r="CF262" s="5"/>
      <x:c r="CG262" s="5"/>
      <x:c r="CH262" s="5"/>
      <x:c r="CI262" s="5"/>
      <x:c r="CJ262" s="5"/>
      <x:c r="CK262" s="5"/>
      <x:c r="CL262" s="5"/>
      <x:c r="CM262" s="5"/>
      <x:c r="CN262" s="5"/>
      <x:c r="CO262" s="5"/>
      <x:c r="CP262" s="5"/>
      <x:c r="CQ262" s="5"/>
      <x:c r="CR262" s="5"/>
      <x:c r="CS262" s="5"/>
      <x:c r="CT262" s="5"/>
      <x:c r="CU262" s="5"/>
      <x:c r="CV262" s="5"/>
      <x:c r="CW262" s="5"/>
      <x:c r="CX262" s="5"/>
      <x:c r="CY262" s="5"/>
      <x:c r="CZ262" s="5"/>
      <x:c r="DA262" s="5"/>
      <x:c r="DB262" s="5"/>
      <x:c r="DC262" s="5"/>
      <x:c r="DD262" s="5"/>
      <x:c r="DE262" s="5"/>
      <x:c r="DF262" s="5"/>
      <x:c r="DG262" s="5"/>
      <x:c r="DH262" s="5"/>
      <x:c r="DI262" s="5"/>
      <x:c r="DJ262" s="5"/>
      <x:c r="DK262" s="5"/>
      <x:c r="DL262" s="5"/>
      <x:c r="DM262" s="5"/>
    </x:row>
    <x:row r="263">
      <x:c r="A263" s="5" t="n">
        <x:v>258</x:v>
      </x:c>
      <x:c r="B263" s="5"/>
      <x:c r="C263" s="5" t="str">
        <x:v>26764-41-0</x:v>
      </x:c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 t="n">
        <x:v>605</x:v>
      </x:c>
      <x:c r="O263" s="5" t="n">
        <x:v>263</x:v>
      </x:c>
      <x:c r="P263" s="5" t="n">
        <x:v>1144</x:v>
      </x:c>
      <x:c r="Q263" s="5" t="n">
        <x:v>432</x:v>
      </x:c>
      <x:c r="R263" s="5" t="n">
        <x:v>333</x:v>
      </x:c>
      <x:c r="S263" s="5" t="n">
        <x:v>364</x:v>
      </x:c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  <x:c r="AQ263" s="5"/>
      <x:c r="AR263" s="5"/>
      <x:c r="AS263" s="5"/>
      <x:c r="AT263" s="5"/>
      <x:c r="AU263" s="5"/>
      <x:c r="AV263" s="5"/>
      <x:c r="AW263" s="5"/>
      <x:c r="AX263" s="5"/>
      <x:c r="AY263" s="5"/>
      <x:c r="AZ263" s="5"/>
      <x:c r="BA263" s="5"/>
      <x:c r="BB263" s="5"/>
      <x:c r="BC263" s="5"/>
      <x:c r="BD263" s="5"/>
      <x:c r="BE263" s="5"/>
      <x:c r="BF263" s="5"/>
      <x:c r="BG263" s="5"/>
      <x:c r="BH263" s="5"/>
      <x:c r="BI263" s="5"/>
      <x:c r="BJ263" s="5"/>
      <x:c r="BK263" s="5"/>
      <x:c r="BL263" s="5"/>
      <x:c r="BM263" s="5"/>
      <x:c r="BN263" s="5"/>
      <x:c r="BO263" s="5"/>
      <x:c r="BP263" s="5"/>
      <x:c r="BQ263" s="5"/>
      <x:c r="BR263" s="5"/>
      <x:c r="BS263" s="5"/>
      <x:c r="BT263" s="5"/>
      <x:c r="BU263" s="5"/>
      <x:c r="BV263" s="5"/>
      <x:c r="BW263" s="5"/>
      <x:c r="BX263" s="5"/>
      <x:c r="BY263" s="5"/>
      <x:c r="BZ263" s="5"/>
      <x:c r="CA263" s="5"/>
      <x:c r="CB263" s="5"/>
      <x:c r="CC263" s="5"/>
      <x:c r="CD263" s="5"/>
      <x:c r="CE263" s="5"/>
      <x:c r="CF263" s="5"/>
      <x:c r="CG263" s="5"/>
      <x:c r="CH263" s="5"/>
      <x:c r="CI263" s="5"/>
      <x:c r="CJ263" s="5"/>
      <x:c r="CK263" s="5"/>
      <x:c r="CL263" s="5"/>
      <x:c r="CM263" s="5"/>
      <x:c r="CN263" s="5"/>
      <x:c r="CO263" s="5"/>
      <x:c r="CP263" s="5"/>
      <x:c r="CQ263" s="5"/>
      <x:c r="CR263" s="5"/>
      <x:c r="CS263" s="5"/>
      <x:c r="CT263" s="5"/>
      <x:c r="CU263" s="5"/>
      <x:c r="CV263" s="5"/>
      <x:c r="CW263" s="5"/>
      <x:c r="CX263" s="5"/>
      <x:c r="CY263" s="5"/>
      <x:c r="CZ263" s="5"/>
      <x:c r="DA263" s="5"/>
      <x:c r="DB263" s="5"/>
      <x:c r="DC263" s="5"/>
      <x:c r="DD263" s="5"/>
      <x:c r="DE263" s="5"/>
      <x:c r="DF263" s="5"/>
      <x:c r="DG263" s="5"/>
      <x:c r="DH263" s="5"/>
      <x:c r="DI263" s="5"/>
      <x:c r="DJ263" s="5"/>
      <x:c r="DK263" s="5"/>
      <x:c r="DL263" s="5"/>
      <x:c r="DM263" s="5"/>
    </x:row>
    <x:row r="264">
      <x:c r="A264" s="5" t="n">
        <x:v>259</x:v>
      </x:c>
      <x:c r="B264" s="5" t="str">
        <x:v>2-壬烯-4-酮</x:v>
      </x:c>
      <x:c r="C264" s="5" t="str">
        <x:v>27743-70-0</x:v>
      </x:c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 t="n">
        <x:v>185</x:v>
      </x:c>
      <x:c r="O264" s="5"/>
      <x:c r="P264" s="5"/>
      <x:c r="Q264" s="5"/>
      <x:c r="R264" s="5" t="n">
        <x:v>158</x:v>
      </x:c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  <x:c r="AQ264" s="5"/>
      <x:c r="AR264" s="5"/>
      <x:c r="AS264" s="5"/>
      <x:c r="AT264" s="5"/>
      <x:c r="AU264" s="5"/>
      <x:c r="AV264" s="5"/>
      <x:c r="AW264" s="5"/>
      <x:c r="AX264" s="5"/>
      <x:c r="AY264" s="5"/>
      <x:c r="AZ264" s="5" t="n">
        <x:v>77</x:v>
      </x:c>
      <x:c r="BA264" s="5"/>
      <x:c r="BB264" s="5"/>
      <x:c r="BC264" s="5"/>
      <x:c r="BD264" s="5"/>
      <x:c r="BE264" s="5"/>
      <x:c r="BF264" s="5"/>
      <x:c r="BG264" s="5"/>
      <x:c r="BH264" s="5"/>
      <x:c r="BI264" s="5"/>
      <x:c r="BJ264" s="5"/>
      <x:c r="BK264" s="5"/>
      <x:c r="BL264" s="5"/>
      <x:c r="BM264" s="5"/>
      <x:c r="BN264" s="5"/>
      <x:c r="BO264" s="5"/>
      <x:c r="BP264" s="5"/>
      <x:c r="BQ264" s="5"/>
      <x:c r="BR264" s="5"/>
      <x:c r="BS264" s="5"/>
      <x:c r="BT264" s="5"/>
      <x:c r="BU264" s="5"/>
      <x:c r="BV264" s="5"/>
      <x:c r="BW264" s="5"/>
      <x:c r="BX264" s="5"/>
      <x:c r="BY264" s="5"/>
      <x:c r="BZ264" s="5"/>
      <x:c r="CA264" s="5"/>
      <x:c r="CB264" s="5"/>
      <x:c r="CC264" s="5"/>
      <x:c r="CD264" s="5"/>
      <x:c r="CE264" s="5"/>
      <x:c r="CF264" s="5"/>
      <x:c r="CG264" s="5"/>
      <x:c r="CH264" s="5"/>
      <x:c r="CI264" s="5"/>
      <x:c r="CJ264" s="5"/>
      <x:c r="CK264" s="5"/>
      <x:c r="CL264" s="5"/>
      <x:c r="CM264" s="5"/>
      <x:c r="CN264" s="5"/>
      <x:c r="CO264" s="5"/>
      <x:c r="CP264" s="5"/>
      <x:c r="CQ264" s="5"/>
      <x:c r="CR264" s="5"/>
      <x:c r="CS264" s="5"/>
      <x:c r="CT264" s="5"/>
      <x:c r="CU264" s="5"/>
      <x:c r="CV264" s="5"/>
      <x:c r="CW264" s="5"/>
      <x:c r="CX264" s="5"/>
      <x:c r="CY264" s="5"/>
      <x:c r="CZ264" s="5"/>
      <x:c r="DA264" s="5"/>
      <x:c r="DB264" s="5"/>
      <x:c r="DC264" s="5"/>
      <x:c r="DD264" s="5"/>
      <x:c r="DE264" s="5"/>
      <x:c r="DF264" s="5"/>
      <x:c r="DG264" s="5"/>
      <x:c r="DH264" s="5"/>
      <x:c r="DI264" s="5"/>
      <x:c r="DJ264" s="5"/>
      <x:c r="DK264" s="5"/>
      <x:c r="DL264" s="5"/>
      <x:c r="DM264" s="5"/>
    </x:row>
    <x:row r="265">
      <x:c r="A265" s="5" t="n">
        <x:v>260</x:v>
      </x:c>
      <x:c r="B265" s="5"/>
      <x:c r="C265" s="5" t="str">
        <x:v>28267-29-0</x:v>
      </x:c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 t="n">
        <x:v>1067</x:v>
      </x:c>
      <x:c r="O265" s="5" t="n">
        <x:v>869</x:v>
      </x:c>
      <x:c r="P265" s="5" t="n">
        <x:v>915</x:v>
      </x:c>
      <x:c r="Q265" s="5" t="n">
        <x:v>737</x:v>
      </x:c>
      <x:c r="R265" s="5" t="n">
        <x:v>739</x:v>
      </x:c>
      <x:c r="S265" s="5" t="n">
        <x:v>723</x:v>
      </x:c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  <x:c r="AQ265" s="5"/>
      <x:c r="AR265" s="5"/>
      <x:c r="AS265" s="5"/>
      <x:c r="AT265" s="5"/>
      <x:c r="AU265" s="5"/>
      <x:c r="AV265" s="5"/>
      <x:c r="AW265" s="5"/>
      <x:c r="AX265" s="5"/>
      <x:c r="AY265" s="5"/>
      <x:c r="AZ265" s="5"/>
      <x:c r="BA265" s="5"/>
      <x:c r="BB265" s="5"/>
      <x:c r="BC265" s="5"/>
      <x:c r="BD265" s="5"/>
      <x:c r="BE265" s="5"/>
      <x:c r="BF265" s="5"/>
      <x:c r="BG265" s="5"/>
      <x:c r="BH265" s="5"/>
      <x:c r="BI265" s="5"/>
      <x:c r="BJ265" s="5"/>
      <x:c r="BK265" s="5"/>
      <x:c r="BL265" s="5"/>
      <x:c r="BM265" s="5"/>
      <x:c r="BN265" s="5"/>
      <x:c r="BO265" s="5"/>
      <x:c r="BP265" s="5"/>
      <x:c r="BQ265" s="5"/>
      <x:c r="BR265" s="5"/>
      <x:c r="BS265" s="5"/>
      <x:c r="BT265" s="5"/>
      <x:c r="BU265" s="5"/>
      <x:c r="BV265" s="5"/>
      <x:c r="BW265" s="5"/>
      <x:c r="BX265" s="5"/>
      <x:c r="BY265" s="5"/>
      <x:c r="BZ265" s="5"/>
      <x:c r="CA265" s="5"/>
      <x:c r="CB265" s="5"/>
      <x:c r="CC265" s="5"/>
      <x:c r="CD265" s="5"/>
      <x:c r="CE265" s="5"/>
      <x:c r="CF265" s="5"/>
      <x:c r="CG265" s="5"/>
      <x:c r="CH265" s="5"/>
      <x:c r="CI265" s="5"/>
      <x:c r="CJ265" s="5"/>
      <x:c r="CK265" s="5"/>
      <x:c r="CL265" s="5"/>
      <x:c r="CM265" s="5"/>
      <x:c r="CN265" s="5"/>
      <x:c r="CO265" s="5"/>
      <x:c r="CP265" s="5"/>
      <x:c r="CQ265" s="5"/>
      <x:c r="CR265" s="5"/>
      <x:c r="CS265" s="5"/>
      <x:c r="CT265" s="5"/>
      <x:c r="CU265" s="5"/>
      <x:c r="CV265" s="5"/>
      <x:c r="CW265" s="5"/>
      <x:c r="CX265" s="5"/>
      <x:c r="CY265" s="5"/>
      <x:c r="CZ265" s="5"/>
      <x:c r="DA265" s="5"/>
      <x:c r="DB265" s="5"/>
      <x:c r="DC265" s="5"/>
      <x:c r="DD265" s="5"/>
      <x:c r="DE265" s="5"/>
      <x:c r="DF265" s="5"/>
      <x:c r="DG265" s="5"/>
      <x:c r="DH265" s="5"/>
      <x:c r="DI265" s="5"/>
      <x:c r="DJ265" s="5"/>
      <x:c r="DK265" s="5"/>
      <x:c r="DL265" s="5"/>
      <x:c r="DM265" s="5"/>
    </x:row>
    <x:row r="266">
      <x:c r="A266" s="5" t="n">
        <x:v>261</x:v>
      </x:c>
      <x:c r="B266" s="5"/>
      <x:c r="C266" s="5" t="str">
        <x:v>34764-02-8</x:v>
      </x:c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 t="n">
        <x:v>5</x:v>
      </x:c>
      <x:c r="O266" s="5" t="n">
        <x:v>777</x:v>
      </x:c>
      <x:c r="P266" s="5" t="n">
        <x:v>837</x:v>
      </x:c>
      <x:c r="Q266" s="5" t="n">
        <x:v>639</x:v>
      </x:c>
      <x:c r="R266" s="5" t="n">
        <x:v>728</x:v>
      </x:c>
      <x:c r="S266" s="5" t="n">
        <x:v>648</x:v>
      </x:c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  <x:c r="AQ266" s="5"/>
      <x:c r="AR266" s="5"/>
      <x:c r="AS266" s="5"/>
      <x:c r="AT266" s="5"/>
      <x:c r="AU266" s="5"/>
      <x:c r="AV266" s="5"/>
      <x:c r="AW266" s="5"/>
      <x:c r="AX266" s="5"/>
      <x:c r="AY266" s="5"/>
      <x:c r="AZ266" s="5"/>
      <x:c r="BA266" s="5"/>
      <x:c r="BB266" s="5"/>
      <x:c r="BC266" s="5"/>
      <x:c r="BD266" s="5"/>
      <x:c r="BE266" s="5"/>
      <x:c r="BF266" s="5"/>
      <x:c r="BG266" s="5"/>
      <x:c r="BH266" s="5"/>
      <x:c r="BI266" s="5"/>
      <x:c r="BJ266" s="5"/>
      <x:c r="BK266" s="5"/>
      <x:c r="BL266" s="5"/>
      <x:c r="BM266" s="5"/>
      <x:c r="BN266" s="5"/>
      <x:c r="BO266" s="5"/>
      <x:c r="BP266" s="5"/>
      <x:c r="BQ266" s="5"/>
      <x:c r="BR266" s="5"/>
      <x:c r="BS266" s="5"/>
      <x:c r="BT266" s="5"/>
      <x:c r="BU266" s="5"/>
      <x:c r="BV266" s="5"/>
      <x:c r="BW266" s="5"/>
      <x:c r="BX266" s="5"/>
      <x:c r="BY266" s="5"/>
      <x:c r="BZ266" s="5"/>
      <x:c r="CA266" s="5"/>
      <x:c r="CB266" s="5"/>
      <x:c r="CC266" s="5"/>
      <x:c r="CD266" s="5"/>
      <x:c r="CE266" s="5"/>
      <x:c r="CF266" s="5"/>
      <x:c r="CG266" s="5"/>
      <x:c r="CH266" s="5"/>
      <x:c r="CI266" s="5"/>
      <x:c r="CJ266" s="5"/>
      <x:c r="CK266" s="5"/>
      <x:c r="CL266" s="5"/>
      <x:c r="CM266" s="5"/>
      <x:c r="CN266" s="5"/>
      <x:c r="CO266" s="5"/>
      <x:c r="CP266" s="5"/>
      <x:c r="CQ266" s="5"/>
      <x:c r="CR266" s="5"/>
      <x:c r="CS266" s="5"/>
      <x:c r="CT266" s="5"/>
      <x:c r="CU266" s="5"/>
      <x:c r="CV266" s="5"/>
      <x:c r="CW266" s="5"/>
      <x:c r="CX266" s="5"/>
      <x:c r="CY266" s="5"/>
      <x:c r="CZ266" s="5"/>
      <x:c r="DA266" s="5"/>
      <x:c r="DB266" s="5"/>
      <x:c r="DC266" s="5"/>
      <x:c r="DD266" s="5"/>
      <x:c r="DE266" s="5"/>
      <x:c r="DF266" s="5"/>
      <x:c r="DG266" s="5"/>
      <x:c r="DH266" s="5"/>
      <x:c r="DI266" s="5"/>
      <x:c r="DJ266" s="5"/>
      <x:c r="DK266" s="5"/>
      <x:c r="DL266" s="5"/>
      <x:c r="DM266" s="5"/>
    </x:row>
    <x:row r="267">
      <x:c r="A267" s="5" t="n">
        <x:v>262</x:v>
      </x:c>
      <x:c r="B267" s="5" t="str">
        <x:v>己酸糠酯</x:v>
      </x:c>
      <x:c r="C267" s="5" t="str">
        <x:v>39252-02-3</x:v>
      </x:c>
      <x:c r="D267" s="5"/>
      <x:c r="E267" s="5"/>
      <x:c r="F267" s="5"/>
      <x:c r="G267" s="5"/>
      <x:c r="H267" s="5" t="n">
        <x:v>0.1</x:v>
      </x:c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  <x:c r="AQ267" s="5"/>
      <x:c r="AR267" s="5"/>
      <x:c r="AS267" s="5"/>
      <x:c r="AT267" s="5"/>
      <x:c r="AU267" s="5"/>
      <x:c r="AV267" s="5"/>
      <x:c r="AW267" s="5"/>
      <x:c r="AX267" s="5"/>
      <x:c r="AY267" s="5"/>
      <x:c r="AZ267" s="5" t="n">
        <x:v>356</x:v>
      </x:c>
      <x:c r="BA267" s="5" t="n">
        <x:v>650</x:v>
      </x:c>
      <x:c r="BB267" s="5"/>
      <x:c r="BC267" s="5"/>
      <x:c r="BD267" s="5"/>
      <x:c r="BE267" s="5"/>
      <x:c r="BF267" s="5"/>
      <x:c r="BG267" s="5"/>
      <x:c r="BH267" s="5"/>
      <x:c r="BI267" s="5"/>
      <x:c r="BJ267" s="5"/>
      <x:c r="BK267" s="5"/>
      <x:c r="BL267" s="5"/>
      <x:c r="BM267" s="5"/>
      <x:c r="BN267" s="5"/>
      <x:c r="BO267" s="5"/>
      <x:c r="BP267" s="5"/>
      <x:c r="BQ267" s="5"/>
      <x:c r="BR267" s="5"/>
      <x:c r="BS267" s="5"/>
      <x:c r="BT267" s="5"/>
      <x:c r="BU267" s="5"/>
      <x:c r="BV267" s="5"/>
      <x:c r="BW267" s="5"/>
      <x:c r="BX267" s="5"/>
      <x:c r="BY267" s="5"/>
      <x:c r="BZ267" s="5"/>
      <x:c r="CA267" s="5"/>
      <x:c r="CB267" s="5"/>
      <x:c r="CC267" s="5"/>
      <x:c r="CD267" s="5"/>
      <x:c r="CE267" s="5"/>
      <x:c r="CF267" s="5"/>
      <x:c r="CG267" s="5"/>
      <x:c r="CH267" s="5"/>
      <x:c r="CI267" s="5"/>
      <x:c r="CJ267" s="5"/>
      <x:c r="CK267" s="5"/>
      <x:c r="CL267" s="5"/>
      <x:c r="CM267" s="5"/>
      <x:c r="CN267" s="5"/>
      <x:c r="CO267" s="5"/>
      <x:c r="CP267" s="5"/>
      <x:c r="CQ267" s="5"/>
      <x:c r="CR267" s="5"/>
      <x:c r="CS267" s="5"/>
      <x:c r="CT267" s="5"/>
      <x:c r="CU267" s="5"/>
      <x:c r="CV267" s="5"/>
      <x:c r="CW267" s="5"/>
      <x:c r="CX267" s="5"/>
      <x:c r="CY267" s="5"/>
      <x:c r="CZ267" s="5"/>
      <x:c r="DA267" s="5"/>
      <x:c r="DB267" s="5"/>
      <x:c r="DC267" s="5"/>
      <x:c r="DD267" s="5"/>
      <x:c r="DE267" s="5"/>
      <x:c r="DF267" s="5"/>
      <x:c r="DG267" s="5"/>
      <x:c r="DH267" s="5"/>
      <x:c r="DI267" s="5"/>
      <x:c r="DJ267" s="5"/>
      <x:c r="DK267" s="5"/>
      <x:c r="DL267" s="5"/>
      <x:c r="DM267" s="5"/>
    </x:row>
    <x:row r="268">
      <x:c r="A268" s="5" t="n">
        <x:v>263</x:v>
      </x:c>
      <x:c r="B268" s="5"/>
      <x:c r="C268" s="5" t="str">
        <x:v>41114-00-5</x:v>
      </x:c>
      <x:c r="D268" s="5"/>
      <x:c r="E268" s="5"/>
      <x:c r="F268" s="5"/>
      <x:c r="G268" s="5" t="n">
        <x:v>0.81</x:v>
      </x:c>
      <x:c r="H268" s="5" t="n">
        <x:v>120.73</x:v>
      </x:c>
      <x:c r="I268" s="5"/>
      <x:c r="J268" s="5" t="n">
        <x:v>0.52</x:v>
      </x:c>
      <x:c r="K268" s="5" t="n">
        <x:v>0.29</x:v>
      </x:c>
      <x:c r="L268" s="5"/>
      <x:c r="M268" s="5"/>
      <x:c r="N268" s="5" t="n">
        <x:v>3340</x:v>
      </x:c>
      <x:c r="O268" s="5" t="n">
        <x:v>1987</x:v>
      </x:c>
      <x:c r="P268" s="5" t="n">
        <x:v>2599</x:v>
      </x:c>
      <x:c r="Q268" s="5" t="n">
        <x:v>2067</x:v>
      </x:c>
      <x:c r="R268" s="5" t="n">
        <x:v>2177</x:v>
      </x:c>
      <x:c r="S268" s="5" t="n">
        <x:v>2298</x:v>
      </x:c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  <x:c r="AQ268" s="5"/>
      <x:c r="AR268" s="5"/>
      <x:c r="AS268" s="5"/>
      <x:c r="AT268" s="5"/>
      <x:c r="AU268" s="5"/>
      <x:c r="AV268" s="5"/>
      <x:c r="AW268" s="5"/>
      <x:c r="AX268" s="5"/>
      <x:c r="AY268" s="5"/>
      <x:c r="AZ268" s="5"/>
      <x:c r="BA268" s="5"/>
      <x:c r="BB268" s="5"/>
      <x:c r="BC268" s="5"/>
      <x:c r="BD268" s="5"/>
      <x:c r="BE268" s="5"/>
      <x:c r="BF268" s="5"/>
      <x:c r="BG268" s="5"/>
      <x:c r="BH268" s="5"/>
      <x:c r="BI268" s="5"/>
      <x:c r="BJ268" s="5"/>
      <x:c r="BK268" s="5"/>
      <x:c r="BL268" s="5"/>
      <x:c r="BM268" s="5"/>
      <x:c r="BN268" s="5"/>
      <x:c r="BO268" s="5"/>
      <x:c r="BP268" s="5"/>
      <x:c r="BQ268" s="5"/>
      <x:c r="BR268" s="5"/>
      <x:c r="BS268" s="5"/>
      <x:c r="BT268" s="5"/>
      <x:c r="BU268" s="5"/>
      <x:c r="BV268" s="5"/>
      <x:c r="BW268" s="5"/>
      <x:c r="BX268" s="5"/>
      <x:c r="BY268" s="5"/>
      <x:c r="BZ268" s="5"/>
      <x:c r="CA268" s="5"/>
      <x:c r="CB268" s="5"/>
      <x:c r="CC268" s="5"/>
      <x:c r="CD268" s="5"/>
      <x:c r="CE268" s="5"/>
      <x:c r="CF268" s="5"/>
      <x:c r="CG268" s="5"/>
      <x:c r="CH268" s="5"/>
      <x:c r="CI268" s="5"/>
      <x:c r="CJ268" s="5"/>
      <x:c r="CK268" s="5"/>
      <x:c r="CL268" s="5"/>
      <x:c r="CM268" s="5"/>
      <x:c r="CN268" s="5"/>
      <x:c r="CO268" s="5"/>
      <x:c r="CP268" s="5"/>
      <x:c r="CQ268" s="5"/>
      <x:c r="CR268" s="5"/>
      <x:c r="CS268" s="5"/>
      <x:c r="CT268" s="5"/>
      <x:c r="CU268" s="5"/>
      <x:c r="CV268" s="5"/>
      <x:c r="CW268" s="5"/>
      <x:c r="CX268" s="5"/>
      <x:c r="CY268" s="5"/>
      <x:c r="CZ268" s="5"/>
      <x:c r="DA268" s="5"/>
      <x:c r="DB268" s="5"/>
      <x:c r="DC268" s="5"/>
      <x:c r="DD268" s="5"/>
      <x:c r="DE268" s="5"/>
      <x:c r="DF268" s="5"/>
      <x:c r="DG268" s="5"/>
      <x:c r="DH268" s="5"/>
      <x:c r="DI268" s="5"/>
      <x:c r="DJ268" s="5"/>
      <x:c r="DK268" s="5"/>
      <x:c r="DL268" s="5"/>
      <x:c r="DM268" s="5"/>
    </x:row>
    <x:row r="269">
      <x:c r="A269" s="5" t="n">
        <x:v>264</x:v>
      </x:c>
      <x:c r="B269" s="5" t="str">
        <x:v>2-羟基己酸乙酯a</x:v>
      </x:c>
      <x:c r="C269" s="5" t="str">
        <x:v>52089-55-1</x:v>
      </x:c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  <x:c r="AQ269" s="5"/>
      <x:c r="AR269" s="5"/>
      <x:c r="AS269" s="5"/>
      <x:c r="AT269" s="5"/>
      <x:c r="AU269" s="5"/>
      <x:c r="AV269" s="5"/>
      <x:c r="AW269" s="5"/>
      <x:c r="AX269" s="5"/>
      <x:c r="AY269" s="5"/>
      <x:c r="AZ269" s="5"/>
      <x:c r="BA269" s="5"/>
      <x:c r="BB269" s="5" t="n">
        <x:v>19.55</x:v>
      </x:c>
      <x:c r="BC269" s="5" t="n">
        <x:v>2.5</x:v>
      </x:c>
      <x:c r="BD269" s="5" t="n">
        <x:v>45.21</x:v>
      </x:c>
      <x:c r="BE269" s="5" t="n">
        <x:v>67.21</x:v>
      </x:c>
      <x:c r="BF269" s="5" t="n">
        <x:v>48.57</x:v>
      </x:c>
      <x:c r="BG269" s="5" t="n">
        <x:v>23</x:v>
      </x:c>
      <x:c r="BH269" s="5" t="n">
        <x:v>91.28</x:v>
      </x:c>
      <x:c r="BI269" s="5" t="n">
        <x:v>21.3</x:v>
      </x:c>
      <x:c r="BJ269" s="5" t="n">
        <x:v>15.23</x:v>
      </x:c>
      <x:c r="BK269" s="5" t="n">
        <x:v>205.52</x:v>
      </x:c>
      <x:c r="BL269" s="5" t="n">
        <x:v>130.31</x:v>
      </x:c>
      <x:c r="BM269" s="5" t="n">
        <x:v>199.92</x:v>
      </x:c>
      <x:c r="BN269" s="5" t="n">
        <x:v>114.7</x:v>
      </x:c>
      <x:c r="BO269" s="5" t="n">
        <x:v>163.9</x:v>
      </x:c>
      <x:c r="BP269" s="5" t="n">
        <x:v>87.41</x:v>
      </x:c>
      <x:c r="BQ269" s="5"/>
      <x:c r="BR269" s="5"/>
      <x:c r="BS269" s="5"/>
      <x:c r="BT269" s="5"/>
      <x:c r="BU269" s="5"/>
      <x:c r="BV269" s="5"/>
      <x:c r="BW269" s="5"/>
      <x:c r="BX269" s="5"/>
      <x:c r="BY269" s="5"/>
      <x:c r="BZ269" s="5" t="n">
        <x:v>20.16</x:v>
      </x:c>
      <x:c r="CA269" s="5" t="n">
        <x:v>26.485</x:v>
      </x:c>
      <x:c r="CB269" s="5" t="n">
        <x:v>52.93</x:v>
      </x:c>
      <x:c r="CC269" s="5" t="n">
        <x:v>41.88</x:v>
      </x:c>
      <x:c r="CD269" s="5" t="n">
        <x:v>14.07</x:v>
      </x:c>
      <x:c r="CE269" s="5" t="n">
        <x:v>23.77</x:v>
      </x:c>
      <x:c r="CF269" s="5" t="n">
        <x:v>23.54</x:v>
      </x:c>
      <x:c r="CG269" s="5" t="n">
        <x:v>13.18</x:v>
      </x:c>
      <x:c r="CH269" s="5" t="n">
        <x:v>12.01</x:v>
      </x:c>
      <x:c r="CI269" s="5" t="n">
        <x:v>74.59</x:v>
      </x:c>
      <x:c r="CJ269" s="5" t="n">
        <x:v>43.82</x:v>
      </x:c>
      <x:c r="CK269" s="5" t="n">
        <x:v>44.94</x:v>
      </x:c>
      <x:c r="CL269" s="5" t="n">
        <x:v>54.13</x:v>
      </x:c>
      <x:c r="CM269" s="5" t="n">
        <x:v>35.75</x:v>
      </x:c>
      <x:c r="CN269" s="5"/>
      <x:c r="CO269" s="5"/>
      <x:c r="CP269" s="5"/>
      <x:c r="CQ269" s="5"/>
      <x:c r="CR269" s="5" t="n">
        <x:v>3818.1</x:v>
      </x:c>
      <x:c r="CS269" s="5" t="n">
        <x:v>4110.58</x:v>
      </x:c>
      <x:c r="CT269" s="5"/>
      <x:c r="CU269" s="5"/>
      <x:c r="CV269" s="5"/>
      <x:c r="CW269" s="5"/>
      <x:c r="CX269" s="5"/>
      <x:c r="CY269" s="5"/>
      <x:c r="CZ269" s="5"/>
      <x:c r="DA269" s="5"/>
      <x:c r="DB269" s="5"/>
      <x:c r="DC269" s="5"/>
      <x:c r="DD269" s="5"/>
      <x:c r="DE269" s="5"/>
      <x:c r="DF269" s="5"/>
      <x:c r="DG269" s="5"/>
      <x:c r="DH269" s="5"/>
      <x:c r="DI269" s="5"/>
      <x:c r="DJ269" s="5"/>
      <x:c r="DK269" s="5"/>
      <x:c r="DL269" s="5"/>
      <x:c r="DM269" s="5"/>
    </x:row>
    <x:row r="270">
      <x:c r="A270" s="5" t="n">
        <x:v>265</x:v>
      </x:c>
      <x:c r="B270" s="5"/>
      <x:c r="C270" s="5" t="str">
        <x:v>54546-22-4</x:v>
      </x:c>
      <x:c r="D270" s="5"/>
      <x:c r="E270" s="5"/>
      <x:c r="F270" s="5"/>
      <x:c r="G270" s="5" t="n">
        <x:v>3.85</x:v>
      </x:c>
      <x:c r="H270" s="5"/>
      <x:c r="I270" s="5"/>
      <x:c r="J270" s="5"/>
      <x:c r="K270" s="5" t="n">
        <x:v>0.34</x:v>
      </x:c>
      <x:c r="L270" s="5"/>
      <x:c r="M270" s="5"/>
      <x:c r="N270" s="5" t="n">
        <x:v>9645</x:v>
      </x:c>
      <x:c r="O270" s="5" t="n">
        <x:v>5866</x:v>
      </x:c>
      <x:c r="P270" s="5" t="n">
        <x:v>6968</x:v>
      </x:c>
      <x:c r="Q270" s="5" t="n">
        <x:v>5471</x:v>
      </x:c>
      <x:c r="R270" s="5" t="n">
        <x:v>6320</x:v>
      </x:c>
      <x:c r="S270" s="5" t="n">
        <x:v>6188</x:v>
      </x:c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  <x:c r="AQ270" s="5"/>
      <x:c r="AR270" s="5"/>
      <x:c r="AS270" s="5"/>
      <x:c r="AT270" s="5"/>
      <x:c r="AU270" s="5"/>
      <x:c r="AV270" s="5"/>
      <x:c r="AW270" s="5"/>
      <x:c r="AX270" s="5"/>
      <x:c r="AY270" s="5"/>
      <x:c r="AZ270" s="5"/>
      <x:c r="BA270" s="5"/>
      <x:c r="BB270" s="5"/>
      <x:c r="BC270" s="5"/>
      <x:c r="BD270" s="5"/>
      <x:c r="BE270" s="5"/>
      <x:c r="BF270" s="5"/>
      <x:c r="BG270" s="5"/>
      <x:c r="BH270" s="5"/>
      <x:c r="BI270" s="5"/>
      <x:c r="BJ270" s="5"/>
      <x:c r="BK270" s="5"/>
      <x:c r="BL270" s="5"/>
      <x:c r="BM270" s="5"/>
      <x:c r="BN270" s="5"/>
      <x:c r="BO270" s="5"/>
      <x:c r="BP270" s="5"/>
      <x:c r="BQ270" s="5"/>
      <x:c r="BR270" s="5"/>
      <x:c r="BS270" s="5"/>
      <x:c r="BT270" s="5"/>
      <x:c r="BU270" s="5"/>
      <x:c r="BV270" s="5"/>
      <x:c r="BW270" s="5"/>
      <x:c r="BX270" s="5"/>
      <x:c r="BY270" s="5"/>
      <x:c r="BZ270" s="5"/>
      <x:c r="CA270" s="5"/>
      <x:c r="CB270" s="5"/>
      <x:c r="CC270" s="5"/>
      <x:c r="CD270" s="5"/>
      <x:c r="CE270" s="5"/>
      <x:c r="CF270" s="5"/>
      <x:c r="CG270" s="5"/>
      <x:c r="CH270" s="5"/>
      <x:c r="CI270" s="5"/>
      <x:c r="CJ270" s="5"/>
      <x:c r="CK270" s="5"/>
      <x:c r="CL270" s="5"/>
      <x:c r="CM270" s="5"/>
      <x:c r="CN270" s="5"/>
      <x:c r="CO270" s="5"/>
      <x:c r="CP270" s="5"/>
      <x:c r="CQ270" s="5"/>
      <x:c r="CR270" s="5"/>
      <x:c r="CS270" s="5"/>
      <x:c r="CT270" s="5"/>
      <x:c r="CU270" s="5"/>
      <x:c r="CV270" s="5"/>
      <x:c r="CW270" s="5"/>
      <x:c r="CX270" s="5"/>
      <x:c r="CY270" s="5"/>
      <x:c r="CZ270" s="5"/>
      <x:c r="DA270" s="5"/>
      <x:c r="DB270" s="5"/>
      <x:c r="DC270" s="5"/>
      <x:c r="DD270" s="5"/>
      <x:c r="DE270" s="5"/>
      <x:c r="DF270" s="5"/>
      <x:c r="DG270" s="5"/>
      <x:c r="DH270" s="5"/>
      <x:c r="DI270" s="5"/>
      <x:c r="DJ270" s="5"/>
      <x:c r="DK270" s="5"/>
      <x:c r="DL270" s="5"/>
      <x:c r="DM270" s="5"/>
    </x:row>
    <x:row r="271">
      <x:c r="A271" s="5" t="n">
        <x:v>266</x:v>
      </x:c>
      <x:c r="B271" s="5"/>
      <x:c r="C271" s="5" t="str">
        <x:v>54815-13-3</x:v>
      </x:c>
      <x:c r="D271" s="5"/>
      <x:c r="E271" s="5"/>
      <x:c r="F271" s="5"/>
      <x:c r="G271" s="5"/>
      <x:c r="H271" s="5"/>
      <x:c r="I271" s="5" t="n">
        <x:v>0.81</x:v>
      </x:c>
      <x:c r="J271" s="5" t="n">
        <x:v>0.38</x:v>
      </x:c>
      <x:c r="K271" s="5" t="n">
        <x:v>1.26</x:v>
      </x:c>
      <x:c r="L271" s="5"/>
      <x:c r="M271" s="5"/>
      <x:c r="N271" s="5" t="n">
        <x:v>1933</x:v>
      </x:c>
      <x:c r="O271" s="5" t="n">
        <x:v>2782</x:v>
      </x:c>
      <x:c r="P271" s="5" t="n">
        <x:v>3626</x:v>
      </x:c>
      <x:c r="Q271" s="5" t="n">
        <x:v>2781</x:v>
      </x:c>
      <x:c r="R271" s="5" t="n">
        <x:v>3118</x:v>
      </x:c>
      <x:c r="S271" s="5" t="n">
        <x:v>2759</x:v>
      </x:c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  <x:c r="AQ271" s="5"/>
      <x:c r="AR271" s="5"/>
      <x:c r="AS271" s="5"/>
      <x:c r="AT271" s="5"/>
      <x:c r="AU271" s="5"/>
      <x:c r="AV271" s="5"/>
      <x:c r="AW271" s="5"/>
      <x:c r="AX271" s="5"/>
      <x:c r="AY271" s="5"/>
      <x:c r="AZ271" s="5"/>
      <x:c r="BA271" s="5"/>
      <x:c r="BB271" s="5"/>
      <x:c r="BC271" s="5"/>
      <x:c r="BD271" s="5"/>
      <x:c r="BE271" s="5"/>
      <x:c r="BF271" s="5"/>
      <x:c r="BG271" s="5"/>
      <x:c r="BH271" s="5"/>
      <x:c r="BI271" s="5"/>
      <x:c r="BJ271" s="5"/>
      <x:c r="BK271" s="5"/>
      <x:c r="BL271" s="5"/>
      <x:c r="BM271" s="5"/>
      <x:c r="BN271" s="5"/>
      <x:c r="BO271" s="5"/>
      <x:c r="BP271" s="5"/>
      <x:c r="BQ271" s="5"/>
      <x:c r="BR271" s="5"/>
      <x:c r="BS271" s="5"/>
      <x:c r="BT271" s="5"/>
      <x:c r="BU271" s="5"/>
      <x:c r="BV271" s="5"/>
      <x:c r="BW271" s="5"/>
      <x:c r="BX271" s="5"/>
      <x:c r="BY271" s="5"/>
      <x:c r="BZ271" s="5"/>
      <x:c r="CA271" s="5"/>
      <x:c r="CB271" s="5"/>
      <x:c r="CC271" s="5"/>
      <x:c r="CD271" s="5"/>
      <x:c r="CE271" s="5"/>
      <x:c r="CF271" s="5"/>
      <x:c r="CG271" s="5"/>
      <x:c r="CH271" s="5"/>
      <x:c r="CI271" s="5"/>
      <x:c r="CJ271" s="5"/>
      <x:c r="CK271" s="5"/>
      <x:c r="CL271" s="5"/>
      <x:c r="CM271" s="5"/>
      <x:c r="CN271" s="5"/>
      <x:c r="CO271" s="5"/>
      <x:c r="CP271" s="5"/>
      <x:c r="CQ271" s="5"/>
      <x:c r="CR271" s="5"/>
      <x:c r="CS271" s="5"/>
      <x:c r="CT271" s="5"/>
      <x:c r="CU271" s="5"/>
      <x:c r="CV271" s="5"/>
      <x:c r="CW271" s="5"/>
      <x:c r="CX271" s="5"/>
      <x:c r="CY271" s="5"/>
      <x:c r="CZ271" s="5"/>
      <x:c r="DA271" s="5"/>
      <x:c r="DB271" s="5"/>
      <x:c r="DC271" s="5"/>
      <x:c r="DD271" s="5"/>
      <x:c r="DE271" s="5"/>
      <x:c r="DF271" s="5"/>
      <x:c r="DG271" s="5"/>
      <x:c r="DH271" s="5"/>
      <x:c r="DI271" s="5"/>
      <x:c r="DJ271" s="5"/>
      <x:c r="DK271" s="5"/>
      <x:c r="DL271" s="5"/>
      <x:c r="DM271" s="5"/>
    </x:row>
    <x:row r="272">
      <x:c r="A272" s="5" t="n">
        <x:v>267</x:v>
      </x:c>
      <x:c r="B272" s="5"/>
      <x:c r="C272" s="5" t="str">
        <x:v>57274-46-1</x:v>
      </x:c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 t="n">
        <x:v>629</x:v>
      </x:c>
      <x:c r="O272" s="5" t="n">
        <x:v>244</x:v>
      </x:c>
      <x:c r="P272" s="5" t="n">
        <x:v>96</x:v>
      </x:c>
      <x:c r="Q272" s="5" t="n">
        <x:v>286</x:v>
      </x:c>
      <x:c r="R272" s="5" t="n">
        <x:v>296</x:v>
      </x:c>
      <x:c r="S272" s="5" t="n">
        <x:v>223</x:v>
      </x:c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  <x:c r="AQ272" s="5"/>
      <x:c r="AR272" s="5"/>
      <x:c r="AS272" s="5"/>
      <x:c r="AT272" s="5"/>
      <x:c r="AU272" s="5"/>
      <x:c r="AV272" s="5"/>
      <x:c r="AW272" s="5"/>
      <x:c r="AX272" s="5"/>
      <x:c r="AY272" s="5"/>
      <x:c r="AZ272" s="5"/>
      <x:c r="BA272" s="5"/>
      <x:c r="BB272" s="5"/>
      <x:c r="BC272" s="5"/>
      <x:c r="BD272" s="5"/>
      <x:c r="BE272" s="5"/>
      <x:c r="BF272" s="5"/>
      <x:c r="BG272" s="5"/>
      <x:c r="BH272" s="5"/>
      <x:c r="BI272" s="5"/>
      <x:c r="BJ272" s="5"/>
      <x:c r="BK272" s="5"/>
      <x:c r="BL272" s="5"/>
      <x:c r="BM272" s="5"/>
      <x:c r="BN272" s="5"/>
      <x:c r="BO272" s="5"/>
      <x:c r="BP272" s="5"/>
      <x:c r="BQ272" s="5"/>
      <x:c r="BR272" s="5"/>
      <x:c r="BS272" s="5"/>
      <x:c r="BT272" s="5"/>
      <x:c r="BU272" s="5"/>
      <x:c r="BV272" s="5"/>
      <x:c r="BW272" s="5"/>
      <x:c r="BX272" s="5"/>
      <x:c r="BY272" s="5"/>
      <x:c r="BZ272" s="5"/>
      <x:c r="CA272" s="5"/>
      <x:c r="CB272" s="5"/>
      <x:c r="CC272" s="5"/>
      <x:c r="CD272" s="5"/>
      <x:c r="CE272" s="5"/>
      <x:c r="CF272" s="5"/>
      <x:c r="CG272" s="5"/>
      <x:c r="CH272" s="5"/>
      <x:c r="CI272" s="5"/>
      <x:c r="CJ272" s="5"/>
      <x:c r="CK272" s="5"/>
      <x:c r="CL272" s="5"/>
      <x:c r="CM272" s="5"/>
      <x:c r="CN272" s="5"/>
      <x:c r="CO272" s="5"/>
      <x:c r="CP272" s="5"/>
      <x:c r="CQ272" s="5"/>
      <x:c r="CR272" s="5"/>
      <x:c r="CS272" s="5"/>
      <x:c r="CT272" s="5"/>
      <x:c r="CU272" s="5"/>
      <x:c r="CV272" s="5"/>
      <x:c r="CW272" s="5"/>
      <x:c r="CX272" s="5"/>
      <x:c r="CY272" s="5"/>
      <x:c r="CZ272" s="5"/>
      <x:c r="DA272" s="5"/>
      <x:c r="DB272" s="5"/>
      <x:c r="DC272" s="5"/>
      <x:c r="DD272" s="5"/>
      <x:c r="DE272" s="5"/>
      <x:c r="DF272" s="5"/>
      <x:c r="DG272" s="5"/>
      <x:c r="DH272" s="5"/>
      <x:c r="DI272" s="5"/>
      <x:c r="DJ272" s="5"/>
      <x:c r="DK272" s="5"/>
      <x:c r="DL272" s="5"/>
      <x:c r="DM272" s="5"/>
    </x:row>
    <x:row r="273">
      <x:c r="A273" s="5" t="n">
        <x:v>268</x:v>
      </x:c>
      <x:c r="B273" s="5"/>
      <x:c r="C273" s="5" t="str">
        <x:v>60415-61-4</x:v>
      </x:c>
      <x:c r="D273" s="5"/>
      <x:c r="E273" s="5"/>
      <x:c r="F273" s="5"/>
      <x:c r="G273" s="5"/>
      <x:c r="H273" s="5"/>
      <x:c r="I273" s="5"/>
      <x:c r="J273" s="5"/>
      <x:c r="K273" s="5" t="n">
        <x:v>0.25</x:v>
      </x:c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  <x:c r="AQ273" s="5"/>
      <x:c r="AR273" s="5"/>
      <x:c r="AS273" s="5"/>
      <x:c r="AT273" s="5"/>
      <x:c r="AU273" s="5"/>
      <x:c r="AV273" s="5"/>
      <x:c r="AW273" s="5"/>
      <x:c r="AX273" s="5"/>
      <x:c r="AY273" s="5"/>
      <x:c r="AZ273" s="5"/>
      <x:c r="BA273" s="5"/>
      <x:c r="BB273" s="5"/>
      <x:c r="BC273" s="5"/>
      <x:c r="BD273" s="5"/>
      <x:c r="BE273" s="5"/>
      <x:c r="BF273" s="5"/>
      <x:c r="BG273" s="5"/>
      <x:c r="BH273" s="5"/>
      <x:c r="BI273" s="5"/>
      <x:c r="BJ273" s="5"/>
      <x:c r="BK273" s="5"/>
      <x:c r="BL273" s="5"/>
      <x:c r="BM273" s="5"/>
      <x:c r="BN273" s="5"/>
      <x:c r="BO273" s="5"/>
      <x:c r="BP273" s="5"/>
      <x:c r="BQ273" s="5"/>
      <x:c r="BR273" s="5"/>
      <x:c r="BS273" s="5"/>
      <x:c r="BT273" s="5"/>
      <x:c r="BU273" s="5"/>
      <x:c r="BV273" s="5"/>
      <x:c r="BW273" s="5"/>
      <x:c r="BX273" s="5"/>
      <x:c r="BY273" s="5"/>
      <x:c r="BZ273" s="5"/>
      <x:c r="CA273" s="5"/>
      <x:c r="CB273" s="5"/>
      <x:c r="CC273" s="5"/>
      <x:c r="CD273" s="5"/>
      <x:c r="CE273" s="5"/>
      <x:c r="CF273" s="5"/>
      <x:c r="CG273" s="5"/>
      <x:c r="CH273" s="5"/>
      <x:c r="CI273" s="5"/>
      <x:c r="CJ273" s="5"/>
      <x:c r="CK273" s="5"/>
      <x:c r="CL273" s="5"/>
      <x:c r="CM273" s="5"/>
      <x:c r="CN273" s="5"/>
      <x:c r="CO273" s="5"/>
      <x:c r="CP273" s="5"/>
      <x:c r="CQ273" s="5"/>
      <x:c r="CR273" s="5"/>
      <x:c r="CS273" s="5"/>
      <x:c r="CT273" s="5"/>
      <x:c r="CU273" s="5"/>
      <x:c r="CV273" s="5"/>
      <x:c r="CW273" s="5"/>
      <x:c r="CX273" s="5"/>
      <x:c r="CY273" s="5"/>
      <x:c r="CZ273" s="5"/>
      <x:c r="DA273" s="5"/>
      <x:c r="DB273" s="5"/>
      <x:c r="DC273" s="5"/>
      <x:c r="DD273" s="5"/>
      <x:c r="DE273" s="5"/>
      <x:c r="DF273" s="5"/>
      <x:c r="DG273" s="5"/>
      <x:c r="DH273" s="5"/>
      <x:c r="DI273" s="5"/>
      <x:c r="DJ273" s="5"/>
      <x:c r="DK273" s="5"/>
      <x:c r="DL273" s="5"/>
      <x:c r="DM273" s="5"/>
    </x:row>
    <x:row r="274">
      <x:c r="A274" s="5" t="n">
        <x:v>269</x:v>
      </x:c>
      <x:c r="B274" s="5"/>
      <x:c r="C274" s="5" t="str">
        <x:v>75039-84-8</x:v>
      </x:c>
      <x:c r="D274" s="5"/>
      <x:c r="E274" s="5"/>
      <x:c r="F274" s="5"/>
      <x:c r="G274" s="5"/>
      <x:c r="H274" s="5"/>
      <x:c r="I274" s="5"/>
      <x:c r="J274" s="5"/>
      <x:c r="K274" s="5" t="n">
        <x:v>0.42</x:v>
      </x:c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  <x:c r="AQ274" s="5"/>
      <x:c r="AR274" s="5"/>
      <x:c r="AS274" s="5"/>
      <x:c r="AT274" s="5"/>
      <x:c r="AU274" s="5"/>
      <x:c r="AV274" s="5"/>
      <x:c r="AW274" s="5"/>
      <x:c r="AX274" s="5"/>
      <x:c r="AY274" s="5"/>
      <x:c r="AZ274" s="5"/>
      <x:c r="BA274" s="5"/>
      <x:c r="BB274" s="5"/>
      <x:c r="BC274" s="5"/>
      <x:c r="BD274" s="5"/>
      <x:c r="BE274" s="5"/>
      <x:c r="BF274" s="5"/>
      <x:c r="BG274" s="5"/>
      <x:c r="BH274" s="5"/>
      <x:c r="BI274" s="5"/>
      <x:c r="BJ274" s="5"/>
      <x:c r="BK274" s="5"/>
      <x:c r="BL274" s="5"/>
      <x:c r="BM274" s="5"/>
      <x:c r="BN274" s="5"/>
      <x:c r="BO274" s="5"/>
      <x:c r="BP274" s="5"/>
      <x:c r="BQ274" s="5"/>
      <x:c r="BR274" s="5"/>
      <x:c r="BS274" s="5"/>
      <x:c r="BT274" s="5"/>
      <x:c r="BU274" s="5"/>
      <x:c r="BV274" s="5"/>
      <x:c r="BW274" s="5"/>
      <x:c r="BX274" s="5"/>
      <x:c r="BY274" s="5"/>
      <x:c r="BZ274" s="5"/>
      <x:c r="CA274" s="5"/>
      <x:c r="CB274" s="5"/>
      <x:c r="CC274" s="5"/>
      <x:c r="CD274" s="5"/>
      <x:c r="CE274" s="5"/>
      <x:c r="CF274" s="5"/>
      <x:c r="CG274" s="5"/>
      <x:c r="CH274" s="5"/>
      <x:c r="CI274" s="5"/>
      <x:c r="CJ274" s="5"/>
      <x:c r="CK274" s="5"/>
      <x:c r="CL274" s="5"/>
      <x:c r="CM274" s="5"/>
      <x:c r="CN274" s="5"/>
      <x:c r="CO274" s="5"/>
      <x:c r="CP274" s="5"/>
      <x:c r="CQ274" s="5"/>
      <x:c r="CR274" s="5"/>
      <x:c r="CS274" s="5"/>
      <x:c r="CT274" s="5"/>
      <x:c r="CU274" s="5"/>
      <x:c r="CV274" s="5"/>
      <x:c r="CW274" s="5"/>
      <x:c r="CX274" s="5"/>
      <x:c r="CY274" s="5"/>
      <x:c r="CZ274" s="5"/>
      <x:c r="DA274" s="5"/>
      <x:c r="DB274" s="5"/>
      <x:c r="DC274" s="5"/>
      <x:c r="DD274" s="5"/>
      <x:c r="DE274" s="5"/>
      <x:c r="DF274" s="5"/>
      <x:c r="DG274" s="5"/>
      <x:c r="DH274" s="5"/>
      <x:c r="DI274" s="5"/>
      <x:c r="DJ274" s="5"/>
      <x:c r="DK274" s="5"/>
      <x:c r="DL274" s="5"/>
      <x:c r="DM274" s="5"/>
    </x:row>
    <x:row r="275">
      <x:c r="A275" s="5" t="n">
        <x:v>270</x:v>
      </x:c>
      <x:c r="B275" s="5" t="str">
        <x:v>反-4-癸烯酸乙酯</x:v>
      </x:c>
      <x:c r="C275" s="5" t="str">
        <x:v>76649-16-6</x:v>
      </x:c>
      <x:c r="D275" s="5" t="n">
        <x:v>8844.66</x:v>
      </x:c>
      <x:c r="E275" s="5"/>
      <x:c r="F275" s="5"/>
      <x:c r="G275" s="5"/>
      <x:c r="H275" s="5"/>
      <x:c r="I275" s="5"/>
      <x:c r="J275" s="5"/>
      <x:c r="K275" s="5"/>
      <x:c r="L275" s="5"/>
      <x:c r="M275" s="5"/>
      <x:c r="N275" s="5" t="n">
        <x:v>287</x:v>
      </x:c>
      <x:c r="O275" s="5"/>
      <x:c r="P275" s="5"/>
      <x:c r="Q275" s="5" t="n">
        <x:v>97</x:v>
      </x:c>
      <x:c r="R275" s="5" t="n">
        <x:v>98</x:v>
      </x:c>
      <x:c r="S275" s="5" t="n">
        <x:v>119</x:v>
      </x:c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  <x:c r="AQ275" s="5"/>
      <x:c r="AR275" s="5"/>
      <x:c r="AS275" s="5"/>
      <x:c r="AT275" s="5"/>
      <x:c r="AU275" s="5"/>
      <x:c r="AV275" s="5"/>
      <x:c r="AW275" s="5"/>
      <x:c r="AX275" s="5"/>
      <x:c r="AY275" s="5"/>
      <x:c r="AZ275" s="5"/>
      <x:c r="BA275" s="5"/>
      <x:c r="BB275" s="5"/>
      <x:c r="BC275" s="5"/>
      <x:c r="BD275" s="5"/>
      <x:c r="BE275" s="5"/>
      <x:c r="BF275" s="5"/>
      <x:c r="BG275" s="5"/>
      <x:c r="BH275" s="5"/>
      <x:c r="BI275" s="5"/>
      <x:c r="BJ275" s="5"/>
      <x:c r="BK275" s="5"/>
      <x:c r="BL275" s="5"/>
      <x:c r="BM275" s="5"/>
      <x:c r="BN275" s="5"/>
      <x:c r="BO275" s="5"/>
      <x:c r="BP275" s="5"/>
      <x:c r="BQ275" s="5"/>
      <x:c r="BR275" s="5"/>
      <x:c r="BS275" s="5"/>
      <x:c r="BT275" s="5"/>
      <x:c r="BU275" s="5"/>
      <x:c r="BV275" s="5"/>
      <x:c r="BW275" s="5"/>
      <x:c r="BX275" s="5"/>
      <x:c r="BY275" s="5"/>
      <x:c r="BZ275" s="5" t="n">
        <x:v>249.33</x:v>
      </x:c>
      <x:c r="CA275" s="5" t="n">
        <x:v>249.4</x:v>
      </x:c>
      <x:c r="CB275" s="5" t="n">
        <x:v>326.84</x:v>
      </x:c>
      <x:c r="CC275" s="5" t="n">
        <x:v>269.25</x:v>
      </x:c>
      <x:c r="CD275" s="5" t="n">
        <x:v>307.43</x:v>
      </x:c>
      <x:c r="CE275" s="5" t="n">
        <x:v>353.11</x:v>
      </x:c>
      <x:c r="CF275" s="5" t="n">
        <x:v>281.08</x:v>
      </x:c>
      <x:c r="CG275" s="5" t="n">
        <x:v>203.23</x:v>
      </x:c>
      <x:c r="CH275" s="5" t="n">
        <x:v>196.3</x:v>
      </x:c>
      <x:c r="CI275" s="5" t="n">
        <x:v>311</x:v>
      </x:c>
      <x:c r="CJ275" s="5" t="n">
        <x:v>319.75</x:v>
      </x:c>
      <x:c r="CK275" s="5" t="n">
        <x:v>516.04</x:v>
      </x:c>
      <x:c r="CL275" s="5" t="n">
        <x:v>304.65</x:v>
      </x:c>
      <x:c r="CM275" s="5"/>
      <x:c r="CN275" s="5"/>
      <x:c r="CO275" s="5"/>
      <x:c r="CP275" s="5"/>
      <x:c r="CQ275" s="5"/>
      <x:c r="CR275" s="5"/>
      <x:c r="CS275" s="5"/>
      <x:c r="CT275" s="5"/>
      <x:c r="CU275" s="5"/>
      <x:c r="CV275" s="5"/>
      <x:c r="CW275" s="5"/>
      <x:c r="CX275" s="5"/>
      <x:c r="CY275" s="5"/>
      <x:c r="CZ275" s="5"/>
      <x:c r="DA275" s="5"/>
      <x:c r="DB275" s="5"/>
      <x:c r="DC275" s="5"/>
      <x:c r="DD275" s="5"/>
      <x:c r="DE275" s="5"/>
      <x:c r="DF275" s="5"/>
      <x:c r="DG275" s="5"/>
      <x:c r="DH275" s="5"/>
      <x:c r="DI275" s="5"/>
      <x:c r="DJ275" s="5"/>
      <x:c r="DK275" s="5"/>
      <x:c r="DL275" s="5"/>
      <x:c r="DM275" s="5"/>
    </x:row>
    <x:row r="276">
      <x:c r="A276" s="5" t="n">
        <x:v>271</x:v>
      </x:c>
      <x:c r="B276" s="5" t="str">
        <x:v>3-壬烯酸乙酯</x:v>
      </x:c>
      <x:c r="C276" s="5" t="str">
        <x:v>91213-30-8</x:v>
      </x:c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 t="n">
        <x:v>677</x:v>
      </x:c>
      <x:c r="O276" s="5" t="n">
        <x:v>1466</x:v>
      </x:c>
      <x:c r="P276" s="5" t="n">
        <x:v>1691</x:v>
      </x:c>
      <x:c r="Q276" s="5" t="n">
        <x:v>1223</x:v>
      </x:c>
      <x:c r="R276" s="5" t="n">
        <x:v>1396</x:v>
      </x:c>
      <x:c r="S276" s="5" t="n">
        <x:v>1647</x:v>
      </x:c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  <x:c r="AQ276" s="5"/>
      <x:c r="AR276" s="5"/>
      <x:c r="AS276" s="5"/>
      <x:c r="AT276" s="5"/>
      <x:c r="AU276" s="5"/>
      <x:c r="AV276" s="5"/>
      <x:c r="AW276" s="5"/>
      <x:c r="AX276" s="5"/>
      <x:c r="AY276" s="5"/>
      <x:c r="AZ276" s="5"/>
      <x:c r="BA276" s="5"/>
      <x:c r="BB276" s="5"/>
      <x:c r="BC276" s="5"/>
      <x:c r="BD276" s="5"/>
      <x:c r="BE276" s="5"/>
      <x:c r="BF276" s="5"/>
      <x:c r="BG276" s="5"/>
      <x:c r="BH276" s="5"/>
      <x:c r="BI276" s="5"/>
      <x:c r="BJ276" s="5"/>
      <x:c r="BK276" s="5"/>
      <x:c r="BL276" s="5"/>
      <x:c r="BM276" s="5"/>
      <x:c r="BN276" s="5"/>
      <x:c r="BO276" s="5"/>
      <x:c r="BP276" s="5"/>
      <x:c r="BQ276" s="5"/>
      <x:c r="BR276" s="5"/>
      <x:c r="BS276" s="5"/>
      <x:c r="BT276" s="5"/>
      <x:c r="BU276" s="5"/>
      <x:c r="BV276" s="5"/>
      <x:c r="BW276" s="5"/>
      <x:c r="BX276" s="5"/>
      <x:c r="BY276" s="5"/>
      <x:c r="BZ276" s="5"/>
      <x:c r="CA276" s="5"/>
      <x:c r="CB276" s="5"/>
      <x:c r="CC276" s="5"/>
      <x:c r="CD276" s="5"/>
      <x:c r="CE276" s="5"/>
      <x:c r="CF276" s="5"/>
      <x:c r="CG276" s="5"/>
      <x:c r="CH276" s="5"/>
      <x:c r="CI276" s="5"/>
      <x:c r="CJ276" s="5"/>
      <x:c r="CK276" s="5"/>
      <x:c r="CL276" s="5"/>
      <x:c r="CM276" s="5"/>
      <x:c r="CN276" s="5"/>
      <x:c r="CO276" s="5"/>
      <x:c r="CP276" s="5"/>
      <x:c r="CQ276" s="5"/>
      <x:c r="CR276" s="5"/>
      <x:c r="CS276" s="5"/>
      <x:c r="CT276" s="5"/>
      <x:c r="CU276" s="5"/>
      <x:c r="CV276" s="5"/>
      <x:c r="CW276" s="5"/>
      <x:c r="CX276" s="5"/>
      <x:c r="CY276" s="5"/>
      <x:c r="CZ276" s="5"/>
      <x:c r="DA276" s="5"/>
      <x:c r="DB276" s="5"/>
      <x:c r="DC276" s="5"/>
      <x:c r="DD276" s="5"/>
      <x:c r="DE276" s="5"/>
      <x:c r="DF276" s="5"/>
      <x:c r="DG276" s="5"/>
      <x:c r="DH276" s="5"/>
      <x:c r="DI276" s="5"/>
      <x:c r="DJ276" s="5"/>
      <x:c r="DK276" s="5"/>
      <x:c r="DL276" s="5"/>
      <x:c r="DM276" s="5"/>
    </x:row>
    <x:row r="277">
      <x:c r="A277" s="5" t="n">
        <x:v>272</x:v>
      </x:c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 t="n">
        <x:v>2</x:v>
      </x:c>
      <x:c r="M277" s="5" t="n">
        <x:v>2</x:v>
      </x:c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  <x:c r="AQ277" s="5"/>
      <x:c r="AR277" s="5"/>
      <x:c r="AS277" s="5"/>
      <x:c r="AT277" s="5"/>
      <x:c r="AU277" s="5"/>
      <x:c r="AV277" s="5"/>
      <x:c r="AW277" s="5"/>
      <x:c r="AX277" s="5"/>
      <x:c r="AY277" s="5"/>
      <x:c r="AZ277" s="5"/>
      <x:c r="BA277" s="5"/>
      <x:c r="BB277" s="5"/>
      <x:c r="BC277" s="5"/>
      <x:c r="BD277" s="5"/>
      <x:c r="BE277" s="5"/>
      <x:c r="BF277" s="5"/>
      <x:c r="BG277" s="5"/>
      <x:c r="BH277" s="5"/>
      <x:c r="BI277" s="5"/>
      <x:c r="BJ277" s="5"/>
      <x:c r="BK277" s="5"/>
      <x:c r="BL277" s="5"/>
      <x:c r="BM277" s="5"/>
      <x:c r="BN277" s="5"/>
      <x:c r="BO277" s="5"/>
      <x:c r="BP277" s="5"/>
      <x:c r="BQ277" s="5"/>
      <x:c r="BR277" s="5"/>
      <x:c r="BS277" s="5"/>
      <x:c r="BT277" s="5"/>
      <x:c r="BU277" s="5"/>
      <x:c r="BV277" s="5"/>
      <x:c r="BW277" s="5"/>
      <x:c r="BX277" s="5"/>
      <x:c r="BY277" s="5"/>
      <x:c r="BZ277" s="5"/>
      <x:c r="CA277" s="5"/>
      <x:c r="CB277" s="5"/>
      <x:c r="CC277" s="5"/>
      <x:c r="CD277" s="5"/>
      <x:c r="CE277" s="5"/>
      <x:c r="CF277" s="5"/>
      <x:c r="CG277" s="5"/>
      <x:c r="CH277" s="5"/>
      <x:c r="CI277" s="5"/>
      <x:c r="CJ277" s="5"/>
      <x:c r="CK277" s="5"/>
      <x:c r="CL277" s="5"/>
      <x:c r="CM277" s="5"/>
      <x:c r="CN277" s="5"/>
      <x:c r="CO277" s="5"/>
      <x:c r="CP277" s="5"/>
      <x:c r="CQ277" s="5"/>
      <x:c r="CR277" s="5"/>
      <x:c r="CS277" s="5"/>
      <x:c r="CT277" s="5"/>
      <x:c r="CU277" s="5"/>
      <x:c r="CV277" s="5"/>
      <x:c r="CW277" s="5"/>
      <x:c r="CX277" s="5"/>
      <x:c r="CY277" s="5"/>
      <x:c r="CZ277" s="5"/>
      <x:c r="DA277" s="5"/>
      <x:c r="DB277" s="5"/>
      <x:c r="DC277" s="5"/>
      <x:c r="DD277" s="5"/>
      <x:c r="DE277" s="5"/>
      <x:c r="DF277" s="5"/>
      <x:c r="DG277" s="5"/>
      <x:c r="DH277" s="5"/>
      <x:c r="DI277" s="5"/>
      <x:c r="DJ277" s="5"/>
      <x:c r="DK277" s="5"/>
      <x:c r="DL277" s="5"/>
      <x:c r="DM277" s="5"/>
    </x:row>
    <x:row r="278">
      <x:c r="A278" s="5" t="n">
        <x:v>273</x:v>
      </x:c>
      <x:c r="B278" s="5" t="str">
        <x:v>1,1-二乙氧基-2-苯乙烷</x:v>
      </x:c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  <x:c r="AQ278" s="5"/>
      <x:c r="AR278" s="5"/>
      <x:c r="AS278" s="5"/>
      <x:c r="AT278" s="5"/>
      <x:c r="AU278" s="5"/>
      <x:c r="AV278" s="5"/>
      <x:c r="AW278" s="5"/>
      <x:c r="AX278" s="5"/>
      <x:c r="AY278" s="5"/>
      <x:c r="AZ278" s="5"/>
      <x:c r="BA278" s="5"/>
      <x:c r="BB278" s="5"/>
      <x:c r="BC278" s="5"/>
      <x:c r="BD278" s="5" t="n">
        <x:v>51.06</x:v>
      </x:c>
      <x:c r="BE278" s="5" t="n">
        <x:v>75.54</x:v>
      </x:c>
      <x:c r="BF278" s="5" t="n">
        <x:v>172.42</x:v>
      </x:c>
      <x:c r="BG278" s="5" t="n">
        <x:v>50.8</x:v>
      </x:c>
      <x:c r="BH278" s="5"/>
      <x:c r="BI278" s="5" t="n">
        <x:v>40.31</x:v>
      </x:c>
      <x:c r="BJ278" s="5"/>
      <x:c r="BK278" s="5" t="n">
        <x:v>2883</x:v>
      </x:c>
      <x:c r="BL278" s="5" t="n">
        <x:v>1746.93</x:v>
      </x:c>
      <x:c r="BM278" s="5" t="n">
        <x:v>2140</x:v>
      </x:c>
      <x:c r="BN278" s="5" t="n">
        <x:v>1630</x:v>
      </x:c>
      <x:c r="BO278" s="5" t="n">
        <x:v>1908.97</x:v>
      </x:c>
      <x:c r="BP278" s="5"/>
      <x:c r="BQ278" s="5"/>
      <x:c r="BR278" s="5"/>
      <x:c r="BS278" s="5"/>
      <x:c r="BT278" s="5"/>
      <x:c r="BU278" s="5"/>
      <x:c r="BV278" s="5"/>
      <x:c r="BW278" s="5"/>
      <x:c r="BX278" s="5"/>
      <x:c r="BY278" s="5"/>
      <x:c r="BZ278" s="5"/>
      <x:c r="CA278" s="5"/>
      <x:c r="CB278" s="5"/>
      <x:c r="CC278" s="5"/>
      <x:c r="CD278" s="5"/>
      <x:c r="CE278" s="5"/>
      <x:c r="CF278" s="5"/>
      <x:c r="CG278" s="5"/>
      <x:c r="CH278" s="5"/>
      <x:c r="CI278" s="5"/>
      <x:c r="CJ278" s="5"/>
      <x:c r="CK278" s="5"/>
      <x:c r="CL278" s="5"/>
      <x:c r="CM278" s="5"/>
      <x:c r="CN278" s="5"/>
      <x:c r="CO278" s="5"/>
      <x:c r="CP278" s="5"/>
      <x:c r="CQ278" s="5"/>
      <x:c r="CR278" s="5"/>
      <x:c r="CS278" s="5"/>
      <x:c r="CT278" s="5"/>
      <x:c r="CU278" s="5"/>
      <x:c r="CV278" s="5"/>
      <x:c r="CW278" s="5"/>
      <x:c r="CX278" s="5"/>
      <x:c r="CY278" s="5"/>
      <x:c r="CZ278" s="5"/>
      <x:c r="DA278" s="5"/>
      <x:c r="DB278" s="5"/>
      <x:c r="DC278" s="5"/>
      <x:c r="DD278" s="5"/>
      <x:c r="DE278" s="5"/>
      <x:c r="DF278" s="5"/>
      <x:c r="DG278" s="5"/>
      <x:c r="DH278" s="5"/>
      <x:c r="DI278" s="5"/>
      <x:c r="DJ278" s="5"/>
      <x:c r="DK278" s="5"/>
      <x:c r="DL278" s="5"/>
      <x:c r="DM278" s="5"/>
    </x:row>
    <x:row r="279">
      <x:c r="A279" s="5" t="n">
        <x:v>274</x:v>
      </x:c>
      <x:c r="B279" s="5"/>
      <x:c r="C279" s="5"/>
      <x:c r="D279" s="5" t="n">
        <x:v>2520</x:v>
      </x:c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  <x:c r="AQ279" s="5"/>
      <x:c r="AR279" s="5"/>
      <x:c r="AS279" s="5"/>
      <x:c r="AT279" s="5"/>
      <x:c r="AU279" s="5"/>
      <x:c r="AV279" s="5"/>
      <x:c r="AW279" s="5"/>
      <x:c r="AX279" s="5"/>
      <x:c r="AY279" s="5"/>
      <x:c r="AZ279" s="5"/>
      <x:c r="BA279" s="5"/>
      <x:c r="BB279" s="5"/>
      <x:c r="BC279" s="5"/>
      <x:c r="BD279" s="5"/>
      <x:c r="BE279" s="5"/>
      <x:c r="BF279" s="5"/>
      <x:c r="BG279" s="5"/>
      <x:c r="BH279" s="5"/>
      <x:c r="BI279" s="5"/>
      <x:c r="BJ279" s="5"/>
      <x:c r="BK279" s="5"/>
      <x:c r="BL279" s="5"/>
      <x:c r="BM279" s="5"/>
      <x:c r="BN279" s="5"/>
      <x:c r="BO279" s="5"/>
      <x:c r="BP279" s="5"/>
      <x:c r="BQ279" s="5"/>
      <x:c r="BR279" s="5"/>
      <x:c r="BS279" s="5"/>
      <x:c r="BT279" s="5"/>
      <x:c r="BU279" s="5"/>
      <x:c r="BV279" s="5"/>
      <x:c r="BW279" s="5"/>
      <x:c r="BX279" s="5"/>
      <x:c r="BY279" s="5"/>
      <x:c r="BZ279" s="5"/>
      <x:c r="CA279" s="5"/>
      <x:c r="CB279" s="5"/>
      <x:c r="CC279" s="5"/>
      <x:c r="CD279" s="5"/>
      <x:c r="CE279" s="5"/>
      <x:c r="CF279" s="5"/>
      <x:c r="CG279" s="5"/>
      <x:c r="CH279" s="5"/>
      <x:c r="CI279" s="5"/>
      <x:c r="CJ279" s="5"/>
      <x:c r="CK279" s="5"/>
      <x:c r="CL279" s="5"/>
      <x:c r="CM279" s="5"/>
      <x:c r="CN279" s="5"/>
      <x:c r="CO279" s="5"/>
      <x:c r="CP279" s="5"/>
      <x:c r="CQ279" s="5"/>
      <x:c r="CR279" s="5"/>
      <x:c r="CS279" s="5"/>
      <x:c r="CT279" s="5"/>
      <x:c r="CU279" s="5"/>
      <x:c r="CV279" s="5"/>
      <x:c r="CW279" s="5"/>
      <x:c r="CX279" s="5"/>
      <x:c r="CY279" s="5"/>
      <x:c r="CZ279" s="5"/>
      <x:c r="DA279" s="5"/>
      <x:c r="DB279" s="5"/>
      <x:c r="DC279" s="5"/>
      <x:c r="DD279" s="5"/>
      <x:c r="DE279" s="5"/>
      <x:c r="DF279" s="5"/>
      <x:c r="DG279" s="5"/>
      <x:c r="DH279" s="5"/>
      <x:c r="DI279" s="5"/>
      <x:c r="DJ279" s="5"/>
      <x:c r="DK279" s="5"/>
      <x:c r="DL279" s="5"/>
      <x:c r="DM279" s="5"/>
    </x:row>
    <x:row r="280">
      <x:c r="A280" s="5" t="n">
        <x:v>275</x:v>
      </x:c>
      <x:c r="B280" s="5" t="str">
        <x:v>1-丁醇（mg·L-1）</x:v>
      </x:c>
      <x:c r="C280" s="5"/>
      <x:c r="D280" s="5" t="n">
        <x:v>2733</x:v>
      </x:c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  <x:c r="AQ280" s="5"/>
      <x:c r="AR280" s="5"/>
      <x:c r="AS280" s="5"/>
      <x:c r="AT280" s="5"/>
      <x:c r="AU280" s="5"/>
      <x:c r="AV280" s="5"/>
      <x:c r="AW280" s="5"/>
      <x:c r="AX280" s="5"/>
      <x:c r="AY280" s="5"/>
      <x:c r="AZ280" s="5"/>
      <x:c r="BA280" s="5"/>
      <x:c r="BB280" s="5"/>
      <x:c r="BC280" s="5"/>
      <x:c r="BD280" s="5"/>
      <x:c r="BE280" s="5"/>
      <x:c r="BF280" s="5"/>
      <x:c r="BG280" s="5"/>
      <x:c r="BH280" s="5"/>
      <x:c r="BI280" s="5"/>
      <x:c r="BJ280" s="5"/>
      <x:c r="BK280" s="5"/>
      <x:c r="BL280" s="5"/>
      <x:c r="BM280" s="5"/>
      <x:c r="BN280" s="5" t="n">
        <x:v>380.71</x:v>
      </x:c>
      <x:c r="BO280" s="5" t="n">
        <x:v>730.79</x:v>
      </x:c>
      <x:c r="BP280" s="5"/>
      <x:c r="BQ280" s="5"/>
      <x:c r="BR280" s="5"/>
      <x:c r="BS280" s="5"/>
      <x:c r="BT280" s="5"/>
      <x:c r="BU280" s="5"/>
      <x:c r="BV280" s="5"/>
      <x:c r="BW280" s="5"/>
      <x:c r="BX280" s="5"/>
      <x:c r="BY280" s="5"/>
      <x:c r="BZ280" s="5"/>
      <x:c r="CA280" s="5"/>
      <x:c r="CB280" s="5"/>
      <x:c r="CC280" s="5"/>
      <x:c r="CD280" s="5"/>
      <x:c r="CE280" s="5"/>
      <x:c r="CF280" s="5"/>
      <x:c r="CG280" s="5"/>
      <x:c r="CH280" s="5"/>
      <x:c r="CI280" s="5"/>
      <x:c r="CJ280" s="5"/>
      <x:c r="CK280" s="5"/>
      <x:c r="CL280" s="5"/>
      <x:c r="CM280" s="5"/>
      <x:c r="CN280" s="5"/>
      <x:c r="CO280" s="5"/>
      <x:c r="CP280" s="5"/>
      <x:c r="CQ280" s="5"/>
      <x:c r="CR280" s="5"/>
      <x:c r="CS280" s="5"/>
      <x:c r="CT280" s="5"/>
      <x:c r="CU280" s="5"/>
      <x:c r="CV280" s="5"/>
      <x:c r="CW280" s="5"/>
      <x:c r="CX280" s="5"/>
      <x:c r="CY280" s="5"/>
      <x:c r="CZ280" s="5"/>
      <x:c r="DA280" s="5"/>
      <x:c r="DB280" s="5"/>
      <x:c r="DC280" s="5"/>
      <x:c r="DD280" s="5"/>
      <x:c r="DE280" s="5"/>
      <x:c r="DF280" s="5"/>
      <x:c r="DG280" s="5"/>
      <x:c r="DH280" s="5"/>
      <x:c r="DI280" s="5"/>
      <x:c r="DJ280" s="5"/>
      <x:c r="DK280" s="5"/>
      <x:c r="DL280" s="5"/>
      <x:c r="DM280" s="5"/>
    </x:row>
    <x:row r="281">
      <x:c r="A281" s="5" t="n">
        <x:v>276</x:v>
      </x:c>
      <x:c r="B281" s="5" t="str">
        <x:v>1-己醇（mg·L-1）</x:v>
      </x:c>
      <x:c r="C281" s="5"/>
      <x:c r="D281" s="5" t="n">
        <x:v>5370</x:v>
      </x:c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  <x:c r="AQ281" s="5"/>
      <x:c r="AR281" s="5"/>
      <x:c r="AS281" s="5"/>
      <x:c r="AT281" s="5"/>
      <x:c r="AU281" s="5"/>
      <x:c r="AV281" s="5"/>
      <x:c r="AW281" s="5"/>
      <x:c r="AX281" s="5"/>
      <x:c r="AY281" s="5"/>
      <x:c r="AZ281" s="5"/>
      <x:c r="BA281" s="5"/>
      <x:c r="BB281" s="5"/>
      <x:c r="BC281" s="5"/>
      <x:c r="BD281" s="5"/>
      <x:c r="BE281" s="5"/>
      <x:c r="BF281" s="5"/>
      <x:c r="BG281" s="5"/>
      <x:c r="BH281" s="5"/>
      <x:c r="BI281" s="5"/>
      <x:c r="BJ281" s="5"/>
      <x:c r="BK281" s="5"/>
      <x:c r="BL281" s="5"/>
      <x:c r="BM281" s="5"/>
      <x:c r="BN281" s="5" t="n">
        <x:v>62.07</x:v>
      </x:c>
      <x:c r="BO281" s="5" t="n">
        <x:v>102.81</x:v>
      </x:c>
      <x:c r="BP281" s="5"/>
      <x:c r="BQ281" s="5"/>
      <x:c r="BR281" s="5"/>
      <x:c r="BS281" s="5"/>
      <x:c r="BT281" s="5"/>
      <x:c r="BU281" s="5"/>
      <x:c r="BV281" s="5"/>
      <x:c r="BW281" s="5"/>
      <x:c r="BX281" s="5"/>
      <x:c r="BY281" s="5"/>
      <x:c r="BZ281" s="5"/>
      <x:c r="CA281" s="5"/>
      <x:c r="CB281" s="5"/>
      <x:c r="CC281" s="5"/>
      <x:c r="CD281" s="5"/>
      <x:c r="CE281" s="5"/>
      <x:c r="CF281" s="5"/>
      <x:c r="CG281" s="5"/>
      <x:c r="CH281" s="5"/>
      <x:c r="CI281" s="5"/>
      <x:c r="CJ281" s="5"/>
      <x:c r="CK281" s="5"/>
      <x:c r="CL281" s="5"/>
      <x:c r="CM281" s="5"/>
      <x:c r="CN281" s="5"/>
      <x:c r="CO281" s="5"/>
      <x:c r="CP281" s="5"/>
      <x:c r="CQ281" s="5"/>
      <x:c r="CR281" s="5"/>
      <x:c r="CS281" s="5"/>
      <x:c r="CT281" s="5"/>
      <x:c r="CU281" s="5"/>
      <x:c r="CV281" s="5"/>
      <x:c r="CW281" s="5"/>
      <x:c r="CX281" s="5"/>
      <x:c r="CY281" s="5"/>
      <x:c r="CZ281" s="5"/>
      <x:c r="DA281" s="5"/>
      <x:c r="DB281" s="5"/>
      <x:c r="DC281" s="5"/>
      <x:c r="DD281" s="5"/>
      <x:c r="DE281" s="5"/>
      <x:c r="DF281" s="5"/>
      <x:c r="DG281" s="5"/>
      <x:c r="DH281" s="5"/>
      <x:c r="DI281" s="5"/>
      <x:c r="DJ281" s="5"/>
      <x:c r="DK281" s="5"/>
      <x:c r="DL281" s="5"/>
      <x:c r="DM281" s="5"/>
    </x:row>
    <x:row r="282">
      <x:c r="A282" s="5" t="n">
        <x:v>277</x:v>
      </x:c>
      <x:c r="B282" s="5" t="str">
        <x:v>1-辛醇（mg·L-1）</x:v>
      </x:c>
      <x:c r="C282" s="5"/>
      <x:c r="D282" s="5" t="n">
        <x:v>1100</x:v>
      </x:c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  <x:c r="AQ282" s="5"/>
      <x:c r="AR282" s="5"/>
      <x:c r="AS282" s="5"/>
      <x:c r="AT282" s="5"/>
      <x:c r="AU282" s="5"/>
      <x:c r="AV282" s="5"/>
      <x:c r="AW282" s="5"/>
      <x:c r="AX282" s="5"/>
      <x:c r="AY282" s="5"/>
      <x:c r="AZ282" s="5"/>
      <x:c r="BA282" s="5"/>
      <x:c r="BB282" s="5"/>
      <x:c r="BC282" s="5"/>
      <x:c r="BD282" s="5"/>
      <x:c r="BE282" s="5"/>
      <x:c r="BF282" s="5"/>
      <x:c r="BG282" s="5"/>
      <x:c r="BH282" s="5"/>
      <x:c r="BI282" s="5"/>
      <x:c r="BJ282" s="5"/>
      <x:c r="BK282" s="5"/>
      <x:c r="BL282" s="5" t="n">
        <x:v>5.63</x:v>
      </x:c>
      <x:c r="BM282" s="5" t="n">
        <x:v>12.87</x:v>
      </x:c>
      <x:c r="BN282" s="5" t="n">
        <x:v>5.4</x:v>
      </x:c>
      <x:c r="BO282" s="5" t="n">
        <x:v>10.4</x:v>
      </x:c>
      <x:c r="BP282" s="5"/>
      <x:c r="BQ282" s="5"/>
      <x:c r="BR282" s="5"/>
      <x:c r="BS282" s="5"/>
      <x:c r="BT282" s="5"/>
      <x:c r="BU282" s="5"/>
      <x:c r="BV282" s="5"/>
      <x:c r="BW282" s="5"/>
      <x:c r="BX282" s="5"/>
      <x:c r="BY282" s="5"/>
      <x:c r="BZ282" s="5"/>
      <x:c r="CA282" s="5"/>
      <x:c r="CB282" s="5"/>
      <x:c r="CC282" s="5"/>
      <x:c r="CD282" s="5"/>
      <x:c r="CE282" s="5"/>
      <x:c r="CF282" s="5"/>
      <x:c r="CG282" s="5"/>
      <x:c r="CH282" s="5"/>
      <x:c r="CI282" s="5"/>
      <x:c r="CJ282" s="5"/>
      <x:c r="CK282" s="5"/>
      <x:c r="CL282" s="5"/>
      <x:c r="CM282" s="5"/>
      <x:c r="CN282" s="5"/>
      <x:c r="CO282" s="5"/>
      <x:c r="CP282" s="5"/>
      <x:c r="CQ282" s="5"/>
      <x:c r="CR282" s="5"/>
      <x:c r="CS282" s="5"/>
      <x:c r="CT282" s="5"/>
      <x:c r="CU282" s="5"/>
      <x:c r="CV282" s="5"/>
      <x:c r="CW282" s="5"/>
      <x:c r="CX282" s="5"/>
      <x:c r="CY282" s="5"/>
      <x:c r="CZ282" s="5"/>
      <x:c r="DA282" s="5"/>
      <x:c r="DB282" s="5"/>
      <x:c r="DC282" s="5"/>
      <x:c r="DD282" s="5"/>
      <x:c r="DE282" s="5"/>
      <x:c r="DF282" s="5"/>
      <x:c r="DG282" s="5"/>
      <x:c r="DH282" s="5"/>
      <x:c r="DI282" s="5"/>
      <x:c r="DJ282" s="5"/>
      <x:c r="DK282" s="5"/>
      <x:c r="DL282" s="5"/>
      <x:c r="DM282" s="5"/>
    </x:row>
    <x:row r="283">
      <x:c r="A283" s="5" t="n">
        <x:v>278</x:v>
      </x:c>
      <x:c r="B283" s="5" t="str">
        <x:v>1-（1-乙氧基乙氧基）-丁烷</x:v>
      </x:c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  <x:c r="AQ283" s="5" t="n">
        <x:v>2.58</x:v>
      </x:c>
      <x:c r="AR283" s="5" t="n">
        <x:v>1.09</x:v>
      </x:c>
      <x:c r="AS283" s="5" t="n">
        <x:v>0.83</x:v>
      </x:c>
      <x:c r="AT283" s="5" t="n">
        <x:v>2.22</x:v>
      </x:c>
      <x:c r="AU283" s="5"/>
      <x:c r="AV283" s="5"/>
      <x:c r="AW283" s="5"/>
      <x:c r="AX283" s="5"/>
      <x:c r="AY283" s="5"/>
      <x:c r="AZ283" s="5"/>
      <x:c r="BA283" s="5"/>
      <x:c r="BB283" s="5"/>
      <x:c r="BC283" s="5"/>
      <x:c r="BD283" s="5"/>
      <x:c r="BE283" s="5"/>
      <x:c r="BF283" s="5"/>
      <x:c r="BG283" s="5"/>
      <x:c r="BH283" s="5"/>
      <x:c r="BI283" s="5"/>
      <x:c r="BJ283" s="5"/>
      <x:c r="BK283" s="5"/>
      <x:c r="BL283" s="5"/>
      <x:c r="BM283" s="5"/>
      <x:c r="BN283" s="5"/>
      <x:c r="BO283" s="5"/>
      <x:c r="BP283" s="5"/>
      <x:c r="BQ283" s="5"/>
      <x:c r="BR283" s="5"/>
      <x:c r="BS283" s="5"/>
      <x:c r="BT283" s="5"/>
      <x:c r="BU283" s="5"/>
      <x:c r="BV283" s="5"/>
      <x:c r="BW283" s="5"/>
      <x:c r="BX283" s="5"/>
      <x:c r="BY283" s="5"/>
      <x:c r="BZ283" s="5"/>
      <x:c r="CA283" s="5"/>
      <x:c r="CB283" s="5"/>
      <x:c r="CC283" s="5"/>
      <x:c r="CD283" s="5"/>
      <x:c r="CE283" s="5"/>
      <x:c r="CF283" s="5"/>
      <x:c r="CG283" s="5"/>
      <x:c r="CH283" s="5"/>
      <x:c r="CI283" s="5"/>
      <x:c r="CJ283" s="5"/>
      <x:c r="CK283" s="5"/>
      <x:c r="CL283" s="5"/>
      <x:c r="CM283" s="5"/>
      <x:c r="CN283" s="5"/>
      <x:c r="CO283" s="5"/>
      <x:c r="CP283" s="5"/>
      <x:c r="CQ283" s="5"/>
      <x:c r="CR283" s="5"/>
      <x:c r="CS283" s="5"/>
      <x:c r="CT283" s="5"/>
      <x:c r="CU283" s="5"/>
      <x:c r="CV283" s="5"/>
      <x:c r="CW283" s="5"/>
      <x:c r="CX283" s="5"/>
      <x:c r="CY283" s="5"/>
      <x:c r="CZ283" s="5"/>
      <x:c r="DA283" s="5"/>
      <x:c r="DB283" s="5"/>
      <x:c r="DC283" s="5"/>
      <x:c r="DD283" s="5"/>
      <x:c r="DE283" s="5"/>
      <x:c r="DF283" s="5"/>
      <x:c r="DG283" s="5"/>
      <x:c r="DH283" s="5"/>
      <x:c r="DI283" s="5"/>
      <x:c r="DJ283" s="5"/>
      <x:c r="DK283" s="5"/>
      <x:c r="DL283" s="5"/>
      <x:c r="DM283" s="5"/>
    </x:row>
    <x:row r="284">
      <x:c r="A284" s="5" t="n">
        <x:v>279</x:v>
      </x:c>
      <x:c r="B284" s="5" t="str">
        <x:v>1.2- 丙二醇</x:v>
      </x:c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 t="n">
        <x:v>1280</x:v>
      </x:c>
      <x:c r="AI284" s="5" t="n">
        <x:v>810</x:v>
      </x:c>
      <x:c r="AJ284" s="5" t="n">
        <x:v>3250</x:v>
      </x:c>
      <x:c r="AK284" s="5"/>
      <x:c r="AL284" s="5"/>
      <x:c r="AM284" s="5"/>
      <x:c r="AN284" s="5"/>
      <x:c r="AO284" s="5"/>
      <x:c r="AP284" s="5"/>
      <x:c r="AQ284" s="5"/>
      <x:c r="AR284" s="5"/>
      <x:c r="AS284" s="5"/>
      <x:c r="AT284" s="5"/>
      <x:c r="AU284" s="5"/>
      <x:c r="AV284" s="5"/>
      <x:c r="AW284" s="5"/>
      <x:c r="AX284" s="5"/>
      <x:c r="AY284" s="5"/>
      <x:c r="AZ284" s="5"/>
      <x:c r="BA284" s="5"/>
      <x:c r="BB284" s="5"/>
      <x:c r="BC284" s="5"/>
      <x:c r="BD284" s="5"/>
      <x:c r="BE284" s="5"/>
      <x:c r="BF284" s="5"/>
      <x:c r="BG284" s="5"/>
      <x:c r="BH284" s="5"/>
      <x:c r="BI284" s="5"/>
      <x:c r="BJ284" s="5"/>
      <x:c r="BK284" s="5"/>
      <x:c r="BL284" s="5"/>
      <x:c r="BM284" s="5"/>
      <x:c r="BN284" s="5"/>
      <x:c r="BO284" s="5"/>
      <x:c r="BP284" s="5"/>
      <x:c r="BQ284" s="5"/>
      <x:c r="BR284" s="5"/>
      <x:c r="BS284" s="5"/>
      <x:c r="BT284" s="5"/>
      <x:c r="BU284" s="5"/>
      <x:c r="BV284" s="5"/>
      <x:c r="BW284" s="5"/>
      <x:c r="BX284" s="5"/>
      <x:c r="BY284" s="5"/>
      <x:c r="BZ284" s="5"/>
      <x:c r="CA284" s="5"/>
      <x:c r="CB284" s="5"/>
      <x:c r="CC284" s="5"/>
      <x:c r="CD284" s="5"/>
      <x:c r="CE284" s="5"/>
      <x:c r="CF284" s="5"/>
      <x:c r="CG284" s="5"/>
      <x:c r="CH284" s="5"/>
      <x:c r="CI284" s="5"/>
      <x:c r="CJ284" s="5"/>
      <x:c r="CK284" s="5"/>
      <x:c r="CL284" s="5"/>
      <x:c r="CM284" s="5"/>
      <x:c r="CN284" s="5"/>
      <x:c r="CO284" s="5"/>
      <x:c r="CP284" s="5"/>
      <x:c r="CQ284" s="5"/>
      <x:c r="CR284" s="5"/>
      <x:c r="CS284" s="5"/>
      <x:c r="CT284" s="5"/>
      <x:c r="CU284" s="5"/>
      <x:c r="CV284" s="5"/>
      <x:c r="CW284" s="5"/>
      <x:c r="CX284" s="5"/>
      <x:c r="CY284" s="5"/>
      <x:c r="CZ284" s="5"/>
      <x:c r="DA284" s="5"/>
      <x:c r="DB284" s="5"/>
      <x:c r="DC284" s="5"/>
      <x:c r="DD284" s="5"/>
      <x:c r="DE284" s="5"/>
      <x:c r="DF284" s="5"/>
      <x:c r="DG284" s="5"/>
      <x:c r="DH284" s="5"/>
      <x:c r="DI284" s="5"/>
      <x:c r="DJ284" s="5"/>
      <x:c r="DK284" s="5"/>
      <x:c r="DL284" s="5"/>
      <x:c r="DM284" s="5"/>
    </x:row>
    <x:row r="285">
      <x:c r="A285" s="5" t="n">
        <x:v>280</x:v>
      </x:c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n">
        <x:v>393</x:v>
      </x:c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  <x:c r="AQ285" s="5"/>
      <x:c r="AR285" s="5"/>
      <x:c r="AS285" s="5"/>
      <x:c r="AT285" s="5"/>
      <x:c r="AU285" s="5"/>
      <x:c r="AV285" s="5"/>
      <x:c r="AW285" s="5"/>
      <x:c r="AX285" s="5"/>
      <x:c r="AY285" s="5"/>
      <x:c r="AZ285" s="5"/>
      <x:c r="BA285" s="5"/>
      <x:c r="BB285" s="5"/>
      <x:c r="BC285" s="5"/>
      <x:c r="BD285" s="5"/>
      <x:c r="BE285" s="5"/>
      <x:c r="BF285" s="5"/>
      <x:c r="BG285" s="5"/>
      <x:c r="BH285" s="5"/>
      <x:c r="BI285" s="5"/>
      <x:c r="BJ285" s="5"/>
      <x:c r="BK285" s="5"/>
      <x:c r="BL285" s="5"/>
      <x:c r="BM285" s="5"/>
      <x:c r="BN285" s="5"/>
      <x:c r="BO285" s="5"/>
      <x:c r="BP285" s="5"/>
      <x:c r="BQ285" s="5"/>
      <x:c r="BR285" s="5"/>
      <x:c r="BS285" s="5"/>
      <x:c r="BT285" s="5"/>
      <x:c r="BU285" s="5"/>
      <x:c r="BV285" s="5"/>
      <x:c r="BW285" s="5"/>
      <x:c r="BX285" s="5"/>
      <x:c r="BY285" s="5"/>
      <x:c r="BZ285" s="5"/>
      <x:c r="CA285" s="5"/>
      <x:c r="CB285" s="5"/>
      <x:c r="CC285" s="5"/>
      <x:c r="CD285" s="5"/>
      <x:c r="CE285" s="5"/>
      <x:c r="CF285" s="5"/>
      <x:c r="CG285" s="5"/>
      <x:c r="CH285" s="5"/>
      <x:c r="CI285" s="5"/>
      <x:c r="CJ285" s="5"/>
      <x:c r="CK285" s="5"/>
      <x:c r="CL285" s="5"/>
      <x:c r="CM285" s="5"/>
      <x:c r="CN285" s="5"/>
      <x:c r="CO285" s="5"/>
      <x:c r="CP285" s="5"/>
      <x:c r="CQ285" s="5"/>
      <x:c r="CR285" s="5"/>
      <x:c r="CS285" s="5"/>
      <x:c r="CT285" s="5"/>
      <x:c r="CU285" s="5"/>
      <x:c r="CV285" s="5"/>
      <x:c r="CW285" s="5"/>
      <x:c r="CX285" s="5"/>
      <x:c r="CY285" s="5"/>
      <x:c r="CZ285" s="5"/>
      <x:c r="DA285" s="5"/>
      <x:c r="DB285" s="5"/>
      <x:c r="DC285" s="5"/>
      <x:c r="DD285" s="5"/>
      <x:c r="DE285" s="5"/>
      <x:c r="DF285" s="5"/>
      <x:c r="DG285" s="5"/>
      <x:c r="DH285" s="5"/>
      <x:c r="DI285" s="5"/>
      <x:c r="DJ285" s="5"/>
      <x:c r="DK285" s="5"/>
      <x:c r="DL285" s="5"/>
      <x:c r="DM285" s="5"/>
    </x:row>
    <x:row r="286">
      <x:c r="A286" s="5" t="n">
        <x:v>281</x:v>
      </x:c>
      <x:c r="B286" s="5" t="str">
        <x:v>1，1-二乙氧基-2-甲基丁烷</x:v>
      </x:c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  <x:c r="AQ286" s="5" t="n">
        <x:v>22.78</x:v>
      </x:c>
      <x:c r="AR286" s="5" t="n">
        <x:v>5.99</x:v>
      </x:c>
      <x:c r="AS286" s="5" t="n">
        <x:v>5.47</x:v>
      </x:c>
      <x:c r="AT286" s="5" t="n">
        <x:v>8.32</x:v>
      </x:c>
      <x:c r="AU286" s="5"/>
      <x:c r="AV286" s="5"/>
      <x:c r="AW286" s="5"/>
      <x:c r="AX286" s="5"/>
      <x:c r="AY286" s="5"/>
      <x:c r="AZ286" s="5"/>
      <x:c r="BA286" s="5"/>
      <x:c r="BB286" s="5"/>
      <x:c r="BC286" s="5"/>
      <x:c r="BD286" s="5"/>
      <x:c r="BE286" s="5"/>
      <x:c r="BF286" s="5"/>
      <x:c r="BG286" s="5"/>
      <x:c r="BH286" s="5"/>
      <x:c r="BI286" s="5"/>
      <x:c r="BJ286" s="5"/>
      <x:c r="BK286" s="5"/>
      <x:c r="BL286" s="5"/>
      <x:c r="BM286" s="5"/>
      <x:c r="BN286" s="5"/>
      <x:c r="BO286" s="5"/>
      <x:c r="BP286" s="5"/>
      <x:c r="BQ286" s="5"/>
      <x:c r="BR286" s="5"/>
      <x:c r="BS286" s="5"/>
      <x:c r="BT286" s="5"/>
      <x:c r="BU286" s="5"/>
      <x:c r="BV286" s="5"/>
      <x:c r="BW286" s="5"/>
      <x:c r="BX286" s="5"/>
      <x:c r="BY286" s="5"/>
      <x:c r="BZ286" s="5"/>
      <x:c r="CA286" s="5"/>
      <x:c r="CB286" s="5"/>
      <x:c r="CC286" s="5"/>
      <x:c r="CD286" s="5"/>
      <x:c r="CE286" s="5"/>
      <x:c r="CF286" s="5"/>
      <x:c r="CG286" s="5"/>
      <x:c r="CH286" s="5"/>
      <x:c r="CI286" s="5"/>
      <x:c r="CJ286" s="5"/>
      <x:c r="CK286" s="5"/>
      <x:c r="CL286" s="5"/>
      <x:c r="CM286" s="5"/>
      <x:c r="CN286" s="5"/>
      <x:c r="CO286" s="5"/>
      <x:c r="CP286" s="5"/>
      <x:c r="CQ286" s="5"/>
      <x:c r="CR286" s="5"/>
      <x:c r="CS286" s="5"/>
      <x:c r="CT286" s="5"/>
      <x:c r="CU286" s="5"/>
      <x:c r="CV286" s="5"/>
      <x:c r="CW286" s="5"/>
      <x:c r="CX286" s="5"/>
      <x:c r="CY286" s="5"/>
      <x:c r="CZ286" s="5"/>
      <x:c r="DA286" s="5"/>
      <x:c r="DB286" s="5"/>
      <x:c r="DC286" s="5"/>
      <x:c r="DD286" s="5"/>
      <x:c r="DE286" s="5"/>
      <x:c r="DF286" s="5"/>
      <x:c r="DG286" s="5"/>
      <x:c r="DH286" s="5"/>
      <x:c r="DI286" s="5"/>
      <x:c r="DJ286" s="5"/>
      <x:c r="DK286" s="5"/>
      <x:c r="DL286" s="5"/>
      <x:c r="DM286" s="5"/>
    </x:row>
    <x:row r="287">
      <x:c r="A287" s="5" t="n">
        <x:v>282</x:v>
      </x:c>
      <x:c r="B287" s="5" t="str">
        <x:v>1，1-二乙氧基-3-甲基丁烷</x:v>
      </x:c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  <x:c r="AQ287" s="5" t="n">
        <x:v>64.54</x:v>
      </x:c>
      <x:c r="AR287" s="5" t="n">
        <x:v>19.16</x:v>
      </x:c>
      <x:c r="AS287" s="5" t="n">
        <x:v>22.53</x:v>
      </x:c>
      <x:c r="AT287" s="5" t="n">
        <x:v>32.12</x:v>
      </x:c>
      <x:c r="AU287" s="5"/>
      <x:c r="AV287" s="5"/>
      <x:c r="AW287" s="5"/>
      <x:c r="AX287" s="5"/>
      <x:c r="AY287" s="5"/>
      <x:c r="AZ287" s="5"/>
      <x:c r="BA287" s="5"/>
      <x:c r="BB287" s="5"/>
      <x:c r="BC287" s="5"/>
      <x:c r="BD287" s="5"/>
      <x:c r="BE287" s="5"/>
      <x:c r="BF287" s="5"/>
      <x:c r="BG287" s="5"/>
      <x:c r="BH287" s="5"/>
      <x:c r="BI287" s="5"/>
      <x:c r="BJ287" s="5"/>
      <x:c r="BK287" s="5"/>
      <x:c r="BL287" s="5"/>
      <x:c r="BM287" s="5"/>
      <x:c r="BN287" s="5"/>
      <x:c r="BO287" s="5"/>
      <x:c r="BP287" s="5"/>
      <x:c r="BQ287" s="5"/>
      <x:c r="BR287" s="5"/>
      <x:c r="BS287" s="5"/>
      <x:c r="BT287" s="5"/>
      <x:c r="BU287" s="5"/>
      <x:c r="BV287" s="5"/>
      <x:c r="BW287" s="5"/>
      <x:c r="BX287" s="5"/>
      <x:c r="BY287" s="5"/>
      <x:c r="BZ287" s="5"/>
      <x:c r="CA287" s="5"/>
      <x:c r="CB287" s="5"/>
      <x:c r="CC287" s="5"/>
      <x:c r="CD287" s="5"/>
      <x:c r="CE287" s="5"/>
      <x:c r="CF287" s="5"/>
      <x:c r="CG287" s="5"/>
      <x:c r="CH287" s="5"/>
      <x:c r="CI287" s="5"/>
      <x:c r="CJ287" s="5"/>
      <x:c r="CK287" s="5"/>
      <x:c r="CL287" s="5"/>
      <x:c r="CM287" s="5"/>
      <x:c r="CN287" s="5"/>
      <x:c r="CO287" s="5"/>
      <x:c r="CP287" s="5"/>
      <x:c r="CQ287" s="5"/>
      <x:c r="CR287" s="5"/>
      <x:c r="CS287" s="5"/>
      <x:c r="CT287" s="5"/>
      <x:c r="CU287" s="5"/>
      <x:c r="CV287" s="5"/>
      <x:c r="CW287" s="5"/>
      <x:c r="CX287" s="5"/>
      <x:c r="CY287" s="5"/>
      <x:c r="CZ287" s="5"/>
      <x:c r="DA287" s="5"/>
      <x:c r="DB287" s="5"/>
      <x:c r="DC287" s="5"/>
      <x:c r="DD287" s="5"/>
      <x:c r="DE287" s="5"/>
      <x:c r="DF287" s="5"/>
      <x:c r="DG287" s="5"/>
      <x:c r="DH287" s="5"/>
      <x:c r="DI287" s="5"/>
      <x:c r="DJ287" s="5"/>
      <x:c r="DK287" s="5"/>
      <x:c r="DL287" s="5"/>
      <x:c r="DM287" s="5"/>
    </x:row>
    <x:row r="288">
      <x:c r="A288" s="5" t="n">
        <x:v>283</x:v>
      </x:c>
      <x:c r="B288" s="5" t="str">
        <x:v>1，1-二乙氧基乙烷</x:v>
      </x:c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  <x:c r="AQ288" s="5" t="n">
        <x:v>162.08</x:v>
      </x:c>
      <x:c r="AR288" s="5" t="n">
        <x:v>180.56</x:v>
      </x:c>
      <x:c r="AS288" s="5" t="n">
        <x:v>364.16</x:v>
      </x:c>
      <x:c r="AT288" s="5" t="n">
        <x:v>362.76</x:v>
      </x:c>
      <x:c r="AU288" s="5"/>
      <x:c r="AV288" s="5"/>
      <x:c r="AW288" s="5"/>
      <x:c r="AX288" s="5"/>
      <x:c r="AY288" s="5"/>
      <x:c r="AZ288" s="5"/>
      <x:c r="BA288" s="5"/>
      <x:c r="BB288" s="5"/>
      <x:c r="BC288" s="5"/>
      <x:c r="BD288" s="5"/>
      <x:c r="BE288" s="5"/>
      <x:c r="BF288" s="5"/>
      <x:c r="BG288" s="5"/>
      <x:c r="BH288" s="5"/>
      <x:c r="BI288" s="5"/>
      <x:c r="BJ288" s="5"/>
      <x:c r="BK288" s="5"/>
      <x:c r="BL288" s="5"/>
      <x:c r="BM288" s="5"/>
      <x:c r="BN288" s="5"/>
      <x:c r="BO288" s="5"/>
      <x:c r="BP288" s="5"/>
      <x:c r="BQ288" s="5"/>
      <x:c r="BR288" s="5"/>
      <x:c r="BS288" s="5"/>
      <x:c r="BT288" s="5"/>
      <x:c r="BU288" s="5"/>
      <x:c r="BV288" s="5"/>
      <x:c r="BW288" s="5"/>
      <x:c r="BX288" s="5"/>
      <x:c r="BY288" s="5"/>
      <x:c r="BZ288" s="5"/>
      <x:c r="CA288" s="5"/>
      <x:c r="CB288" s="5"/>
      <x:c r="CC288" s="5"/>
      <x:c r="CD288" s="5"/>
      <x:c r="CE288" s="5"/>
      <x:c r="CF288" s="5"/>
      <x:c r="CG288" s="5"/>
      <x:c r="CH288" s="5"/>
      <x:c r="CI288" s="5"/>
      <x:c r="CJ288" s="5"/>
      <x:c r="CK288" s="5"/>
      <x:c r="CL288" s="5"/>
      <x:c r="CM288" s="5"/>
      <x:c r="CN288" s="5"/>
      <x:c r="CO288" s="5"/>
      <x:c r="CP288" s="5"/>
      <x:c r="CQ288" s="5"/>
      <x:c r="CR288" s="5"/>
      <x:c r="CS288" s="5"/>
      <x:c r="CT288" s="5"/>
      <x:c r="CU288" s="5"/>
      <x:c r="CV288" s="5"/>
      <x:c r="CW288" s="5"/>
      <x:c r="CX288" s="5"/>
      <x:c r="CY288" s="5"/>
      <x:c r="CZ288" s="5"/>
      <x:c r="DA288" s="5"/>
      <x:c r="DB288" s="5"/>
      <x:c r="DC288" s="5"/>
      <x:c r="DD288" s="5"/>
      <x:c r="DE288" s="5"/>
      <x:c r="DF288" s="5"/>
      <x:c r="DG288" s="5"/>
      <x:c r="DH288" s="5"/>
      <x:c r="DI288" s="5"/>
      <x:c r="DJ288" s="5"/>
      <x:c r="DK288" s="5"/>
      <x:c r="DL288" s="5"/>
      <x:c r="DM288" s="5"/>
    </x:row>
    <x:row r="289">
      <x:c r="A289" s="5" t="n">
        <x:v>284</x:v>
      </x:c>
      <x:c r="B289" s="5" t="str">
        <x:v>1，1，3-三乙氧基丙烷</x:v>
      </x:c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  <x:c r="AQ289" s="5" t="n">
        <x:v>2.02</x:v>
      </x:c>
      <x:c r="AR289" s="5" t="n">
        <x:v>1.65</x:v>
      </x:c>
      <x:c r="AS289" s="5" t="n">
        <x:v>1.94</x:v>
      </x:c>
      <x:c r="AT289" s="5" t="n">
        <x:v>2.18</x:v>
      </x:c>
      <x:c r="AU289" s="5"/>
      <x:c r="AV289" s="5"/>
      <x:c r="AW289" s="5"/>
      <x:c r="AX289" s="5"/>
      <x:c r="AY289" s="5"/>
      <x:c r="AZ289" s="5"/>
      <x:c r="BA289" s="5"/>
      <x:c r="BB289" s="5"/>
      <x:c r="BC289" s="5"/>
      <x:c r="BD289" s="5"/>
      <x:c r="BE289" s="5"/>
      <x:c r="BF289" s="5"/>
      <x:c r="BG289" s="5"/>
      <x:c r="BH289" s="5"/>
      <x:c r="BI289" s="5"/>
      <x:c r="BJ289" s="5"/>
      <x:c r="BK289" s="5"/>
      <x:c r="BL289" s="5"/>
      <x:c r="BM289" s="5"/>
      <x:c r="BN289" s="5"/>
      <x:c r="BO289" s="5"/>
      <x:c r="BP289" s="5"/>
      <x:c r="BQ289" s="5"/>
      <x:c r="BR289" s="5"/>
      <x:c r="BS289" s="5"/>
      <x:c r="BT289" s="5"/>
      <x:c r="BU289" s="5"/>
      <x:c r="BV289" s="5"/>
      <x:c r="BW289" s="5"/>
      <x:c r="BX289" s="5"/>
      <x:c r="BY289" s="5"/>
      <x:c r="BZ289" s="5"/>
      <x:c r="CA289" s="5"/>
      <x:c r="CB289" s="5"/>
      <x:c r="CC289" s="5"/>
      <x:c r="CD289" s="5"/>
      <x:c r="CE289" s="5"/>
      <x:c r="CF289" s="5"/>
      <x:c r="CG289" s="5"/>
      <x:c r="CH289" s="5"/>
      <x:c r="CI289" s="5"/>
      <x:c r="CJ289" s="5"/>
      <x:c r="CK289" s="5"/>
      <x:c r="CL289" s="5"/>
      <x:c r="CM289" s="5"/>
      <x:c r="CN289" s="5"/>
      <x:c r="CO289" s="5"/>
      <x:c r="CP289" s="5"/>
      <x:c r="CQ289" s="5"/>
      <x:c r="CR289" s="5"/>
      <x:c r="CS289" s="5"/>
      <x:c r="CT289" s="5"/>
      <x:c r="CU289" s="5"/>
      <x:c r="CV289" s="5"/>
      <x:c r="CW289" s="5"/>
      <x:c r="CX289" s="5"/>
      <x:c r="CY289" s="5"/>
      <x:c r="CZ289" s="5"/>
      <x:c r="DA289" s="5"/>
      <x:c r="DB289" s="5"/>
      <x:c r="DC289" s="5"/>
      <x:c r="DD289" s="5"/>
      <x:c r="DE289" s="5"/>
      <x:c r="DF289" s="5"/>
      <x:c r="DG289" s="5"/>
      <x:c r="DH289" s="5"/>
      <x:c r="DI289" s="5"/>
      <x:c r="DJ289" s="5"/>
      <x:c r="DK289" s="5"/>
      <x:c r="DL289" s="5"/>
      <x:c r="DM289" s="5"/>
    </x:row>
    <x:row r="290">
      <x:c r="A290" s="5" t="n">
        <x:v>285</x:v>
      </x:c>
      <x:c r="B290" s="5" t="str">
        <x:v>1，2－丙二醇</x:v>
      </x:c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  <x:c r="AQ290" s="5"/>
      <x:c r="AR290" s="5"/>
      <x:c r="AS290" s="5"/>
      <x:c r="AT290" s="5"/>
      <x:c r="AU290" s="5"/>
      <x:c r="AV290" s="5"/>
      <x:c r="AW290" s="5"/>
      <x:c r="AX290" s="5"/>
      <x:c r="AY290" s="5"/>
      <x:c r="AZ290" s="5"/>
      <x:c r="BA290" s="5"/>
      <x:c r="BB290" s="5"/>
      <x:c r="BC290" s="5"/>
      <x:c r="BD290" s="5"/>
      <x:c r="BE290" s="5"/>
      <x:c r="BF290" s="5"/>
      <x:c r="BG290" s="5"/>
      <x:c r="BH290" s="5"/>
      <x:c r="BI290" s="5"/>
      <x:c r="BJ290" s="5"/>
      <x:c r="BK290" s="5"/>
      <x:c r="BL290" s="5"/>
      <x:c r="BM290" s="5"/>
      <x:c r="BN290" s="5"/>
      <x:c r="BO290" s="5"/>
      <x:c r="BP290" s="5"/>
      <x:c r="BQ290" s="5" t="n">
        <x:v>8100</x:v>
      </x:c>
      <x:c r="BR290" s="5" t="n">
        <x:v>15700</x:v>
      </x:c>
      <x:c r="BS290" s="5" t="n">
        <x:v>22300</x:v>
      </x:c>
      <x:c r="BT290" s="5" t="n">
        <x:v>8400</x:v>
      </x:c>
      <x:c r="BU290" s="5" t="n">
        <x:v>31000</x:v>
      </x:c>
      <x:c r="BV290" s="5" t="n">
        <x:v>9700</x:v>
      </x:c>
      <x:c r="BW290" s="5" t="n">
        <x:v>24200</x:v>
      </x:c>
      <x:c r="BX290" s="5" t="n">
        <x:v>6100</x:v>
      </x:c>
      <x:c r="BY290" s="5" t="n">
        <x:v>24200</x:v>
      </x:c>
      <x:c r="BZ290" s="5"/>
      <x:c r="CA290" s="5"/>
      <x:c r="CB290" s="5"/>
      <x:c r="CC290" s="5"/>
      <x:c r="CD290" s="5"/>
      <x:c r="CE290" s="5"/>
      <x:c r="CF290" s="5"/>
      <x:c r="CG290" s="5"/>
      <x:c r="CH290" s="5"/>
      <x:c r="CI290" s="5"/>
      <x:c r="CJ290" s="5"/>
      <x:c r="CK290" s="5"/>
      <x:c r="CL290" s="5"/>
      <x:c r="CM290" s="5"/>
      <x:c r="CN290" s="5"/>
      <x:c r="CO290" s="5"/>
      <x:c r="CP290" s="5"/>
      <x:c r="CQ290" s="5"/>
      <x:c r="CR290" s="5"/>
      <x:c r="CS290" s="5"/>
      <x:c r="CT290" s="5"/>
      <x:c r="CU290" s="5"/>
      <x:c r="CV290" s="5"/>
      <x:c r="CW290" s="5"/>
      <x:c r="CX290" s="5"/>
      <x:c r="CY290" s="5"/>
      <x:c r="CZ290" s="5"/>
      <x:c r="DA290" s="5"/>
      <x:c r="DB290" s="5"/>
      <x:c r="DC290" s="5"/>
      <x:c r="DD290" s="5"/>
      <x:c r="DE290" s="5"/>
      <x:c r="DF290" s="5"/>
      <x:c r="DG290" s="5"/>
      <x:c r="DH290" s="5"/>
      <x:c r="DI290" s="5"/>
      <x:c r="DJ290" s="5"/>
      <x:c r="DK290" s="5"/>
      <x:c r="DL290" s="5"/>
      <x:c r="DM290" s="5"/>
    </x:row>
    <x:row r="291">
      <x:c r="A291" s="5" t="n">
        <x:v>286</x:v>
      </x:c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 t="n">
        <x:v>940</x:v>
      </x:c>
      <x:c r="M291" s="5" t="n">
        <x:v>1121</x:v>
      </x:c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  <x:c r="AQ291" s="5"/>
      <x:c r="AR291" s="5"/>
      <x:c r="AS291" s="5"/>
      <x:c r="AT291" s="5"/>
      <x:c r="AU291" s="5"/>
      <x:c r="AV291" s="5"/>
      <x:c r="AW291" s="5"/>
      <x:c r="AX291" s="5"/>
      <x:c r="AY291" s="5"/>
      <x:c r="AZ291" s="5"/>
      <x:c r="BA291" s="5"/>
      <x:c r="BB291" s="5"/>
      <x:c r="BC291" s="5"/>
      <x:c r="BD291" s="5"/>
      <x:c r="BE291" s="5"/>
      <x:c r="BF291" s="5"/>
      <x:c r="BG291" s="5"/>
      <x:c r="BH291" s="5"/>
      <x:c r="BI291" s="5"/>
      <x:c r="BJ291" s="5"/>
      <x:c r="BK291" s="5"/>
      <x:c r="BL291" s="5"/>
      <x:c r="BM291" s="5"/>
      <x:c r="BN291" s="5"/>
      <x:c r="BO291" s="5"/>
      <x:c r="BP291" s="5"/>
      <x:c r="BQ291" s="5"/>
      <x:c r="BR291" s="5"/>
      <x:c r="BS291" s="5"/>
      <x:c r="BT291" s="5"/>
      <x:c r="BU291" s="5"/>
      <x:c r="BV291" s="5"/>
      <x:c r="BW291" s="5"/>
      <x:c r="BX291" s="5"/>
      <x:c r="BY291" s="5"/>
      <x:c r="BZ291" s="5"/>
      <x:c r="CA291" s="5"/>
      <x:c r="CB291" s="5"/>
      <x:c r="CC291" s="5"/>
      <x:c r="CD291" s="5"/>
      <x:c r="CE291" s="5"/>
      <x:c r="CF291" s="5"/>
      <x:c r="CG291" s="5"/>
      <x:c r="CH291" s="5"/>
      <x:c r="CI291" s="5"/>
      <x:c r="CJ291" s="5"/>
      <x:c r="CK291" s="5"/>
      <x:c r="CL291" s="5"/>
      <x:c r="CM291" s="5"/>
      <x:c r="CN291" s="5"/>
      <x:c r="CO291" s="5"/>
      <x:c r="CP291" s="5"/>
      <x:c r="CQ291" s="5"/>
      <x:c r="CR291" s="5"/>
      <x:c r="CS291" s="5"/>
      <x:c r="CT291" s="5"/>
      <x:c r="CU291" s="5"/>
      <x:c r="CV291" s="5"/>
      <x:c r="CW291" s="5"/>
      <x:c r="CX291" s="5"/>
      <x:c r="CY291" s="5"/>
      <x:c r="CZ291" s="5"/>
      <x:c r="DA291" s="5"/>
      <x:c r="DB291" s="5"/>
      <x:c r="DC291" s="5"/>
      <x:c r="DD291" s="5"/>
      <x:c r="DE291" s="5"/>
      <x:c r="DF291" s="5"/>
      <x:c r="DG291" s="5"/>
      <x:c r="DH291" s="5"/>
      <x:c r="DI291" s="5"/>
      <x:c r="DJ291" s="5"/>
      <x:c r="DK291" s="5"/>
      <x:c r="DL291" s="5"/>
      <x:c r="DM291" s="5"/>
    </x:row>
    <x:row r="292">
      <x:c r="A292" s="5" t="n">
        <x:v>287</x:v>
      </x:c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  <x:c r="AQ292" s="5"/>
      <x:c r="AR292" s="5"/>
      <x:c r="AS292" s="5"/>
      <x:c r="AT292" s="5"/>
      <x:c r="AU292" s="5"/>
      <x:c r="AV292" s="5"/>
      <x:c r="AW292" s="5"/>
      <x:c r="AX292" s="5"/>
      <x:c r="AY292" s="5"/>
      <x:c r="AZ292" s="5"/>
      <x:c r="BA292" s="5"/>
      <x:c r="BB292" s="5"/>
      <x:c r="BC292" s="5"/>
      <x:c r="BD292" s="5"/>
      <x:c r="BE292" s="5"/>
      <x:c r="BF292" s="5"/>
      <x:c r="BG292" s="5"/>
      <x:c r="BH292" s="5"/>
      <x:c r="BI292" s="5"/>
      <x:c r="BJ292" s="5"/>
      <x:c r="BK292" s="5"/>
      <x:c r="BL292" s="5"/>
      <x:c r="BM292" s="5"/>
      <x:c r="BN292" s="5"/>
      <x:c r="BO292" s="5"/>
      <x:c r="BP292" s="5"/>
      <x:c r="BQ292" s="5"/>
      <x:c r="BR292" s="5"/>
      <x:c r="BS292" s="5"/>
      <x:c r="BT292" s="5"/>
      <x:c r="BU292" s="5"/>
      <x:c r="BV292" s="5"/>
      <x:c r="BW292" s="5"/>
      <x:c r="BX292" s="5"/>
      <x:c r="BY292" s="5"/>
      <x:c r="BZ292" s="5"/>
      <x:c r="CA292" s="5"/>
      <x:c r="CB292" s="5"/>
      <x:c r="CC292" s="5"/>
      <x:c r="CD292" s="5"/>
      <x:c r="CE292" s="5"/>
      <x:c r="CF292" s="5"/>
      <x:c r="CG292" s="5"/>
      <x:c r="CH292" s="5"/>
      <x:c r="CI292" s="5"/>
      <x:c r="CJ292" s="5"/>
      <x:c r="CK292" s="5"/>
      <x:c r="CL292" s="5"/>
      <x:c r="CM292" s="5"/>
      <x:c r="CN292" s="5"/>
      <x:c r="CO292" s="5"/>
      <x:c r="CP292" s="5"/>
      <x:c r="CQ292" s="5"/>
      <x:c r="CR292" s="5"/>
      <x:c r="CS292" s="5"/>
      <x:c r="CT292" s="5"/>
      <x:c r="CU292" s="5"/>
      <x:c r="CV292" s="5"/>
      <x:c r="CW292" s="5"/>
      <x:c r="CX292" s="5"/>
      <x:c r="CY292" s="5"/>
      <x:c r="CZ292" s="5"/>
      <x:c r="DA292" s="5"/>
      <x:c r="DB292" s="5"/>
      <x:c r="DC292" s="5"/>
      <x:c r="DD292" s="5"/>
      <x:c r="DE292" s="5"/>
      <x:c r="DF292" s="5"/>
      <x:c r="DG292" s="5"/>
      <x:c r="DH292" s="5"/>
      <x:c r="DI292" s="5"/>
      <x:c r="DJ292" s="5"/>
      <x:c r="DK292" s="5"/>
      <x:c r="DL292" s="5"/>
      <x:c r="DM292" s="5"/>
    </x:row>
    <x:row r="293">
      <x:c r="A293" s="5" t="n">
        <x:v>288</x:v>
      </x:c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  <x:c r="AQ293" s="5"/>
      <x:c r="AR293" s="5"/>
      <x:c r="AS293" s="5"/>
      <x:c r="AT293" s="5"/>
      <x:c r="AU293" s="5"/>
      <x:c r="AV293" s="5"/>
      <x:c r="AW293" s="5"/>
      <x:c r="AX293" s="5"/>
      <x:c r="AY293" s="5"/>
      <x:c r="AZ293" s="5"/>
      <x:c r="BA293" s="5"/>
      <x:c r="BB293" s="5"/>
      <x:c r="BC293" s="5"/>
      <x:c r="BD293" s="5"/>
      <x:c r="BE293" s="5"/>
      <x:c r="BF293" s="5"/>
      <x:c r="BG293" s="5"/>
      <x:c r="BH293" s="5"/>
      <x:c r="BI293" s="5"/>
      <x:c r="BJ293" s="5"/>
      <x:c r="BK293" s="5"/>
      <x:c r="BL293" s="5"/>
      <x:c r="BM293" s="5"/>
      <x:c r="BN293" s="5"/>
      <x:c r="BO293" s="5"/>
      <x:c r="BP293" s="5"/>
      <x:c r="BQ293" s="5"/>
      <x:c r="BR293" s="5"/>
      <x:c r="BS293" s="5"/>
      <x:c r="BT293" s="5"/>
      <x:c r="BU293" s="5"/>
      <x:c r="BV293" s="5"/>
      <x:c r="BW293" s="5"/>
      <x:c r="BX293" s="5"/>
      <x:c r="BY293" s="5"/>
      <x:c r="BZ293" s="5"/>
      <x:c r="CA293" s="5"/>
      <x:c r="CB293" s="5"/>
      <x:c r="CC293" s="5"/>
      <x:c r="CD293" s="5"/>
      <x:c r="CE293" s="5"/>
      <x:c r="CF293" s="5"/>
      <x:c r="CG293" s="5"/>
      <x:c r="CH293" s="5"/>
      <x:c r="CI293" s="5"/>
      <x:c r="CJ293" s="5"/>
      <x:c r="CK293" s="5"/>
      <x:c r="CL293" s="5"/>
      <x:c r="CM293" s="5"/>
      <x:c r="CN293" s="5"/>
      <x:c r="CO293" s="5"/>
      <x:c r="CP293" s="5"/>
      <x:c r="CQ293" s="5"/>
      <x:c r="CR293" s="5"/>
      <x:c r="CS293" s="5"/>
      <x:c r="CT293" s="5"/>
      <x:c r="CU293" s="5"/>
      <x:c r="CV293" s="5"/>
      <x:c r="CW293" s="5"/>
      <x:c r="CX293" s="5"/>
      <x:c r="CY293" s="5"/>
      <x:c r="CZ293" s="5"/>
      <x:c r="DA293" s="5"/>
      <x:c r="DB293" s="5"/>
      <x:c r="DC293" s="5"/>
      <x:c r="DD293" s="5"/>
      <x:c r="DE293" s="5"/>
      <x:c r="DF293" s="5"/>
      <x:c r="DG293" s="5"/>
      <x:c r="DH293" s="5"/>
      <x:c r="DI293" s="5"/>
      <x:c r="DJ293" s="5"/>
      <x:c r="DK293" s="5"/>
      <x:c r="DL293" s="5"/>
      <x:c r="DM293" s="5"/>
    </x:row>
    <x:row r="294">
      <x:c r="A294" s="5" t="n">
        <x:v>289</x:v>
      </x:c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  <x:c r="AQ294" s="5"/>
      <x:c r="AR294" s="5"/>
      <x:c r="AS294" s="5"/>
      <x:c r="AT294" s="5"/>
      <x:c r="AU294" s="5"/>
      <x:c r="AV294" s="5"/>
      <x:c r="AW294" s="5"/>
      <x:c r="AX294" s="5"/>
      <x:c r="AY294" s="5"/>
      <x:c r="AZ294" s="5"/>
      <x:c r="BA294" s="5"/>
      <x:c r="BB294" s="5"/>
      <x:c r="BC294" s="5"/>
      <x:c r="BD294" s="5"/>
      <x:c r="BE294" s="5"/>
      <x:c r="BF294" s="5"/>
      <x:c r="BG294" s="5"/>
      <x:c r="BH294" s="5"/>
      <x:c r="BI294" s="5"/>
      <x:c r="BJ294" s="5"/>
      <x:c r="BK294" s="5"/>
      <x:c r="BL294" s="5"/>
      <x:c r="BM294" s="5"/>
      <x:c r="BN294" s="5"/>
      <x:c r="BO294" s="5"/>
      <x:c r="BP294" s="5"/>
      <x:c r="BQ294" s="5"/>
      <x:c r="BR294" s="5"/>
      <x:c r="BS294" s="5"/>
      <x:c r="BT294" s="5"/>
      <x:c r="BU294" s="5"/>
      <x:c r="BV294" s="5"/>
      <x:c r="BW294" s="5"/>
      <x:c r="BX294" s="5"/>
      <x:c r="BY294" s="5"/>
      <x:c r="BZ294" s="5"/>
      <x:c r="CA294" s="5"/>
      <x:c r="CB294" s="5"/>
      <x:c r="CC294" s="5"/>
      <x:c r="CD294" s="5"/>
      <x:c r="CE294" s="5"/>
      <x:c r="CF294" s="5"/>
      <x:c r="CG294" s="5"/>
      <x:c r="CH294" s="5"/>
      <x:c r="CI294" s="5"/>
      <x:c r="CJ294" s="5"/>
      <x:c r="CK294" s="5"/>
      <x:c r="CL294" s="5"/>
      <x:c r="CM294" s="5"/>
      <x:c r="CN294" s="5"/>
      <x:c r="CO294" s="5"/>
      <x:c r="CP294" s="5"/>
      <x:c r="CQ294" s="5"/>
      <x:c r="CR294" s="5"/>
      <x:c r="CS294" s="5"/>
      <x:c r="CT294" s="5"/>
      <x:c r="CU294" s="5"/>
      <x:c r="CV294" s="5"/>
      <x:c r="CW294" s="5"/>
      <x:c r="CX294" s="5"/>
      <x:c r="CY294" s="5"/>
      <x:c r="CZ294" s="5"/>
      <x:c r="DA294" s="5"/>
      <x:c r="DB294" s="5"/>
      <x:c r="DC294" s="5"/>
      <x:c r="DD294" s="5"/>
      <x:c r="DE294" s="5"/>
      <x:c r="DF294" s="5"/>
      <x:c r="DG294" s="5"/>
      <x:c r="DH294" s="5"/>
      <x:c r="DI294" s="5"/>
      <x:c r="DJ294" s="5"/>
      <x:c r="DK294" s="5"/>
      <x:c r="DL294" s="5"/>
      <x:c r="DM294" s="5"/>
    </x:row>
    <x:row r="295">
      <x:c r="A295" s="5" t="n">
        <x:v>290</x:v>
      </x:c>
      <x:c r="B295" s="5" t="str">
        <x:v>2-壬酮2-nonanone</x:v>
      </x:c>
      <x:c r="C295" s="5"/>
      <x:c r="D295" s="5" t="n">
        <x:v>393</x:v>
      </x:c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  <x:c r="AQ295" s="5"/>
      <x:c r="AR295" s="5"/>
      <x:c r="AS295" s="5"/>
      <x:c r="AT295" s="5"/>
      <x:c r="AU295" s="5"/>
      <x:c r="AV295" s="5"/>
      <x:c r="AW295" s="5"/>
      <x:c r="AX295" s="5"/>
      <x:c r="AY295" s="5"/>
      <x:c r="AZ295" s="5"/>
      <x:c r="BA295" s="5"/>
      <x:c r="BB295" s="5"/>
      <x:c r="BC295" s="5"/>
      <x:c r="BD295" s="5"/>
      <x:c r="BE295" s="5"/>
      <x:c r="BF295" s="5"/>
      <x:c r="BG295" s="5"/>
      <x:c r="BH295" s="5"/>
      <x:c r="BI295" s="5"/>
      <x:c r="BJ295" s="5"/>
      <x:c r="BK295" s="5"/>
      <x:c r="BL295" s="5"/>
      <x:c r="BM295" s="5"/>
      <x:c r="BN295" s="5"/>
      <x:c r="BO295" s="5"/>
      <x:c r="BP295" s="5"/>
      <x:c r="BQ295" s="5"/>
      <x:c r="BR295" s="5"/>
      <x:c r="BS295" s="5"/>
      <x:c r="BT295" s="5"/>
      <x:c r="BU295" s="5"/>
      <x:c r="BV295" s="5"/>
      <x:c r="BW295" s="5"/>
      <x:c r="BX295" s="5"/>
      <x:c r="BY295" s="5"/>
      <x:c r="BZ295" s="5"/>
      <x:c r="CA295" s="5"/>
      <x:c r="CB295" s="5"/>
      <x:c r="CC295" s="5"/>
      <x:c r="CD295" s="5"/>
      <x:c r="CE295" s="5"/>
      <x:c r="CF295" s="5"/>
      <x:c r="CG295" s="5"/>
      <x:c r="CH295" s="5"/>
      <x:c r="CI295" s="5"/>
      <x:c r="CJ295" s="5"/>
      <x:c r="CK295" s="5"/>
      <x:c r="CL295" s="5"/>
      <x:c r="CM295" s="5"/>
      <x:c r="CN295" s="5"/>
      <x:c r="CO295" s="5"/>
      <x:c r="CP295" s="5"/>
      <x:c r="CQ295" s="5"/>
      <x:c r="CR295" s="5"/>
      <x:c r="CS295" s="5"/>
      <x:c r="CT295" s="5"/>
      <x:c r="CU295" s="5"/>
      <x:c r="CV295" s="5"/>
      <x:c r="CW295" s="5"/>
      <x:c r="CX295" s="5"/>
      <x:c r="CY295" s="5"/>
      <x:c r="CZ295" s="5"/>
      <x:c r="DA295" s="5"/>
      <x:c r="DB295" s="5"/>
      <x:c r="DC295" s="5"/>
      <x:c r="DD295" s="5"/>
      <x:c r="DE295" s="5"/>
      <x:c r="DF295" s="5"/>
      <x:c r="DG295" s="5"/>
      <x:c r="DH295" s="5"/>
      <x:c r="DI295" s="5"/>
      <x:c r="DJ295" s="5"/>
      <x:c r="DK295" s="5"/>
      <x:c r="DL295" s="5"/>
      <x:c r="DM295" s="5"/>
    </x:row>
    <x:row r="296">
      <x:c r="A296" s="5" t="n">
        <x:v>291</x:v>
      </x:c>
      <x:c r="B296" s="5" t="str">
        <x:v>2-庚醇2-heptanol</x:v>
      </x:c>
      <x:c r="C296" s="5"/>
      <x:c r="D296" s="5" t="n">
        <x:v>1431</x:v>
      </x:c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  <x:c r="AQ296" s="5"/>
      <x:c r="AR296" s="5"/>
      <x:c r="AS296" s="5"/>
      <x:c r="AT296" s="5"/>
      <x:c r="AU296" s="5"/>
      <x:c r="AV296" s="5"/>
      <x:c r="AW296" s="5"/>
      <x:c r="AX296" s="5"/>
      <x:c r="AY296" s="5"/>
      <x:c r="AZ296" s="5"/>
      <x:c r="BA296" s="5"/>
      <x:c r="BB296" s="5"/>
      <x:c r="BC296" s="5"/>
      <x:c r="BD296" s="5"/>
      <x:c r="BE296" s="5"/>
      <x:c r="BF296" s="5"/>
      <x:c r="BG296" s="5"/>
      <x:c r="BH296" s="5"/>
      <x:c r="BI296" s="5"/>
      <x:c r="BJ296" s="5"/>
      <x:c r="BK296" s="5"/>
      <x:c r="BL296" s="5"/>
      <x:c r="BM296" s="5"/>
      <x:c r="BN296" s="5"/>
      <x:c r="BO296" s="5"/>
      <x:c r="BP296" s="5"/>
      <x:c r="BQ296" s="5"/>
      <x:c r="BR296" s="5"/>
      <x:c r="BS296" s="5"/>
      <x:c r="BT296" s="5"/>
      <x:c r="BU296" s="5"/>
      <x:c r="BV296" s="5"/>
      <x:c r="BW296" s="5"/>
      <x:c r="BX296" s="5"/>
      <x:c r="BY296" s="5"/>
      <x:c r="BZ296" s="5"/>
      <x:c r="CA296" s="5"/>
      <x:c r="CB296" s="5"/>
      <x:c r="CC296" s="5"/>
      <x:c r="CD296" s="5"/>
      <x:c r="CE296" s="5"/>
      <x:c r="CF296" s="5"/>
      <x:c r="CG296" s="5"/>
      <x:c r="CH296" s="5"/>
      <x:c r="CI296" s="5"/>
      <x:c r="CJ296" s="5"/>
      <x:c r="CK296" s="5"/>
      <x:c r="CL296" s="5"/>
      <x:c r="CM296" s="5"/>
      <x:c r="CN296" s="5"/>
      <x:c r="CO296" s="5"/>
      <x:c r="CP296" s="5"/>
      <x:c r="CQ296" s="5"/>
      <x:c r="CR296" s="5"/>
      <x:c r="CS296" s="5"/>
      <x:c r="CT296" s="5"/>
      <x:c r="CU296" s="5"/>
      <x:c r="CV296" s="5"/>
      <x:c r="CW296" s="5"/>
      <x:c r="CX296" s="5"/>
      <x:c r="CY296" s="5"/>
      <x:c r="CZ296" s="5"/>
      <x:c r="DA296" s="5"/>
      <x:c r="DB296" s="5"/>
      <x:c r="DC296" s="5"/>
      <x:c r="DD296" s="5"/>
      <x:c r="DE296" s="5"/>
      <x:c r="DF296" s="5"/>
      <x:c r="DG296" s="5"/>
      <x:c r="DH296" s="5"/>
      <x:c r="DI296" s="5"/>
      <x:c r="DJ296" s="5"/>
      <x:c r="DK296" s="5"/>
      <x:c r="DL296" s="5"/>
      <x:c r="DM296" s="5"/>
    </x:row>
    <x:row r="297">
      <x:c r="A297" s="5" t="n">
        <x:v>292</x:v>
      </x:c>
      <x:c r="B297" s="5" t="str">
        <x:v>2-癸醛decanal</x:v>
      </x:c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  <x:c r="AQ297" s="5"/>
      <x:c r="AR297" s="5"/>
      <x:c r="AS297" s="5"/>
      <x:c r="AT297" s="5"/>
      <x:c r="AU297" s="5"/>
      <x:c r="AV297" s="5"/>
      <x:c r="AW297" s="5"/>
      <x:c r="AX297" s="5"/>
      <x:c r="AY297" s="5"/>
      <x:c r="AZ297" s="5"/>
      <x:c r="BA297" s="5"/>
      <x:c r="BB297" s="5"/>
      <x:c r="BC297" s="5"/>
      <x:c r="BD297" s="5"/>
      <x:c r="BE297" s="5"/>
      <x:c r="BF297" s="5"/>
      <x:c r="BG297" s="5"/>
      <x:c r="BH297" s="5"/>
      <x:c r="BI297" s="5"/>
      <x:c r="BJ297" s="5"/>
      <x:c r="BK297" s="5"/>
      <x:c r="BL297" s="5"/>
      <x:c r="BM297" s="5"/>
      <x:c r="BN297" s="5"/>
      <x:c r="BO297" s="5"/>
      <x:c r="BP297" s="5"/>
      <x:c r="BQ297" s="5"/>
      <x:c r="BR297" s="5"/>
      <x:c r="BS297" s="5"/>
      <x:c r="BT297" s="5"/>
      <x:c r="BU297" s="5"/>
      <x:c r="BV297" s="5"/>
      <x:c r="BW297" s="5"/>
      <x:c r="BX297" s="5"/>
      <x:c r="BY297" s="5"/>
      <x:c r="BZ297" s="5"/>
      <x:c r="CA297" s="5"/>
      <x:c r="CB297" s="5"/>
      <x:c r="CC297" s="5"/>
      <x:c r="CD297" s="5"/>
      <x:c r="CE297" s="5"/>
      <x:c r="CF297" s="5"/>
      <x:c r="CG297" s="5"/>
      <x:c r="CH297" s="5"/>
      <x:c r="CI297" s="5"/>
      <x:c r="CJ297" s="5"/>
      <x:c r="CK297" s="5"/>
      <x:c r="CL297" s="5"/>
      <x:c r="CM297" s="5"/>
      <x:c r="CN297" s="5"/>
      <x:c r="CO297" s="5"/>
      <x:c r="CP297" s="5"/>
      <x:c r="CQ297" s="5"/>
      <x:c r="CR297" s="5"/>
      <x:c r="CS297" s="5"/>
      <x:c r="CT297" s="5"/>
      <x:c r="CU297" s="5"/>
      <x:c r="CV297" s="5"/>
      <x:c r="CW297" s="5"/>
      <x:c r="CX297" s="5"/>
      <x:c r="CY297" s="5"/>
      <x:c r="CZ297" s="5"/>
      <x:c r="DA297" s="5"/>
      <x:c r="DB297" s="5"/>
      <x:c r="DC297" s="5"/>
      <x:c r="DD297" s="5"/>
      <x:c r="DE297" s="5"/>
      <x:c r="DF297" s="5"/>
      <x:c r="DG297" s="5"/>
      <x:c r="DH297" s="5"/>
      <x:c r="DI297" s="5"/>
      <x:c r="DJ297" s="5"/>
      <x:c r="DK297" s="5"/>
      <x:c r="DL297" s="5"/>
      <x:c r="DM297" s="5"/>
    </x:row>
    <x:row r="298">
      <x:c r="A298" s="5" t="n">
        <x:v>293</x:v>
      </x:c>
      <x:c r="B298" s="5" t="str">
        <x:v>2-苯乙酸乙酯ethyl 2-phenylacetate</x:v>
      </x:c>
      <x:c r="C298" s="5"/>
      <x:c r="D298" s="5" t="n">
        <x:v>407</x:v>
      </x:c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  <x:c r="AQ298" s="5"/>
      <x:c r="AR298" s="5"/>
      <x:c r="AS298" s="5"/>
      <x:c r="AT298" s="5"/>
      <x:c r="AU298" s="5"/>
      <x:c r="AV298" s="5"/>
      <x:c r="AW298" s="5"/>
      <x:c r="AX298" s="5"/>
      <x:c r="AY298" s="5"/>
      <x:c r="AZ298" s="5"/>
      <x:c r="BA298" s="5"/>
      <x:c r="BB298" s="5"/>
      <x:c r="BC298" s="5"/>
      <x:c r="BD298" s="5"/>
      <x:c r="BE298" s="5"/>
      <x:c r="BF298" s="5"/>
      <x:c r="BG298" s="5"/>
      <x:c r="BH298" s="5"/>
      <x:c r="BI298" s="5"/>
      <x:c r="BJ298" s="5"/>
      <x:c r="BK298" s="5"/>
      <x:c r="BL298" s="5"/>
      <x:c r="BM298" s="5"/>
      <x:c r="BN298" s="5"/>
      <x:c r="BO298" s="5"/>
      <x:c r="BP298" s="5"/>
      <x:c r="BQ298" s="5"/>
      <x:c r="BR298" s="5"/>
      <x:c r="BS298" s="5"/>
      <x:c r="BT298" s="5"/>
      <x:c r="BU298" s="5"/>
      <x:c r="BV298" s="5"/>
      <x:c r="BW298" s="5"/>
      <x:c r="BX298" s="5"/>
      <x:c r="BY298" s="5"/>
      <x:c r="BZ298" s="5"/>
      <x:c r="CA298" s="5"/>
      <x:c r="CB298" s="5"/>
      <x:c r="CC298" s="5"/>
      <x:c r="CD298" s="5"/>
      <x:c r="CE298" s="5"/>
      <x:c r="CF298" s="5"/>
      <x:c r="CG298" s="5"/>
      <x:c r="CH298" s="5"/>
      <x:c r="CI298" s="5"/>
      <x:c r="CJ298" s="5"/>
      <x:c r="CK298" s="5"/>
      <x:c r="CL298" s="5"/>
      <x:c r="CM298" s="5"/>
      <x:c r="CN298" s="5"/>
      <x:c r="CO298" s="5"/>
      <x:c r="CP298" s="5"/>
      <x:c r="CQ298" s="5"/>
      <x:c r="CR298" s="5"/>
      <x:c r="CS298" s="5"/>
      <x:c r="CT298" s="5"/>
      <x:c r="CU298" s="5"/>
      <x:c r="CV298" s="5"/>
      <x:c r="CW298" s="5"/>
      <x:c r="CX298" s="5"/>
      <x:c r="CY298" s="5"/>
      <x:c r="CZ298" s="5"/>
      <x:c r="DA298" s="5"/>
      <x:c r="DB298" s="5"/>
      <x:c r="DC298" s="5"/>
      <x:c r="DD298" s="5"/>
      <x:c r="DE298" s="5"/>
      <x:c r="DF298" s="5"/>
      <x:c r="DG298" s="5"/>
      <x:c r="DH298" s="5"/>
      <x:c r="DI298" s="5"/>
      <x:c r="DJ298" s="5"/>
      <x:c r="DK298" s="5"/>
      <x:c r="DL298" s="5"/>
      <x:c r="DM298" s="5"/>
    </x:row>
    <x:row r="299">
      <x:c r="A299" s="5" t="n">
        <x:v>294</x:v>
      </x:c>
      <x:c r="B299" s="5" t="str">
        <x:v>2-苯乙酸乙酯（mg·L-1）</x:v>
      </x:c>
      <x:c r="C299" s="5"/>
      <x:c r="D299" s="5" t="n">
        <x:v>407</x:v>
      </x:c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  <x:c r="AQ299" s="5"/>
      <x:c r="AR299" s="5"/>
      <x:c r="AS299" s="5"/>
      <x:c r="AT299" s="5"/>
      <x:c r="AU299" s="5"/>
      <x:c r="AV299" s="5"/>
      <x:c r="AW299" s="5"/>
      <x:c r="AX299" s="5"/>
      <x:c r="AY299" s="5"/>
      <x:c r="AZ299" s="5"/>
      <x:c r="BA299" s="5"/>
      <x:c r="BB299" s="5"/>
      <x:c r="BC299" s="5"/>
      <x:c r="BD299" s="5"/>
      <x:c r="BE299" s="5"/>
      <x:c r="BF299" s="5"/>
      <x:c r="BG299" s="5"/>
      <x:c r="BH299" s="5"/>
      <x:c r="BI299" s="5"/>
      <x:c r="BJ299" s="5"/>
      <x:c r="BK299" s="5"/>
      <x:c r="BL299" s="5" t="n">
        <x:v>18.59</x:v>
      </x:c>
      <x:c r="BM299" s="5" t="n">
        <x:v>13.04</x:v>
      </x:c>
      <x:c r="BN299" s="5" t="n">
        <x:v>6.67</x:v>
      </x:c>
      <x:c r="BO299" s="5" t="n">
        <x:v>12.36</x:v>
      </x:c>
      <x:c r="BP299" s="5"/>
      <x:c r="BQ299" s="5"/>
      <x:c r="BR299" s="5"/>
      <x:c r="BS299" s="5"/>
      <x:c r="BT299" s="5"/>
      <x:c r="BU299" s="5"/>
      <x:c r="BV299" s="5"/>
      <x:c r="BW299" s="5"/>
      <x:c r="BX299" s="5"/>
      <x:c r="BY299" s="5"/>
      <x:c r="BZ299" s="5"/>
      <x:c r="CA299" s="5"/>
      <x:c r="CB299" s="5"/>
      <x:c r="CC299" s="5"/>
      <x:c r="CD299" s="5"/>
      <x:c r="CE299" s="5"/>
      <x:c r="CF299" s="5"/>
      <x:c r="CG299" s="5"/>
      <x:c r="CH299" s="5"/>
      <x:c r="CI299" s="5"/>
      <x:c r="CJ299" s="5"/>
      <x:c r="CK299" s="5"/>
      <x:c r="CL299" s="5"/>
      <x:c r="CM299" s="5"/>
      <x:c r="CN299" s="5"/>
      <x:c r="CO299" s="5"/>
      <x:c r="CP299" s="5"/>
      <x:c r="CQ299" s="5"/>
      <x:c r="CR299" s="5"/>
      <x:c r="CS299" s="5"/>
      <x:c r="CT299" s="5"/>
      <x:c r="CU299" s="5"/>
      <x:c r="CV299" s="5"/>
      <x:c r="CW299" s="5"/>
      <x:c r="CX299" s="5"/>
      <x:c r="CY299" s="5"/>
      <x:c r="CZ299" s="5"/>
      <x:c r="DA299" s="5"/>
      <x:c r="DB299" s="5"/>
      <x:c r="DC299" s="5"/>
      <x:c r="DD299" s="5"/>
      <x:c r="DE299" s="5"/>
      <x:c r="DF299" s="5"/>
      <x:c r="DG299" s="5"/>
      <x:c r="DH299" s="5"/>
      <x:c r="DI299" s="5"/>
      <x:c r="DJ299" s="5"/>
      <x:c r="DK299" s="5"/>
      <x:c r="DL299" s="5"/>
      <x:c r="DM299" s="5"/>
    </x:row>
    <x:row r="300">
      <x:c r="A300" s="5" t="n">
        <x:v>295</x:v>
      </x:c>
      <x:c r="B300" s="5" t="str">
        <x:v>2-辛酮2-octanone</x:v>
      </x:c>
      <x:c r="C300" s="5"/>
      <x:c r="D300" s="5" t="n">
        <x:v>250</x:v>
      </x:c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  <x:c r="AQ300" s="5"/>
      <x:c r="AR300" s="5"/>
      <x:c r="AS300" s="5"/>
      <x:c r="AT300" s="5"/>
      <x:c r="AU300" s="5"/>
      <x:c r="AV300" s="5"/>
      <x:c r="AW300" s="5"/>
      <x:c r="AX300" s="5"/>
      <x:c r="AY300" s="5"/>
      <x:c r="AZ300" s="5"/>
      <x:c r="BA300" s="5"/>
      <x:c r="BB300" s="5"/>
      <x:c r="BC300" s="5"/>
      <x:c r="BD300" s="5"/>
      <x:c r="BE300" s="5"/>
      <x:c r="BF300" s="5"/>
      <x:c r="BG300" s="5"/>
      <x:c r="BH300" s="5"/>
      <x:c r="BI300" s="5"/>
      <x:c r="BJ300" s="5"/>
      <x:c r="BK300" s="5"/>
      <x:c r="BL300" s="5"/>
      <x:c r="BM300" s="5"/>
      <x:c r="BN300" s="5"/>
      <x:c r="BO300" s="5"/>
      <x:c r="BP300" s="5"/>
      <x:c r="BQ300" s="5"/>
      <x:c r="BR300" s="5"/>
      <x:c r="BS300" s="5"/>
      <x:c r="BT300" s="5"/>
      <x:c r="BU300" s="5"/>
      <x:c r="BV300" s="5"/>
      <x:c r="BW300" s="5"/>
      <x:c r="BX300" s="5"/>
      <x:c r="BY300" s="5"/>
      <x:c r="BZ300" s="5"/>
      <x:c r="CA300" s="5"/>
      <x:c r="CB300" s="5"/>
      <x:c r="CC300" s="5"/>
      <x:c r="CD300" s="5"/>
      <x:c r="CE300" s="5"/>
      <x:c r="CF300" s="5"/>
      <x:c r="CG300" s="5"/>
      <x:c r="CH300" s="5"/>
      <x:c r="CI300" s="5"/>
      <x:c r="CJ300" s="5"/>
      <x:c r="CK300" s="5"/>
      <x:c r="CL300" s="5"/>
      <x:c r="CM300" s="5"/>
      <x:c r="CN300" s="5"/>
      <x:c r="CO300" s="5"/>
      <x:c r="CP300" s="5"/>
      <x:c r="CQ300" s="5"/>
      <x:c r="CR300" s="5"/>
      <x:c r="CS300" s="5"/>
      <x:c r="CT300" s="5"/>
      <x:c r="CU300" s="5"/>
      <x:c r="CV300" s="5"/>
      <x:c r="CW300" s="5"/>
      <x:c r="CX300" s="5"/>
      <x:c r="CY300" s="5"/>
      <x:c r="CZ300" s="5"/>
      <x:c r="DA300" s="5"/>
      <x:c r="DB300" s="5"/>
      <x:c r="DC300" s="5"/>
      <x:c r="DD300" s="5"/>
      <x:c r="DE300" s="5"/>
      <x:c r="DF300" s="5"/>
      <x:c r="DG300" s="5"/>
      <x:c r="DH300" s="5"/>
      <x:c r="DI300" s="5"/>
      <x:c r="DJ300" s="5"/>
      <x:c r="DK300" s="5"/>
      <x:c r="DL300" s="5"/>
      <x:c r="DM300" s="5"/>
    </x:row>
    <x:row r="301">
      <x:c r="A301" s="5" t="n">
        <x:v>296</x:v>
      </x:c>
      <x:c r="B301" s="5" t="str">
        <x:v>2.3- 丁二醇</x:v>
      </x:c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 t="n">
        <x:v>800</x:v>
      </x:c>
      <x:c r="AI301" s="5" t="n">
        <x:v>580</x:v>
      </x:c>
      <x:c r="AJ301" s="5" t="n">
        <x:v>850</x:v>
      </x:c>
      <x:c r="AK301" s="5"/>
      <x:c r="AL301" s="5"/>
      <x:c r="AM301" s="5"/>
      <x:c r="AN301" s="5"/>
      <x:c r="AO301" s="5"/>
      <x:c r="AP301" s="5"/>
      <x:c r="AQ301" s="5"/>
      <x:c r="AR301" s="5"/>
      <x:c r="AS301" s="5"/>
      <x:c r="AT301" s="5"/>
      <x:c r="AU301" s="5"/>
      <x:c r="AV301" s="5"/>
      <x:c r="AW301" s="5"/>
      <x:c r="AX301" s="5"/>
      <x:c r="AY301" s="5"/>
      <x:c r="AZ301" s="5"/>
      <x:c r="BA301" s="5"/>
      <x:c r="BB301" s="5"/>
      <x:c r="BC301" s="5"/>
      <x:c r="BD301" s="5"/>
      <x:c r="BE301" s="5"/>
      <x:c r="BF301" s="5"/>
      <x:c r="BG301" s="5"/>
      <x:c r="BH301" s="5"/>
      <x:c r="BI301" s="5"/>
      <x:c r="BJ301" s="5"/>
      <x:c r="BK301" s="5"/>
      <x:c r="BL301" s="5"/>
      <x:c r="BM301" s="5"/>
      <x:c r="BN301" s="5"/>
      <x:c r="BO301" s="5"/>
      <x:c r="BP301" s="5"/>
      <x:c r="BQ301" s="5"/>
      <x:c r="BR301" s="5"/>
      <x:c r="BS301" s="5"/>
      <x:c r="BT301" s="5"/>
      <x:c r="BU301" s="5"/>
      <x:c r="BV301" s="5"/>
      <x:c r="BW301" s="5"/>
      <x:c r="BX301" s="5"/>
      <x:c r="BY301" s="5"/>
      <x:c r="BZ301" s="5"/>
      <x:c r="CA301" s="5"/>
      <x:c r="CB301" s="5"/>
      <x:c r="CC301" s="5"/>
      <x:c r="CD301" s="5"/>
      <x:c r="CE301" s="5"/>
      <x:c r="CF301" s="5"/>
      <x:c r="CG301" s="5"/>
      <x:c r="CH301" s="5"/>
      <x:c r="CI301" s="5"/>
      <x:c r="CJ301" s="5"/>
      <x:c r="CK301" s="5"/>
      <x:c r="CL301" s="5"/>
      <x:c r="CM301" s="5"/>
      <x:c r="CN301" s="5"/>
      <x:c r="CO301" s="5"/>
      <x:c r="CP301" s="5"/>
      <x:c r="CQ301" s="5"/>
      <x:c r="CR301" s="5"/>
      <x:c r="CS301" s="5"/>
      <x:c r="CT301" s="5"/>
      <x:c r="CU301" s="5"/>
      <x:c r="CV301" s="5"/>
      <x:c r="CW301" s="5"/>
      <x:c r="CX301" s="5"/>
      <x:c r="CY301" s="5"/>
      <x:c r="CZ301" s="5"/>
      <x:c r="DA301" s="5"/>
      <x:c r="DB301" s="5"/>
      <x:c r="DC301" s="5"/>
      <x:c r="DD301" s="5"/>
      <x:c r="DE301" s="5"/>
      <x:c r="DF301" s="5"/>
      <x:c r="DG301" s="5"/>
      <x:c r="DH301" s="5"/>
      <x:c r="DI301" s="5"/>
      <x:c r="DJ301" s="5"/>
      <x:c r="DK301" s="5"/>
      <x:c r="DL301" s="5"/>
      <x:c r="DM301" s="5"/>
    </x:row>
    <x:row r="302">
      <x:c r="A302" s="5" t="n">
        <x:v>297</x:v>
      </x:c>
      <x:c r="B302" s="5" t="str">
        <x:v>2，3－丁二醇</x:v>
      </x:c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  <x:c r="AQ302" s="5"/>
      <x:c r="AR302" s="5"/>
      <x:c r="AS302" s="5"/>
      <x:c r="AT302" s="5"/>
      <x:c r="AU302" s="5"/>
      <x:c r="AV302" s="5"/>
      <x:c r="AW302" s="5"/>
      <x:c r="AX302" s="5"/>
      <x:c r="AY302" s="5"/>
      <x:c r="AZ302" s="5"/>
      <x:c r="BA302" s="5"/>
      <x:c r="BB302" s="5"/>
      <x:c r="BC302" s="5"/>
      <x:c r="BD302" s="5"/>
      <x:c r="BE302" s="5"/>
      <x:c r="BF302" s="5"/>
      <x:c r="BG302" s="5"/>
      <x:c r="BH302" s="5"/>
      <x:c r="BI302" s="5"/>
      <x:c r="BJ302" s="5"/>
      <x:c r="BK302" s="5"/>
      <x:c r="BL302" s="5"/>
      <x:c r="BM302" s="5"/>
      <x:c r="BN302" s="5"/>
      <x:c r="BO302" s="5"/>
      <x:c r="BP302" s="5"/>
      <x:c r="BQ302" s="5" t="n">
        <x:v>6200</x:v>
      </x:c>
      <x:c r="BR302" s="5" t="n">
        <x:v>5400</x:v>
      </x:c>
      <x:c r="BS302" s="5" t="n">
        <x:v>3600</x:v>
      </x:c>
      <x:c r="BT302" s="5" t="n">
        <x:v>4300</x:v>
      </x:c>
      <x:c r="BU302" s="5" t="n">
        <x:v>6500</x:v>
      </x:c>
      <x:c r="BV302" s="5" t="n">
        <x:v>10900</x:v>
      </x:c>
      <x:c r="BW302" s="5" t="n">
        <x:v>3800</x:v>
      </x:c>
      <x:c r="BX302" s="5" t="n">
        <x:v>6900</x:v>
      </x:c>
      <x:c r="BY302" s="5" t="n">
        <x:v>3900</x:v>
      </x:c>
      <x:c r="BZ302" s="5"/>
      <x:c r="CA302" s="5"/>
      <x:c r="CB302" s="5"/>
      <x:c r="CC302" s="5"/>
      <x:c r="CD302" s="5"/>
      <x:c r="CE302" s="5"/>
      <x:c r="CF302" s="5"/>
      <x:c r="CG302" s="5"/>
      <x:c r="CH302" s="5"/>
      <x:c r="CI302" s="5"/>
      <x:c r="CJ302" s="5"/>
      <x:c r="CK302" s="5"/>
      <x:c r="CL302" s="5"/>
      <x:c r="CM302" s="5"/>
      <x:c r="CN302" s="5"/>
      <x:c r="CO302" s="5"/>
      <x:c r="CP302" s="5"/>
      <x:c r="CQ302" s="5"/>
      <x:c r="CR302" s="5"/>
      <x:c r="CS302" s="5"/>
      <x:c r="CT302" s="5"/>
      <x:c r="CU302" s="5"/>
      <x:c r="CV302" s="5"/>
      <x:c r="CW302" s="5"/>
      <x:c r="CX302" s="5"/>
      <x:c r="CY302" s="5"/>
      <x:c r="CZ302" s="5"/>
      <x:c r="DA302" s="5"/>
      <x:c r="DB302" s="5"/>
      <x:c r="DC302" s="5"/>
      <x:c r="DD302" s="5"/>
      <x:c r="DE302" s="5"/>
      <x:c r="DF302" s="5"/>
      <x:c r="DG302" s="5"/>
      <x:c r="DH302" s="5"/>
      <x:c r="DI302" s="5"/>
      <x:c r="DJ302" s="5"/>
      <x:c r="DK302" s="5"/>
      <x:c r="DL302" s="5"/>
      <x:c r="DM302" s="5"/>
    </x:row>
    <x:row r="303">
      <x:c r="A303" s="5" t="n">
        <x:v>298</x:v>
      </x:c>
      <x:c r="B303" s="5" t="str">
        <x:v>2－丁醇</x:v>
      </x:c>
      <x:c r="C303" s="5"/>
      <x:c r="D303" s="5" t="n">
        <x:v>50000</x:v>
      </x:c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  <x:c r="AQ303" s="5"/>
      <x:c r="AR303" s="5"/>
      <x:c r="AS303" s="5"/>
      <x:c r="AT303" s="5"/>
      <x:c r="AU303" s="5"/>
      <x:c r="AV303" s="5"/>
      <x:c r="AW303" s="5"/>
      <x:c r="AX303" s="5"/>
      <x:c r="AY303" s="5"/>
      <x:c r="AZ303" s="5"/>
      <x:c r="BA303" s="5"/>
      <x:c r="BB303" s="5"/>
      <x:c r="BC303" s="5"/>
      <x:c r="BD303" s="5"/>
      <x:c r="BE303" s="5"/>
      <x:c r="BF303" s="5"/>
      <x:c r="BG303" s="5"/>
      <x:c r="BH303" s="5"/>
      <x:c r="BI303" s="5"/>
      <x:c r="BJ303" s="5"/>
      <x:c r="BK303" s="5"/>
      <x:c r="BL303" s="5"/>
      <x:c r="BM303" s="5"/>
      <x:c r="BN303" s="5"/>
      <x:c r="BO303" s="5"/>
      <x:c r="BP303" s="5"/>
      <x:c r="BQ303" s="5" t="n">
        <x:v>60300</x:v>
      </x:c>
      <x:c r="BR303" s="5" t="n">
        <x:v>55700</x:v>
      </x:c>
      <x:c r="BS303" s="5" t="n">
        <x:v>33700</x:v>
      </x:c>
      <x:c r="BT303" s="5" t="n">
        <x:v>71600</x:v>
      </x:c>
      <x:c r="BU303" s="5" t="n">
        <x:v>32400</x:v>
      </x:c>
      <x:c r="BV303" s="5" t="n">
        <x:v>21700</x:v>
      </x:c>
      <x:c r="BW303" s="5" t="n">
        <x:v>22500</x:v>
      </x:c>
      <x:c r="BX303" s="5" t="n">
        <x:v>38400</x:v>
      </x:c>
      <x:c r="BY303" s="5" t="n">
        <x:v>23800</x:v>
      </x:c>
      <x:c r="BZ303" s="5"/>
      <x:c r="CA303" s="5"/>
      <x:c r="CB303" s="5"/>
      <x:c r="CC303" s="5"/>
      <x:c r="CD303" s="5"/>
      <x:c r="CE303" s="5"/>
      <x:c r="CF303" s="5"/>
      <x:c r="CG303" s="5"/>
      <x:c r="CH303" s="5"/>
      <x:c r="CI303" s="5"/>
      <x:c r="CJ303" s="5"/>
      <x:c r="CK303" s="5"/>
      <x:c r="CL303" s="5"/>
      <x:c r="CM303" s="5"/>
      <x:c r="CN303" s="5"/>
      <x:c r="CO303" s="5"/>
      <x:c r="CP303" s="5"/>
      <x:c r="CQ303" s="5"/>
      <x:c r="CR303" s="5"/>
      <x:c r="CS303" s="5"/>
      <x:c r="CT303" s="5"/>
      <x:c r="CU303" s="5"/>
      <x:c r="CV303" s="5"/>
      <x:c r="CW303" s="5"/>
      <x:c r="CX303" s="5"/>
      <x:c r="CY303" s="5"/>
      <x:c r="CZ303" s="5"/>
      <x:c r="DA303" s="5"/>
      <x:c r="DB303" s="5"/>
      <x:c r="DC303" s="5"/>
      <x:c r="DD303" s="5"/>
      <x:c r="DE303" s="5"/>
      <x:c r="DF303" s="5"/>
      <x:c r="DG303" s="5"/>
      <x:c r="DH303" s="5"/>
      <x:c r="DI303" s="5"/>
      <x:c r="DJ303" s="5"/>
      <x:c r="DK303" s="5"/>
      <x:c r="DL303" s="5"/>
      <x:c r="DM303" s="5"/>
    </x:row>
    <x:row r="304">
      <x:c r="A304" s="5" t="n">
        <x:v>299</x:v>
      </x:c>
      <x:c r="B304" s="5" t="str">
        <x:v>2－戊酮</x:v>
      </x:c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  <x:c r="AQ304" s="5"/>
      <x:c r="AR304" s="5"/>
      <x:c r="AS304" s="5"/>
      <x:c r="AT304" s="5"/>
      <x:c r="AU304" s="5"/>
      <x:c r="AV304" s="5"/>
      <x:c r="AW304" s="5"/>
      <x:c r="AX304" s="5"/>
      <x:c r="AY304" s="5"/>
      <x:c r="AZ304" s="5"/>
      <x:c r="BA304" s="5"/>
      <x:c r="BB304" s="5"/>
      <x:c r="BC304" s="5"/>
      <x:c r="BD304" s="5"/>
      <x:c r="BE304" s="5"/>
      <x:c r="BF304" s="5"/>
      <x:c r="BG304" s="5"/>
      <x:c r="BH304" s="5"/>
      <x:c r="BI304" s="5"/>
      <x:c r="BJ304" s="5"/>
      <x:c r="BK304" s="5"/>
      <x:c r="BL304" s="5"/>
      <x:c r="BM304" s="5"/>
      <x:c r="BN304" s="5"/>
      <x:c r="BO304" s="5"/>
      <x:c r="BP304" s="5"/>
      <x:c r="BQ304" s="5" t="n">
        <x:v>900</x:v>
      </x:c>
      <x:c r="BR304" s="5" t="n">
        <x:v>2400</x:v>
      </x:c>
      <x:c r="BS304" s="5" t="n">
        <x:v>1900</x:v>
      </x:c>
      <x:c r="BT304" s="5" t="n">
        <x:v>4900</x:v>
      </x:c>
      <x:c r="BU304" s="5" t="n">
        <x:v>1600</x:v>
      </x:c>
      <x:c r="BV304" s="5" t="n">
        <x:v>200</x:v>
      </x:c>
      <x:c r="BW304" s="5" t="n">
        <x:v>1300</x:v>
      </x:c>
      <x:c r="BX304" s="5" t="n">
        <x:v>1400</x:v>
      </x:c>
      <x:c r="BY304" s="5" t="n">
        <x:v>1100</x:v>
      </x:c>
      <x:c r="BZ304" s="5"/>
      <x:c r="CA304" s="5"/>
      <x:c r="CB304" s="5"/>
      <x:c r="CC304" s="5"/>
      <x:c r="CD304" s="5"/>
      <x:c r="CE304" s="5"/>
      <x:c r="CF304" s="5"/>
      <x:c r="CG304" s="5"/>
      <x:c r="CH304" s="5"/>
      <x:c r="CI304" s="5"/>
      <x:c r="CJ304" s="5"/>
      <x:c r="CK304" s="5"/>
      <x:c r="CL304" s="5"/>
      <x:c r="CM304" s="5"/>
      <x:c r="CN304" s="5"/>
      <x:c r="CO304" s="5"/>
      <x:c r="CP304" s="5"/>
      <x:c r="CQ304" s="5"/>
      <x:c r="CR304" s="5"/>
      <x:c r="CS304" s="5"/>
      <x:c r="CT304" s="5"/>
      <x:c r="CU304" s="5"/>
      <x:c r="CV304" s="5"/>
      <x:c r="CW304" s="5"/>
      <x:c r="CX304" s="5"/>
      <x:c r="CY304" s="5"/>
      <x:c r="CZ304" s="5"/>
      <x:c r="DA304" s="5"/>
      <x:c r="DB304" s="5"/>
      <x:c r="DC304" s="5"/>
      <x:c r="DD304" s="5"/>
      <x:c r="DE304" s="5"/>
      <x:c r="DF304" s="5"/>
      <x:c r="DG304" s="5"/>
      <x:c r="DH304" s="5"/>
      <x:c r="DI304" s="5"/>
      <x:c r="DJ304" s="5"/>
      <x:c r="DK304" s="5"/>
      <x:c r="DL304" s="5"/>
      <x:c r="DM304" s="5"/>
    </x:row>
    <x:row r="305">
      <x:c r="A305" s="5" t="n">
        <x:v>300</x:v>
      </x:c>
      <x:c r="B305" s="5" t="str">
        <x:v>3-甲基-2（3H）-苯并呋喃酮</x:v>
      </x:c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  <x:c r="AQ305" s="5"/>
      <x:c r="AR305" s="5"/>
      <x:c r="AS305" s="5"/>
      <x:c r="AT305" s="5"/>
      <x:c r="AU305" s="5"/>
      <x:c r="AV305" s="5"/>
      <x:c r="AW305" s="5"/>
      <x:c r="AX305" s="5"/>
      <x:c r="AY305" s="5"/>
      <x:c r="AZ305" s="5"/>
      <x:c r="BA305" s="5"/>
      <x:c r="BB305" s="5"/>
      <x:c r="BC305" s="5"/>
      <x:c r="BD305" s="5"/>
      <x:c r="BE305" s="5"/>
      <x:c r="BF305" s="5"/>
      <x:c r="BG305" s="5"/>
      <x:c r="BH305" s="5"/>
      <x:c r="BI305" s="5"/>
      <x:c r="BJ305" s="5"/>
      <x:c r="BK305" s="5"/>
      <x:c r="BL305" s="5"/>
      <x:c r="BM305" s="5"/>
      <x:c r="BN305" s="5"/>
      <x:c r="BO305" s="5"/>
      <x:c r="BP305" s="5"/>
      <x:c r="BQ305" s="5"/>
      <x:c r="BR305" s="5"/>
      <x:c r="BS305" s="5"/>
      <x:c r="BT305" s="5"/>
      <x:c r="BU305" s="5"/>
      <x:c r="BV305" s="5"/>
      <x:c r="BW305" s="5"/>
      <x:c r="BX305" s="5"/>
      <x:c r="BY305" s="5"/>
      <x:c r="BZ305" s="5"/>
      <x:c r="CA305" s="5"/>
      <x:c r="CB305" s="5"/>
      <x:c r="CC305" s="5"/>
      <x:c r="CD305" s="5"/>
      <x:c r="CE305" s="5"/>
      <x:c r="CF305" s="5"/>
      <x:c r="CG305" s="5"/>
      <x:c r="CH305" s="5"/>
      <x:c r="CI305" s="5"/>
      <x:c r="CJ305" s="5"/>
      <x:c r="CK305" s="5"/>
      <x:c r="CL305" s="5"/>
      <x:c r="CM305" s="5"/>
      <x:c r="CN305" s="5"/>
      <x:c r="CO305" s="5"/>
      <x:c r="CP305" s="5"/>
      <x:c r="CQ305" s="5"/>
      <x:c r="CR305" s="5"/>
      <x:c r="CS305" s="5"/>
      <x:c r="CT305" s="5"/>
      <x:c r="CU305" s="5"/>
      <x:c r="CV305" s="5" t="n">
        <x:v>26.55</x:v>
      </x:c>
      <x:c r="CW305" s="5"/>
      <x:c r="CX305" s="5"/>
      <x:c r="CY305" s="5"/>
      <x:c r="CZ305" s="5"/>
      <x:c r="DA305" s="5"/>
      <x:c r="DB305" s="5"/>
      <x:c r="DC305" s="5"/>
      <x:c r="DD305" s="5"/>
      <x:c r="DE305" s="5"/>
      <x:c r="DF305" s="5"/>
      <x:c r="DG305" s="5"/>
      <x:c r="DH305" s="5"/>
      <x:c r="DI305" s="5"/>
      <x:c r="DJ305" s="5"/>
      <x:c r="DK305" s="5"/>
      <x:c r="DL305" s="5"/>
      <x:c r="DM305" s="5"/>
    </x:row>
    <x:row r="306">
      <x:c r="A306" s="5" t="n">
        <x:v>301</x:v>
      </x:c>
      <x:c r="B306" s="5" t="str">
        <x:v>3-甲基丁酸3-methylbutanoic acid</x:v>
      </x:c>
      <x:c r="C306" s="5"/>
      <x:c r="D306" s="5" t="n">
        <x:v>1050</x:v>
      </x:c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  <x:c r="AQ306" s="5"/>
      <x:c r="AR306" s="5"/>
      <x:c r="AS306" s="5"/>
      <x:c r="AT306" s="5"/>
      <x:c r="AU306" s="5"/>
      <x:c r="AV306" s="5"/>
      <x:c r="AW306" s="5"/>
      <x:c r="AX306" s="5"/>
      <x:c r="AY306" s="5"/>
      <x:c r="AZ306" s="5"/>
      <x:c r="BA306" s="5"/>
      <x:c r="BB306" s="5"/>
      <x:c r="BC306" s="5"/>
      <x:c r="BD306" s="5"/>
      <x:c r="BE306" s="5"/>
      <x:c r="BF306" s="5"/>
      <x:c r="BG306" s="5"/>
      <x:c r="BH306" s="5"/>
      <x:c r="BI306" s="5"/>
      <x:c r="BJ306" s="5"/>
      <x:c r="BK306" s="5"/>
      <x:c r="BL306" s="5"/>
      <x:c r="BM306" s="5"/>
      <x:c r="BN306" s="5"/>
      <x:c r="BO306" s="5"/>
      <x:c r="BP306" s="5"/>
      <x:c r="BQ306" s="5"/>
      <x:c r="BR306" s="5"/>
      <x:c r="BS306" s="5"/>
      <x:c r="BT306" s="5"/>
      <x:c r="BU306" s="5"/>
      <x:c r="BV306" s="5"/>
      <x:c r="BW306" s="5"/>
      <x:c r="BX306" s="5"/>
      <x:c r="BY306" s="5"/>
      <x:c r="BZ306" s="5"/>
      <x:c r="CA306" s="5"/>
      <x:c r="CB306" s="5"/>
      <x:c r="CC306" s="5"/>
      <x:c r="CD306" s="5"/>
      <x:c r="CE306" s="5"/>
      <x:c r="CF306" s="5"/>
      <x:c r="CG306" s="5"/>
      <x:c r="CH306" s="5"/>
      <x:c r="CI306" s="5"/>
      <x:c r="CJ306" s="5"/>
      <x:c r="CK306" s="5"/>
      <x:c r="CL306" s="5"/>
      <x:c r="CM306" s="5"/>
      <x:c r="CN306" s="5"/>
      <x:c r="CO306" s="5"/>
      <x:c r="CP306" s="5"/>
      <x:c r="CQ306" s="5"/>
      <x:c r="CR306" s="5"/>
      <x:c r="CS306" s="5"/>
      <x:c r="CT306" s="5"/>
      <x:c r="CU306" s="5"/>
      <x:c r="CV306" s="5"/>
      <x:c r="CW306" s="5"/>
      <x:c r="CX306" s="5"/>
      <x:c r="CY306" s="5"/>
      <x:c r="CZ306" s="5"/>
      <x:c r="DA306" s="5"/>
      <x:c r="DB306" s="5"/>
      <x:c r="DC306" s="5"/>
      <x:c r="DD306" s="5"/>
      <x:c r="DE306" s="5"/>
      <x:c r="DF306" s="5"/>
      <x:c r="DG306" s="5"/>
      <x:c r="DH306" s="5"/>
      <x:c r="DI306" s="5"/>
      <x:c r="DJ306" s="5"/>
      <x:c r="DK306" s="5"/>
      <x:c r="DL306" s="5"/>
      <x:c r="DM306" s="5"/>
    </x:row>
    <x:row r="307">
      <x:c r="A307" s="5" t="n">
        <x:v>302</x:v>
      </x:c>
      <x:c r="B307" s="5" t="str">
        <x:v>3-甲基丁酸（μg·L-1）</x:v>
      </x:c>
      <x:c r="C307" s="5"/>
      <x:c r="D307" s="5" t="n">
        <x:v>1050</x:v>
      </x:c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  <x:c r="AQ307" s="5"/>
      <x:c r="AR307" s="5"/>
      <x:c r="AS307" s="5"/>
      <x:c r="AT307" s="5"/>
      <x:c r="AU307" s="5"/>
      <x:c r="AV307" s="5"/>
      <x:c r="AW307" s="5"/>
      <x:c r="AX307" s="5"/>
      <x:c r="AY307" s="5"/>
      <x:c r="AZ307" s="5"/>
      <x:c r="BA307" s="5"/>
      <x:c r="BB307" s="5"/>
      <x:c r="BC307" s="5"/>
      <x:c r="BD307" s="5"/>
      <x:c r="BE307" s="5"/>
      <x:c r="BF307" s="5"/>
      <x:c r="BG307" s="5"/>
      <x:c r="BH307" s="5"/>
      <x:c r="BI307" s="5"/>
      <x:c r="BJ307" s="5"/>
      <x:c r="BK307" s="5"/>
      <x:c r="BL307" s="5"/>
      <x:c r="BM307" s="5"/>
      <x:c r="BN307" s="5" t="n">
        <x:v>2444.11</x:v>
      </x:c>
      <x:c r="BO307" s="5" t="n">
        <x:v>9157.12</x:v>
      </x:c>
      <x:c r="BP307" s="5"/>
      <x:c r="BQ307" s="5"/>
      <x:c r="BR307" s="5"/>
      <x:c r="BS307" s="5"/>
      <x:c r="BT307" s="5"/>
      <x:c r="BU307" s="5"/>
      <x:c r="BV307" s="5"/>
      <x:c r="BW307" s="5"/>
      <x:c r="BX307" s="5"/>
      <x:c r="BY307" s="5"/>
      <x:c r="BZ307" s="5"/>
      <x:c r="CA307" s="5"/>
      <x:c r="CB307" s="5"/>
      <x:c r="CC307" s="5"/>
      <x:c r="CD307" s="5"/>
      <x:c r="CE307" s="5"/>
      <x:c r="CF307" s="5"/>
      <x:c r="CG307" s="5"/>
      <x:c r="CH307" s="5"/>
      <x:c r="CI307" s="5"/>
      <x:c r="CJ307" s="5"/>
      <x:c r="CK307" s="5"/>
      <x:c r="CL307" s="5"/>
      <x:c r="CM307" s="5"/>
      <x:c r="CN307" s="5"/>
      <x:c r="CO307" s="5"/>
      <x:c r="CP307" s="5"/>
      <x:c r="CQ307" s="5"/>
      <x:c r="CR307" s="5"/>
      <x:c r="CS307" s="5"/>
      <x:c r="CT307" s="5"/>
      <x:c r="CU307" s="5"/>
      <x:c r="CV307" s="5"/>
      <x:c r="CW307" s="5"/>
      <x:c r="CX307" s="5"/>
      <x:c r="CY307" s="5"/>
      <x:c r="CZ307" s="5"/>
      <x:c r="DA307" s="5"/>
      <x:c r="DB307" s="5"/>
      <x:c r="DC307" s="5"/>
      <x:c r="DD307" s="5"/>
      <x:c r="DE307" s="5"/>
      <x:c r="DF307" s="5"/>
      <x:c r="DG307" s="5"/>
      <x:c r="DH307" s="5"/>
      <x:c r="DI307" s="5"/>
      <x:c r="DJ307" s="5"/>
      <x:c r="DK307" s="5"/>
      <x:c r="DL307" s="5"/>
      <x:c r="DM307" s="5"/>
    </x:row>
    <x:row r="308">
      <x:c r="A308" s="5" t="n">
        <x:v>303</x:v>
      </x:c>
      <x:c r="B308" s="5" t="str">
        <x:v>3-甲基丁醛二乙基缩醛</x:v>
      </x:c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 t="n">
        <x:v>15690</x:v>
      </x:c>
      <x:c r="AL308" s="5" t="n">
        <x:v>7380</x:v>
      </x:c>
      <x:c r="AM308" s="5"/>
      <x:c r="AN308" s="5"/>
      <x:c r="AO308" s="5"/>
      <x:c r="AP308" s="5"/>
      <x:c r="AQ308" s="5"/>
      <x:c r="AR308" s="5"/>
      <x:c r="AS308" s="5"/>
      <x:c r="AT308" s="5"/>
      <x:c r="AU308" s="5"/>
      <x:c r="AV308" s="5"/>
      <x:c r="AW308" s="5"/>
      <x:c r="AX308" s="5"/>
      <x:c r="AY308" s="5"/>
      <x:c r="AZ308" s="5"/>
      <x:c r="BA308" s="5"/>
      <x:c r="BB308" s="5"/>
      <x:c r="BC308" s="5"/>
      <x:c r="BD308" s="5"/>
      <x:c r="BE308" s="5"/>
      <x:c r="BF308" s="5"/>
      <x:c r="BG308" s="5"/>
      <x:c r="BH308" s="5"/>
      <x:c r="BI308" s="5"/>
      <x:c r="BJ308" s="5"/>
      <x:c r="BK308" s="5"/>
      <x:c r="BL308" s="5"/>
      <x:c r="BM308" s="5"/>
      <x:c r="BN308" s="5"/>
      <x:c r="BO308" s="5"/>
      <x:c r="BP308" s="5"/>
      <x:c r="BQ308" s="5"/>
      <x:c r="BR308" s="5"/>
      <x:c r="BS308" s="5"/>
      <x:c r="BT308" s="5"/>
      <x:c r="BU308" s="5"/>
      <x:c r="BV308" s="5"/>
      <x:c r="BW308" s="5"/>
      <x:c r="BX308" s="5"/>
      <x:c r="BY308" s="5"/>
      <x:c r="BZ308" s="5"/>
      <x:c r="CA308" s="5"/>
      <x:c r="CB308" s="5"/>
      <x:c r="CC308" s="5"/>
      <x:c r="CD308" s="5"/>
      <x:c r="CE308" s="5"/>
      <x:c r="CF308" s="5"/>
      <x:c r="CG308" s="5"/>
      <x:c r="CH308" s="5"/>
      <x:c r="CI308" s="5"/>
      <x:c r="CJ308" s="5"/>
      <x:c r="CK308" s="5"/>
      <x:c r="CL308" s="5"/>
      <x:c r="CM308" s="5"/>
      <x:c r="CN308" s="5"/>
      <x:c r="CO308" s="5"/>
      <x:c r="CP308" s="5"/>
      <x:c r="CQ308" s="5"/>
      <x:c r="CR308" s="5"/>
      <x:c r="CS308" s="5"/>
      <x:c r="CT308" s="5"/>
      <x:c r="CU308" s="5"/>
      <x:c r="CV308" s="5"/>
      <x:c r="CW308" s="5"/>
      <x:c r="CX308" s="5"/>
      <x:c r="CY308" s="5"/>
      <x:c r="CZ308" s="5"/>
      <x:c r="DA308" s="5"/>
      <x:c r="DB308" s="5"/>
      <x:c r="DC308" s="5"/>
      <x:c r="DD308" s="5"/>
      <x:c r="DE308" s="5"/>
      <x:c r="DF308" s="5"/>
      <x:c r="DG308" s="5"/>
      <x:c r="DH308" s="5"/>
      <x:c r="DI308" s="5"/>
      <x:c r="DJ308" s="5"/>
      <x:c r="DK308" s="5"/>
      <x:c r="DL308" s="5"/>
      <x:c r="DM308" s="5"/>
    </x:row>
    <x:row r="309">
      <x:c r="A309" s="5" t="n">
        <x:v>304</x:v>
      </x:c>
      <x:c r="B309" s="5" t="str">
        <x:v>3-苯丙酸乙酯ethyl 3-phenylpropanoate</x:v>
      </x:c>
      <x:c r="C309" s="5"/>
      <x:c r="D309" s="5" t="n">
        <x:v>125</x:v>
      </x:c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  <x:c r="AQ309" s="5"/>
      <x:c r="AR309" s="5"/>
      <x:c r="AS309" s="5"/>
      <x:c r="AT309" s="5"/>
      <x:c r="AU309" s="5"/>
      <x:c r="AV309" s="5"/>
      <x:c r="AW309" s="5"/>
      <x:c r="AX309" s="5"/>
      <x:c r="AY309" s="5"/>
      <x:c r="AZ309" s="5"/>
      <x:c r="BA309" s="5"/>
      <x:c r="BB309" s="5"/>
      <x:c r="BC309" s="5"/>
      <x:c r="BD309" s="5"/>
      <x:c r="BE309" s="5"/>
      <x:c r="BF309" s="5"/>
      <x:c r="BG309" s="5"/>
      <x:c r="BH309" s="5"/>
      <x:c r="BI309" s="5"/>
      <x:c r="BJ309" s="5"/>
      <x:c r="BK309" s="5"/>
      <x:c r="BL309" s="5"/>
      <x:c r="BM309" s="5"/>
      <x:c r="BN309" s="5"/>
      <x:c r="BO309" s="5"/>
      <x:c r="BP309" s="5"/>
      <x:c r="BQ309" s="5"/>
      <x:c r="BR309" s="5"/>
      <x:c r="BS309" s="5"/>
      <x:c r="BT309" s="5"/>
      <x:c r="BU309" s="5"/>
      <x:c r="BV309" s="5"/>
      <x:c r="BW309" s="5"/>
      <x:c r="BX309" s="5"/>
      <x:c r="BY309" s="5"/>
      <x:c r="BZ309" s="5"/>
      <x:c r="CA309" s="5"/>
      <x:c r="CB309" s="5"/>
      <x:c r="CC309" s="5"/>
      <x:c r="CD309" s="5"/>
      <x:c r="CE309" s="5"/>
      <x:c r="CF309" s="5"/>
      <x:c r="CG309" s="5"/>
      <x:c r="CH309" s="5"/>
      <x:c r="CI309" s="5"/>
      <x:c r="CJ309" s="5"/>
      <x:c r="CK309" s="5"/>
      <x:c r="CL309" s="5"/>
      <x:c r="CM309" s="5"/>
      <x:c r="CN309" s="5"/>
      <x:c r="CO309" s="5"/>
      <x:c r="CP309" s="5"/>
      <x:c r="CQ309" s="5"/>
      <x:c r="CR309" s="5"/>
      <x:c r="CS309" s="5"/>
      <x:c r="CT309" s="5"/>
      <x:c r="CU309" s="5"/>
      <x:c r="CV309" s="5"/>
      <x:c r="CW309" s="5"/>
      <x:c r="CX309" s="5"/>
      <x:c r="CY309" s="5"/>
      <x:c r="CZ309" s="5"/>
      <x:c r="DA309" s="5"/>
      <x:c r="DB309" s="5"/>
      <x:c r="DC309" s="5"/>
      <x:c r="DD309" s="5"/>
      <x:c r="DE309" s="5"/>
      <x:c r="DF309" s="5"/>
      <x:c r="DG309" s="5"/>
      <x:c r="DH309" s="5"/>
      <x:c r="DI309" s="5"/>
      <x:c r="DJ309" s="5"/>
      <x:c r="DK309" s="5"/>
      <x:c r="DL309" s="5"/>
      <x:c r="DM309" s="5"/>
    </x:row>
    <x:row r="310">
      <x:c r="A310" s="5" t="n">
        <x:v>305</x:v>
      </x:c>
      <x:c r="B310" s="5" t="str">
        <x:v>3-苯丙酸乙酯（mg·L-1）</x:v>
      </x:c>
      <x:c r="C310" s="5"/>
      <x:c r="D310" s="5" t="n">
        <x:v>125</x:v>
      </x:c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  <x:c r="AQ310" s="5"/>
      <x:c r="AR310" s="5"/>
      <x:c r="AS310" s="5"/>
      <x:c r="AT310" s="5"/>
      <x:c r="AU310" s="5"/>
      <x:c r="AV310" s="5"/>
      <x:c r="AW310" s="5"/>
      <x:c r="AX310" s="5"/>
      <x:c r="AY310" s="5"/>
      <x:c r="AZ310" s="5"/>
      <x:c r="BA310" s="5"/>
      <x:c r="BB310" s="5"/>
      <x:c r="BC310" s="5"/>
      <x:c r="BD310" s="5"/>
      <x:c r="BE310" s="5"/>
      <x:c r="BF310" s="5"/>
      <x:c r="BG310" s="5"/>
      <x:c r="BH310" s="5"/>
      <x:c r="BI310" s="5"/>
      <x:c r="BJ310" s="5"/>
      <x:c r="BK310" s="5"/>
      <x:c r="BL310" s="5" t="n">
        <x:v>12.31</x:v>
      </x:c>
      <x:c r="BM310" s="5" t="n">
        <x:v>18.71</x:v>
      </x:c>
      <x:c r="BN310" s="5" t="n">
        <x:v>4.96</x:v>
      </x:c>
      <x:c r="BO310" s="5" t="n">
        <x:v>19.85</x:v>
      </x:c>
      <x:c r="BP310" s="5"/>
      <x:c r="BQ310" s="5"/>
      <x:c r="BR310" s="5"/>
      <x:c r="BS310" s="5"/>
      <x:c r="BT310" s="5"/>
      <x:c r="BU310" s="5"/>
      <x:c r="BV310" s="5"/>
      <x:c r="BW310" s="5"/>
      <x:c r="BX310" s="5"/>
      <x:c r="BY310" s="5"/>
      <x:c r="BZ310" s="5"/>
      <x:c r="CA310" s="5"/>
      <x:c r="CB310" s="5"/>
      <x:c r="CC310" s="5"/>
      <x:c r="CD310" s="5"/>
      <x:c r="CE310" s="5"/>
      <x:c r="CF310" s="5"/>
      <x:c r="CG310" s="5"/>
      <x:c r="CH310" s="5"/>
      <x:c r="CI310" s="5"/>
      <x:c r="CJ310" s="5"/>
      <x:c r="CK310" s="5"/>
      <x:c r="CL310" s="5"/>
      <x:c r="CM310" s="5"/>
      <x:c r="CN310" s="5"/>
      <x:c r="CO310" s="5"/>
      <x:c r="CP310" s="5"/>
      <x:c r="CQ310" s="5"/>
      <x:c r="CR310" s="5"/>
      <x:c r="CS310" s="5"/>
      <x:c r="CT310" s="5"/>
      <x:c r="CU310" s="5"/>
      <x:c r="CV310" s="5"/>
      <x:c r="CW310" s="5"/>
      <x:c r="CX310" s="5"/>
      <x:c r="CY310" s="5"/>
      <x:c r="CZ310" s="5"/>
      <x:c r="DA310" s="5"/>
      <x:c r="DB310" s="5"/>
      <x:c r="DC310" s="5"/>
      <x:c r="DD310" s="5"/>
      <x:c r="DE310" s="5"/>
      <x:c r="DF310" s="5"/>
      <x:c r="DG310" s="5"/>
      <x:c r="DH310" s="5"/>
      <x:c r="DI310" s="5"/>
      <x:c r="DJ310" s="5"/>
      <x:c r="DK310" s="5"/>
      <x:c r="DL310" s="5"/>
      <x:c r="DM310" s="5"/>
    </x:row>
    <x:row r="311">
      <x:c r="A311" s="5" t="n">
        <x:v>306</x:v>
      </x:c>
      <x:c r="B311" s="5" t="str">
        <x:v>3-辛醇3-octanol</x:v>
      </x:c>
      <x:c r="C311" s="5"/>
      <x:c r="D311" s="5" t="n">
        <x:v>483</x:v>
      </x:c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  <x:c r="AQ311" s="5"/>
      <x:c r="AR311" s="5"/>
      <x:c r="AS311" s="5"/>
      <x:c r="AT311" s="5"/>
      <x:c r="AU311" s="5"/>
      <x:c r="AV311" s="5"/>
      <x:c r="AW311" s="5"/>
      <x:c r="AX311" s="5"/>
      <x:c r="AY311" s="5"/>
      <x:c r="AZ311" s="5"/>
      <x:c r="BA311" s="5"/>
      <x:c r="BB311" s="5"/>
      <x:c r="BC311" s="5"/>
      <x:c r="BD311" s="5"/>
      <x:c r="BE311" s="5"/>
      <x:c r="BF311" s="5"/>
      <x:c r="BG311" s="5"/>
      <x:c r="BH311" s="5"/>
      <x:c r="BI311" s="5"/>
      <x:c r="BJ311" s="5"/>
      <x:c r="BK311" s="5"/>
      <x:c r="BL311" s="5"/>
      <x:c r="BM311" s="5"/>
      <x:c r="BN311" s="5"/>
      <x:c r="BO311" s="5"/>
      <x:c r="BP311" s="5"/>
      <x:c r="BQ311" s="5"/>
      <x:c r="BR311" s="5"/>
      <x:c r="BS311" s="5"/>
      <x:c r="BT311" s="5"/>
      <x:c r="BU311" s="5"/>
      <x:c r="BV311" s="5"/>
      <x:c r="BW311" s="5"/>
      <x:c r="BX311" s="5"/>
      <x:c r="BY311" s="5"/>
      <x:c r="BZ311" s="5"/>
      <x:c r="CA311" s="5"/>
      <x:c r="CB311" s="5"/>
      <x:c r="CC311" s="5"/>
      <x:c r="CD311" s="5"/>
      <x:c r="CE311" s="5"/>
      <x:c r="CF311" s="5"/>
      <x:c r="CG311" s="5"/>
      <x:c r="CH311" s="5"/>
      <x:c r="CI311" s="5"/>
      <x:c r="CJ311" s="5"/>
      <x:c r="CK311" s="5"/>
      <x:c r="CL311" s="5"/>
      <x:c r="CM311" s="5"/>
      <x:c r="CN311" s="5"/>
      <x:c r="CO311" s="5"/>
      <x:c r="CP311" s="5"/>
      <x:c r="CQ311" s="5"/>
      <x:c r="CR311" s="5"/>
      <x:c r="CS311" s="5"/>
      <x:c r="CT311" s="5"/>
      <x:c r="CU311" s="5"/>
      <x:c r="CV311" s="5"/>
      <x:c r="CW311" s="5"/>
      <x:c r="CX311" s="5"/>
      <x:c r="CY311" s="5"/>
      <x:c r="CZ311" s="5"/>
      <x:c r="DA311" s="5"/>
      <x:c r="DB311" s="5"/>
      <x:c r="DC311" s="5"/>
      <x:c r="DD311" s="5"/>
      <x:c r="DE311" s="5"/>
      <x:c r="DF311" s="5"/>
      <x:c r="DG311" s="5"/>
      <x:c r="DH311" s="5"/>
      <x:c r="DI311" s="5"/>
      <x:c r="DJ311" s="5"/>
      <x:c r="DK311" s="5"/>
      <x:c r="DL311" s="5"/>
      <x:c r="DM311" s="5"/>
    </x:row>
    <x:row r="312">
      <x:c r="A312" s="5" t="n">
        <x:v>307</x:v>
      </x:c>
      <x:c r="B312" s="5" t="str">
        <x:v>3-（环戊基）丙酸乙酯</x:v>
      </x:c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  <x:c r="AQ312" s="5" t="n">
        <x:v>0.76</x:v>
      </x:c>
      <x:c r="AR312" s="5"/>
      <x:c r="AS312" s="5"/>
      <x:c r="AT312" s="5"/>
      <x:c r="AU312" s="5"/>
      <x:c r="AV312" s="5"/>
      <x:c r="AW312" s="5"/>
      <x:c r="AX312" s="5"/>
      <x:c r="AY312" s="5"/>
      <x:c r="AZ312" s="5"/>
      <x:c r="BA312" s="5"/>
      <x:c r="BB312" s="5"/>
      <x:c r="BC312" s="5"/>
      <x:c r="BD312" s="5"/>
      <x:c r="BE312" s="5"/>
      <x:c r="BF312" s="5"/>
      <x:c r="BG312" s="5"/>
      <x:c r="BH312" s="5"/>
      <x:c r="BI312" s="5"/>
      <x:c r="BJ312" s="5"/>
      <x:c r="BK312" s="5"/>
      <x:c r="BL312" s="5"/>
      <x:c r="BM312" s="5"/>
      <x:c r="BN312" s="5"/>
      <x:c r="BO312" s="5"/>
      <x:c r="BP312" s="5"/>
      <x:c r="BQ312" s="5"/>
      <x:c r="BR312" s="5"/>
      <x:c r="BS312" s="5"/>
      <x:c r="BT312" s="5"/>
      <x:c r="BU312" s="5"/>
      <x:c r="BV312" s="5"/>
      <x:c r="BW312" s="5"/>
      <x:c r="BX312" s="5"/>
      <x:c r="BY312" s="5"/>
      <x:c r="BZ312" s="5"/>
      <x:c r="CA312" s="5"/>
      <x:c r="CB312" s="5"/>
      <x:c r="CC312" s="5"/>
      <x:c r="CD312" s="5"/>
      <x:c r="CE312" s="5"/>
      <x:c r="CF312" s="5"/>
      <x:c r="CG312" s="5"/>
      <x:c r="CH312" s="5"/>
      <x:c r="CI312" s="5"/>
      <x:c r="CJ312" s="5"/>
      <x:c r="CK312" s="5"/>
      <x:c r="CL312" s="5"/>
      <x:c r="CM312" s="5"/>
      <x:c r="CN312" s="5"/>
      <x:c r="CO312" s="5"/>
      <x:c r="CP312" s="5"/>
      <x:c r="CQ312" s="5"/>
      <x:c r="CR312" s="5"/>
      <x:c r="CS312" s="5"/>
      <x:c r="CT312" s="5"/>
      <x:c r="CU312" s="5"/>
      <x:c r="CV312" s="5"/>
      <x:c r="CW312" s="5"/>
      <x:c r="CX312" s="5"/>
      <x:c r="CY312" s="5"/>
      <x:c r="CZ312" s="5"/>
      <x:c r="DA312" s="5"/>
      <x:c r="DB312" s="5"/>
      <x:c r="DC312" s="5"/>
      <x:c r="DD312" s="5"/>
      <x:c r="DE312" s="5"/>
      <x:c r="DF312" s="5"/>
      <x:c r="DG312" s="5"/>
      <x:c r="DH312" s="5"/>
      <x:c r="DI312" s="5"/>
      <x:c r="DJ312" s="5"/>
      <x:c r="DK312" s="5"/>
      <x:c r="DL312" s="5"/>
      <x:c r="DM312" s="5"/>
    </x:row>
    <x:row r="313">
      <x:c r="A313" s="5" t="n">
        <x:v>308</x:v>
      </x:c>
      <x:c r="B313" s="5" t="str">
        <x:v>3－羟基－2－丁酮</x:v>
      </x:c>
      <x:c r="C313" s="5"/>
      <x:c r="D313" s="5" t="n">
        <x:v>259</x:v>
      </x:c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  <x:c r="AQ313" s="5"/>
      <x:c r="AR313" s="5"/>
      <x:c r="AS313" s="5"/>
      <x:c r="AT313" s="5"/>
      <x:c r="AU313" s="5"/>
      <x:c r="AV313" s="5"/>
      <x:c r="AW313" s="5"/>
      <x:c r="AX313" s="5"/>
      <x:c r="AY313" s="5"/>
      <x:c r="AZ313" s="5"/>
      <x:c r="BA313" s="5"/>
      <x:c r="BB313" s="5"/>
      <x:c r="BC313" s="5"/>
      <x:c r="BD313" s="5"/>
      <x:c r="BE313" s="5"/>
      <x:c r="BF313" s="5"/>
      <x:c r="BG313" s="5"/>
      <x:c r="BH313" s="5"/>
      <x:c r="BI313" s="5"/>
      <x:c r="BJ313" s="5"/>
      <x:c r="BK313" s="5"/>
      <x:c r="BL313" s="5"/>
      <x:c r="BM313" s="5"/>
      <x:c r="BN313" s="5"/>
      <x:c r="BO313" s="5"/>
      <x:c r="BP313" s="5"/>
      <x:c r="BQ313" s="5" t="n">
        <x:v>29900</x:v>
      </x:c>
      <x:c r="BR313" s="5" t="n">
        <x:v>38600</x:v>
      </x:c>
      <x:c r="BS313" s="5" t="n">
        <x:v>17900</x:v>
      </x:c>
      <x:c r="BT313" s="5" t="n">
        <x:v>13500</x:v>
      </x:c>
      <x:c r="BU313" s="5" t="n">
        <x:v>29500</x:v>
      </x:c>
      <x:c r="BV313" s="5" t="n">
        <x:v>257200</x:v>
      </x:c>
      <x:c r="BW313" s="5" t="n">
        <x:v>142300</x:v>
      </x:c>
      <x:c r="BX313" s="5" t="n">
        <x:v>39600</x:v>
      </x:c>
      <x:c r="BY313" s="5" t="n">
        <x:v>142300</x:v>
      </x:c>
      <x:c r="BZ313" s="5"/>
      <x:c r="CA313" s="5"/>
      <x:c r="CB313" s="5"/>
      <x:c r="CC313" s="5"/>
      <x:c r="CD313" s="5"/>
      <x:c r="CE313" s="5"/>
      <x:c r="CF313" s="5"/>
      <x:c r="CG313" s="5"/>
      <x:c r="CH313" s="5"/>
      <x:c r="CI313" s="5"/>
      <x:c r="CJ313" s="5"/>
      <x:c r="CK313" s="5"/>
      <x:c r="CL313" s="5"/>
      <x:c r="CM313" s="5"/>
      <x:c r="CN313" s="5"/>
      <x:c r="CO313" s="5"/>
      <x:c r="CP313" s="5"/>
      <x:c r="CQ313" s="5"/>
      <x:c r="CR313" s="5"/>
      <x:c r="CS313" s="5"/>
      <x:c r="CT313" s="5"/>
      <x:c r="CU313" s="5"/>
      <x:c r="CV313" s="5"/>
      <x:c r="CW313" s="5"/>
      <x:c r="CX313" s="5"/>
      <x:c r="CY313" s="5"/>
      <x:c r="CZ313" s="5"/>
      <x:c r="DA313" s="5"/>
      <x:c r="DB313" s="5"/>
      <x:c r="DC313" s="5"/>
      <x:c r="DD313" s="5"/>
      <x:c r="DE313" s="5"/>
      <x:c r="DF313" s="5"/>
      <x:c r="DG313" s="5"/>
      <x:c r="DH313" s="5"/>
      <x:c r="DI313" s="5"/>
      <x:c r="DJ313" s="5"/>
      <x:c r="DK313" s="5"/>
      <x:c r="DL313" s="5"/>
      <x:c r="DM313" s="5"/>
    </x:row>
    <x:row r="314">
      <x:c r="A314" s="5" t="n">
        <x:v>309</x:v>
      </x:c>
      <x:c r="B314" s="5" t="str">
        <x:v>4-乙基愈创木酚（μg·L-1）</x:v>
      </x:c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  <x:c r="AQ314" s="5"/>
      <x:c r="AR314" s="5"/>
      <x:c r="AS314" s="5"/>
      <x:c r="AT314" s="5"/>
      <x:c r="AU314" s="5"/>
      <x:c r="AV314" s="5"/>
      <x:c r="AW314" s="5"/>
      <x:c r="AX314" s="5"/>
      <x:c r="AY314" s="5"/>
      <x:c r="AZ314" s="5"/>
      <x:c r="BA314" s="5"/>
      <x:c r="BB314" s="5"/>
      <x:c r="BC314" s="5"/>
      <x:c r="BD314" s="5"/>
      <x:c r="BE314" s="5"/>
      <x:c r="BF314" s="5"/>
      <x:c r="BG314" s="5"/>
      <x:c r="BH314" s="5"/>
      <x:c r="BI314" s="5"/>
      <x:c r="BJ314" s="5"/>
      <x:c r="BK314" s="5"/>
      <x:c r="BL314" s="5" t="n">
        <x:v>1041.34</x:v>
      </x:c>
      <x:c r="BM314" s="5" t="n">
        <x:v>296.15</x:v>
      </x:c>
      <x:c r="BN314" s="5" t="n">
        <x:v>241.6</x:v>
      </x:c>
      <x:c r="BO314" s="5" t="n">
        <x:v>89.5</x:v>
      </x:c>
      <x:c r="BP314" s="5"/>
      <x:c r="BQ314" s="5"/>
      <x:c r="BR314" s="5"/>
      <x:c r="BS314" s="5"/>
      <x:c r="BT314" s="5"/>
      <x:c r="BU314" s="5"/>
      <x:c r="BV314" s="5"/>
      <x:c r="BW314" s="5"/>
      <x:c r="BX314" s="5"/>
      <x:c r="BY314" s="5"/>
      <x:c r="BZ314" s="5"/>
      <x:c r="CA314" s="5"/>
      <x:c r="CB314" s="5"/>
      <x:c r="CC314" s="5"/>
      <x:c r="CD314" s="5"/>
      <x:c r="CE314" s="5"/>
      <x:c r="CF314" s="5"/>
      <x:c r="CG314" s="5"/>
      <x:c r="CH314" s="5"/>
      <x:c r="CI314" s="5"/>
      <x:c r="CJ314" s="5"/>
      <x:c r="CK314" s="5"/>
      <x:c r="CL314" s="5"/>
      <x:c r="CM314" s="5"/>
      <x:c r="CN314" s="5"/>
      <x:c r="CO314" s="5"/>
      <x:c r="CP314" s="5"/>
      <x:c r="CQ314" s="5"/>
      <x:c r="CR314" s="5"/>
      <x:c r="CS314" s="5"/>
      <x:c r="CT314" s="5"/>
      <x:c r="CU314" s="5"/>
      <x:c r="CV314" s="5"/>
      <x:c r="CW314" s="5"/>
      <x:c r="CX314" s="5"/>
      <x:c r="CY314" s="5"/>
      <x:c r="CZ314" s="5"/>
      <x:c r="DA314" s="5"/>
      <x:c r="DB314" s="5"/>
      <x:c r="DC314" s="5"/>
      <x:c r="DD314" s="5"/>
      <x:c r="DE314" s="5"/>
      <x:c r="DF314" s="5"/>
      <x:c r="DG314" s="5"/>
      <x:c r="DH314" s="5"/>
      <x:c r="DI314" s="5"/>
      <x:c r="DJ314" s="5"/>
      <x:c r="DK314" s="5"/>
      <x:c r="DL314" s="5"/>
      <x:c r="DM314" s="5"/>
    </x:row>
    <x:row r="315">
      <x:c r="A315" s="5" t="n">
        <x:v>310</x:v>
      </x:c>
      <x:c r="B315" s="5" t="str">
        <x:v>4-乙基苯酚4-ethylphenol</x:v>
      </x:c>
      <x:c r="C315" s="5"/>
      <x:c r="D315" s="5" t="n">
        <x:v>123</x:v>
      </x:c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  <x:c r="AQ315" s="5"/>
      <x:c r="AR315" s="5"/>
      <x:c r="AS315" s="5"/>
      <x:c r="AT315" s="5"/>
      <x:c r="AU315" s="5"/>
      <x:c r="AV315" s="5"/>
      <x:c r="AW315" s="5"/>
      <x:c r="AX315" s="5"/>
      <x:c r="AY315" s="5"/>
      <x:c r="AZ315" s="5"/>
      <x:c r="BA315" s="5"/>
      <x:c r="BB315" s="5"/>
      <x:c r="BC315" s="5"/>
      <x:c r="BD315" s="5"/>
      <x:c r="BE315" s="5"/>
      <x:c r="BF315" s="5"/>
      <x:c r="BG315" s="5"/>
      <x:c r="BH315" s="5"/>
      <x:c r="BI315" s="5"/>
      <x:c r="BJ315" s="5"/>
      <x:c r="BK315" s="5"/>
      <x:c r="BL315" s="5"/>
      <x:c r="BM315" s="5"/>
      <x:c r="BN315" s="5"/>
      <x:c r="BO315" s="5"/>
      <x:c r="BP315" s="5"/>
      <x:c r="BQ315" s="5"/>
      <x:c r="BR315" s="5"/>
      <x:c r="BS315" s="5"/>
      <x:c r="BT315" s="5"/>
      <x:c r="BU315" s="5"/>
      <x:c r="BV315" s="5"/>
      <x:c r="BW315" s="5"/>
      <x:c r="BX315" s="5"/>
      <x:c r="BY315" s="5"/>
      <x:c r="BZ315" s="5"/>
      <x:c r="CA315" s="5"/>
      <x:c r="CB315" s="5"/>
      <x:c r="CC315" s="5"/>
      <x:c r="CD315" s="5"/>
      <x:c r="CE315" s="5"/>
      <x:c r="CF315" s="5"/>
      <x:c r="CG315" s="5"/>
      <x:c r="CH315" s="5"/>
      <x:c r="CI315" s="5"/>
      <x:c r="CJ315" s="5"/>
      <x:c r="CK315" s="5"/>
      <x:c r="CL315" s="5"/>
      <x:c r="CM315" s="5"/>
      <x:c r="CN315" s="5"/>
      <x:c r="CO315" s="5"/>
      <x:c r="CP315" s="5"/>
      <x:c r="CQ315" s="5"/>
      <x:c r="CR315" s="5"/>
      <x:c r="CS315" s="5"/>
      <x:c r="CT315" s="5"/>
      <x:c r="CU315" s="5"/>
      <x:c r="CV315" s="5"/>
      <x:c r="CW315" s="5"/>
      <x:c r="CX315" s="5"/>
      <x:c r="CY315" s="5"/>
      <x:c r="CZ315" s="5"/>
      <x:c r="DA315" s="5"/>
      <x:c r="DB315" s="5"/>
      <x:c r="DC315" s="5"/>
      <x:c r="DD315" s="5"/>
      <x:c r="DE315" s="5"/>
      <x:c r="DF315" s="5"/>
      <x:c r="DG315" s="5"/>
      <x:c r="DH315" s="5"/>
      <x:c r="DI315" s="5"/>
      <x:c r="DJ315" s="5"/>
      <x:c r="DK315" s="5"/>
      <x:c r="DL315" s="5"/>
      <x:c r="DM315" s="5"/>
    </x:row>
    <x:row r="316">
      <x:c r="A316" s="5" t="n">
        <x:v>311</x:v>
      </x:c>
      <x:c r="B316" s="5" t="str">
        <x:v>4-乙基苯酚（μg·L-1）</x:v>
      </x:c>
      <x:c r="C316" s="5"/>
      <x:c r="D316" s="5" t="n">
        <x:v>123</x:v>
      </x:c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  <x:c r="AQ316" s="5"/>
      <x:c r="AR316" s="5"/>
      <x:c r="AS316" s="5"/>
      <x:c r="AT316" s="5"/>
      <x:c r="AU316" s="5"/>
      <x:c r="AV316" s="5"/>
      <x:c r="AW316" s="5"/>
      <x:c r="AX316" s="5"/>
      <x:c r="AY316" s="5"/>
      <x:c r="AZ316" s="5"/>
      <x:c r="BA316" s="5"/>
      <x:c r="BB316" s="5"/>
      <x:c r="BC316" s="5"/>
      <x:c r="BD316" s="5"/>
      <x:c r="BE316" s="5"/>
      <x:c r="BF316" s="5"/>
      <x:c r="BG316" s="5"/>
      <x:c r="BH316" s="5"/>
      <x:c r="BI316" s="5"/>
      <x:c r="BJ316" s="5"/>
      <x:c r="BK316" s="5"/>
      <x:c r="BL316" s="5" t="n">
        <x:v>886.72</x:v>
      </x:c>
      <x:c r="BM316" s="5" t="n">
        <x:v>693.38</x:v>
      </x:c>
      <x:c r="BN316" s="5"/>
      <x:c r="BO316" s="5"/>
      <x:c r="BP316" s="5"/>
      <x:c r="BQ316" s="5"/>
      <x:c r="BR316" s="5"/>
      <x:c r="BS316" s="5"/>
      <x:c r="BT316" s="5"/>
      <x:c r="BU316" s="5"/>
      <x:c r="BV316" s="5"/>
      <x:c r="BW316" s="5"/>
      <x:c r="BX316" s="5"/>
      <x:c r="BY316" s="5"/>
      <x:c r="BZ316" s="5"/>
      <x:c r="CA316" s="5"/>
      <x:c r="CB316" s="5"/>
      <x:c r="CC316" s="5"/>
      <x:c r="CD316" s="5"/>
      <x:c r="CE316" s="5"/>
      <x:c r="CF316" s="5"/>
      <x:c r="CG316" s="5"/>
      <x:c r="CH316" s="5"/>
      <x:c r="CI316" s="5"/>
      <x:c r="CJ316" s="5"/>
      <x:c r="CK316" s="5"/>
      <x:c r="CL316" s="5"/>
      <x:c r="CM316" s="5"/>
      <x:c r="CN316" s="5"/>
      <x:c r="CO316" s="5"/>
      <x:c r="CP316" s="5"/>
      <x:c r="CQ316" s="5"/>
      <x:c r="CR316" s="5"/>
      <x:c r="CS316" s="5"/>
      <x:c r="CT316" s="5"/>
      <x:c r="CU316" s="5"/>
      <x:c r="CV316" s="5"/>
      <x:c r="CW316" s="5"/>
      <x:c r="CX316" s="5"/>
      <x:c r="CY316" s="5"/>
      <x:c r="CZ316" s="5"/>
      <x:c r="DA316" s="5"/>
      <x:c r="DB316" s="5"/>
      <x:c r="DC316" s="5"/>
      <x:c r="DD316" s="5"/>
      <x:c r="DE316" s="5"/>
      <x:c r="DF316" s="5"/>
      <x:c r="DG316" s="5"/>
      <x:c r="DH316" s="5"/>
      <x:c r="DI316" s="5"/>
      <x:c r="DJ316" s="5"/>
      <x:c r="DK316" s="5"/>
      <x:c r="DL316" s="5"/>
      <x:c r="DM316" s="5"/>
    </x:row>
    <x:row r="317">
      <x:c r="A317" s="5" t="n">
        <x:v>312</x:v>
      </x:c>
      <x:c r="B317" s="5" t="str">
        <x:v>4-甲基愈创木酚（μg·L-1）</x:v>
      </x:c>
      <x:c r="C317" s="5"/>
      <x:c r="D317" s="5" t="n">
        <x:v>315</x:v>
      </x:c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  <x:c r="AQ317" s="5"/>
      <x:c r="AR317" s="5"/>
      <x:c r="AS317" s="5"/>
      <x:c r="AT317" s="5"/>
      <x:c r="AU317" s="5"/>
      <x:c r="AV317" s="5"/>
      <x:c r="AW317" s="5"/>
      <x:c r="AX317" s="5"/>
      <x:c r="AY317" s="5"/>
      <x:c r="AZ317" s="5"/>
      <x:c r="BA317" s="5"/>
      <x:c r="BB317" s="5"/>
      <x:c r="BC317" s="5"/>
      <x:c r="BD317" s="5"/>
      <x:c r="BE317" s="5"/>
      <x:c r="BF317" s="5"/>
      <x:c r="BG317" s="5"/>
      <x:c r="BH317" s="5"/>
      <x:c r="BI317" s="5"/>
      <x:c r="BJ317" s="5"/>
      <x:c r="BK317" s="5"/>
      <x:c r="BL317" s="5"/>
      <x:c r="BM317" s="5"/>
      <x:c r="BN317" s="5" t="n">
        <x:v>504.34</x:v>
      </x:c>
      <x:c r="BO317" s="5" t="n">
        <x:v>431.78</x:v>
      </x:c>
      <x:c r="BP317" s="5"/>
      <x:c r="BQ317" s="5"/>
      <x:c r="BR317" s="5"/>
      <x:c r="BS317" s="5"/>
      <x:c r="BT317" s="5"/>
      <x:c r="BU317" s="5"/>
      <x:c r="BV317" s="5"/>
      <x:c r="BW317" s="5"/>
      <x:c r="BX317" s="5"/>
      <x:c r="BY317" s="5"/>
      <x:c r="BZ317" s="5"/>
      <x:c r="CA317" s="5"/>
      <x:c r="CB317" s="5"/>
      <x:c r="CC317" s="5"/>
      <x:c r="CD317" s="5"/>
      <x:c r="CE317" s="5"/>
      <x:c r="CF317" s="5"/>
      <x:c r="CG317" s="5"/>
      <x:c r="CH317" s="5"/>
      <x:c r="CI317" s="5"/>
      <x:c r="CJ317" s="5"/>
      <x:c r="CK317" s="5"/>
      <x:c r="CL317" s="5"/>
      <x:c r="CM317" s="5"/>
      <x:c r="CN317" s="5"/>
      <x:c r="CO317" s="5"/>
      <x:c r="CP317" s="5"/>
      <x:c r="CQ317" s="5"/>
      <x:c r="CR317" s="5"/>
      <x:c r="CS317" s="5"/>
      <x:c r="CT317" s="5"/>
      <x:c r="CU317" s="5"/>
      <x:c r="CV317" s="5"/>
      <x:c r="CW317" s="5"/>
      <x:c r="CX317" s="5"/>
      <x:c r="CY317" s="5"/>
      <x:c r="CZ317" s="5"/>
      <x:c r="DA317" s="5"/>
      <x:c r="DB317" s="5"/>
      <x:c r="DC317" s="5"/>
      <x:c r="DD317" s="5"/>
      <x:c r="DE317" s="5"/>
      <x:c r="DF317" s="5"/>
      <x:c r="DG317" s="5"/>
      <x:c r="DH317" s="5"/>
      <x:c r="DI317" s="5"/>
      <x:c r="DJ317" s="5"/>
      <x:c r="DK317" s="5"/>
      <x:c r="DL317" s="5"/>
      <x:c r="DM317" s="5"/>
    </x:row>
    <x:row r="318">
      <x:c r="A318" s="5" t="n">
        <x:v>313</x:v>
      </x:c>
      <x:c r="B318" s="5" t="str">
        <x:v>4-甲基戊酸（μg·L-1）</x:v>
      </x:c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  <x:c r="AC318" s="5"/>
      <x:c r="AD318" s="5"/>
      <x:c r="AE318" s="5"/>
      <x:c r="AF318" s="5"/>
      <x:c r="AG318" s="5"/>
      <x:c r="AH318" s="5"/>
      <x:c r="AI318" s="5"/>
      <x:c r="AJ318" s="5"/>
      <x:c r="AK318" s="5"/>
      <x:c r="AL318" s="5"/>
      <x:c r="AM318" s="5"/>
      <x:c r="AN318" s="5"/>
      <x:c r="AO318" s="5"/>
      <x:c r="AP318" s="5"/>
      <x:c r="AQ318" s="5"/>
      <x:c r="AR318" s="5"/>
      <x:c r="AS318" s="5"/>
      <x:c r="AT318" s="5"/>
      <x:c r="AU318" s="5"/>
      <x:c r="AV318" s="5"/>
      <x:c r="AW318" s="5"/>
      <x:c r="AX318" s="5"/>
      <x:c r="AY318" s="5"/>
      <x:c r="AZ318" s="5"/>
      <x:c r="BA318" s="5"/>
      <x:c r="BB318" s="5"/>
      <x:c r="BC318" s="5"/>
      <x:c r="BD318" s="5"/>
      <x:c r="BE318" s="5"/>
      <x:c r="BF318" s="5"/>
      <x:c r="BG318" s="5"/>
      <x:c r="BH318" s="5"/>
      <x:c r="BI318" s="5"/>
      <x:c r="BJ318" s="5"/>
      <x:c r="BK318" s="5"/>
      <x:c r="BL318" s="5"/>
      <x:c r="BM318" s="5"/>
      <x:c r="BN318" s="5" t="n">
        <x:v>218.71</x:v>
      </x:c>
      <x:c r="BO318" s="5" t="n">
        <x:v>697.43</x:v>
      </x:c>
      <x:c r="BP318" s="5"/>
      <x:c r="BQ318" s="5"/>
      <x:c r="BR318" s="5"/>
      <x:c r="BS318" s="5"/>
      <x:c r="BT318" s="5"/>
      <x:c r="BU318" s="5"/>
      <x:c r="BV318" s="5"/>
      <x:c r="BW318" s="5"/>
      <x:c r="BX318" s="5"/>
      <x:c r="BY318" s="5"/>
      <x:c r="BZ318" s="5"/>
      <x:c r="CA318" s="5"/>
      <x:c r="CB318" s="5"/>
      <x:c r="CC318" s="5"/>
      <x:c r="CD318" s="5"/>
      <x:c r="CE318" s="5"/>
      <x:c r="CF318" s="5"/>
      <x:c r="CG318" s="5"/>
      <x:c r="CH318" s="5"/>
      <x:c r="CI318" s="5"/>
      <x:c r="CJ318" s="5"/>
      <x:c r="CK318" s="5"/>
      <x:c r="CL318" s="5"/>
      <x:c r="CM318" s="5"/>
      <x:c r="CN318" s="5"/>
      <x:c r="CO318" s="5"/>
      <x:c r="CP318" s="5"/>
      <x:c r="CQ318" s="5"/>
      <x:c r="CR318" s="5"/>
      <x:c r="CS318" s="5"/>
      <x:c r="CT318" s="5"/>
      <x:c r="CU318" s="5"/>
      <x:c r="CV318" s="5"/>
      <x:c r="CW318" s="5"/>
      <x:c r="CX318" s="5"/>
      <x:c r="CY318" s="5"/>
      <x:c r="CZ318" s="5"/>
      <x:c r="DA318" s="5"/>
      <x:c r="DB318" s="5"/>
      <x:c r="DC318" s="5"/>
      <x:c r="DD318" s="5"/>
      <x:c r="DE318" s="5"/>
      <x:c r="DF318" s="5"/>
      <x:c r="DG318" s="5"/>
      <x:c r="DH318" s="5"/>
      <x:c r="DI318" s="5"/>
      <x:c r="DJ318" s="5"/>
      <x:c r="DK318" s="5"/>
      <x:c r="DL318" s="5"/>
      <x:c r="DM318" s="5"/>
    </x:row>
    <x:row r="319">
      <x:c r="A319" s="5" t="n">
        <x:v>314</x:v>
      </x:c>
      <x:c r="B319" s="5" t="str">
        <x:v>4-甲基苯酚4-methylphenol</x:v>
      </x:c>
      <x:c r="C319" s="5"/>
      <x:c r="D319" s="5" t="n">
        <x:v>167</x:v>
      </x:c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  <x:c r="AQ319" s="5"/>
      <x:c r="AR319" s="5"/>
      <x:c r="AS319" s="5"/>
      <x:c r="AT319" s="5"/>
      <x:c r="AU319" s="5"/>
      <x:c r="AV319" s="5"/>
      <x:c r="AW319" s="5"/>
      <x:c r="AX319" s="5"/>
      <x:c r="AY319" s="5"/>
      <x:c r="AZ319" s="5"/>
      <x:c r="BA319" s="5"/>
      <x:c r="BB319" s="5"/>
      <x:c r="BC319" s="5"/>
      <x:c r="BD319" s="5"/>
      <x:c r="BE319" s="5"/>
      <x:c r="BF319" s="5"/>
      <x:c r="BG319" s="5"/>
      <x:c r="BH319" s="5"/>
      <x:c r="BI319" s="5"/>
      <x:c r="BJ319" s="5"/>
      <x:c r="BK319" s="5"/>
      <x:c r="BL319" s="5"/>
      <x:c r="BM319" s="5"/>
      <x:c r="BN319" s="5"/>
      <x:c r="BO319" s="5"/>
      <x:c r="BP319" s="5"/>
      <x:c r="BQ319" s="5"/>
      <x:c r="BR319" s="5"/>
      <x:c r="BS319" s="5"/>
      <x:c r="BT319" s="5"/>
      <x:c r="BU319" s="5"/>
      <x:c r="BV319" s="5"/>
      <x:c r="BW319" s="5"/>
      <x:c r="BX319" s="5"/>
      <x:c r="BY319" s="5"/>
      <x:c r="BZ319" s="5"/>
      <x:c r="CA319" s="5"/>
      <x:c r="CB319" s="5"/>
      <x:c r="CC319" s="5"/>
      <x:c r="CD319" s="5"/>
      <x:c r="CE319" s="5"/>
      <x:c r="CF319" s="5"/>
      <x:c r="CG319" s="5"/>
      <x:c r="CH319" s="5"/>
      <x:c r="CI319" s="5"/>
      <x:c r="CJ319" s="5"/>
      <x:c r="CK319" s="5"/>
      <x:c r="CL319" s="5"/>
      <x:c r="CM319" s="5"/>
      <x:c r="CN319" s="5"/>
      <x:c r="CO319" s="5"/>
      <x:c r="CP319" s="5"/>
      <x:c r="CQ319" s="5"/>
      <x:c r="CR319" s="5"/>
      <x:c r="CS319" s="5"/>
      <x:c r="CT319" s="5"/>
      <x:c r="CU319" s="5"/>
      <x:c r="CV319" s="5"/>
      <x:c r="CW319" s="5"/>
      <x:c r="CX319" s="5"/>
      <x:c r="CY319" s="5"/>
      <x:c r="CZ319" s="5"/>
      <x:c r="DA319" s="5"/>
      <x:c r="DB319" s="5"/>
      <x:c r="DC319" s="5"/>
      <x:c r="DD319" s="5"/>
      <x:c r="DE319" s="5"/>
      <x:c r="DF319" s="5"/>
      <x:c r="DG319" s="5"/>
      <x:c r="DH319" s="5"/>
      <x:c r="DI319" s="5"/>
      <x:c r="DJ319" s="5"/>
      <x:c r="DK319" s="5"/>
      <x:c r="DL319" s="5"/>
      <x:c r="DM319" s="5"/>
    </x:row>
    <x:row r="320">
      <x:c r="A320" s="5" t="n">
        <x:v>315</x:v>
      </x:c>
      <x:c r="B320" s="5" t="str">
        <x:v>9-十六碳烯酸乙酯</x:v>
      </x:c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  <x:c r="AC320" s="5"/>
      <x:c r="AD320" s="5"/>
      <x:c r="AE320" s="5"/>
      <x:c r="AF320" s="5"/>
      <x:c r="AG320" s="5"/>
      <x:c r="AH320" s="5"/>
      <x:c r="AI320" s="5"/>
      <x:c r="AJ320" s="5"/>
      <x:c r="AK320" s="5"/>
      <x:c r="AL320" s="5"/>
      <x:c r="AM320" s="5"/>
      <x:c r="AN320" s="5"/>
      <x:c r="AO320" s="5"/>
      <x:c r="AP320" s="5"/>
      <x:c r="AQ320" s="5"/>
      <x:c r="AR320" s="5"/>
      <x:c r="AS320" s="5"/>
      <x:c r="AT320" s="5"/>
      <x:c r="AU320" s="5"/>
      <x:c r="AV320" s="5"/>
      <x:c r="AW320" s="5"/>
      <x:c r="AX320" s="5"/>
      <x:c r="AY320" s="5"/>
      <x:c r="AZ320" s="5"/>
      <x:c r="BA320" s="5"/>
      <x:c r="BB320" s="5"/>
      <x:c r="BC320" s="5"/>
      <x:c r="BD320" s="5"/>
      <x:c r="BE320" s="5"/>
      <x:c r="BF320" s="5"/>
      <x:c r="BG320" s="5"/>
      <x:c r="BH320" s="5"/>
      <x:c r="BI320" s="5"/>
      <x:c r="BJ320" s="5"/>
      <x:c r="BK320" s="5"/>
      <x:c r="BL320" s="5"/>
      <x:c r="BM320" s="5"/>
      <x:c r="BN320" s="5"/>
      <x:c r="BO320" s="5"/>
      <x:c r="BP320" s="5"/>
      <x:c r="BQ320" s="5"/>
      <x:c r="BR320" s="5"/>
      <x:c r="BS320" s="5"/>
      <x:c r="BT320" s="5"/>
      <x:c r="BU320" s="5"/>
      <x:c r="BV320" s="5"/>
      <x:c r="BW320" s="5"/>
      <x:c r="BX320" s="5"/>
      <x:c r="BY320" s="5"/>
      <x:c r="BZ320" s="5"/>
      <x:c r="CA320" s="5"/>
      <x:c r="CB320" s="5"/>
      <x:c r="CC320" s="5"/>
      <x:c r="CD320" s="5"/>
      <x:c r="CE320" s="5"/>
      <x:c r="CF320" s="5"/>
      <x:c r="CG320" s="5"/>
      <x:c r="CH320" s="5"/>
      <x:c r="CI320" s="5"/>
      <x:c r="CJ320" s="5"/>
      <x:c r="CK320" s="5"/>
      <x:c r="CL320" s="5"/>
      <x:c r="CM320" s="5"/>
      <x:c r="CN320" s="5"/>
      <x:c r="CO320" s="5"/>
      <x:c r="CP320" s="5"/>
      <x:c r="CQ320" s="5"/>
      <x:c r="CR320" s="5"/>
      <x:c r="CS320" s="5"/>
      <x:c r="CT320" s="5" t="n">
        <x:v>109.9</x:v>
      </x:c>
      <x:c r="CU320" s="5" t="n">
        <x:v>112.09</x:v>
      </x:c>
      <x:c r="CV320" s="5" t="n">
        <x:v>89.67</x:v>
      </x:c>
      <x:c r="CW320" s="5" t="n">
        <x:v>70.05</x:v>
      </x:c>
      <x:c r="CX320" s="5"/>
      <x:c r="CY320" s="5"/>
      <x:c r="CZ320" s="5"/>
      <x:c r="DA320" s="5"/>
      <x:c r="DB320" s="5"/>
      <x:c r="DC320" s="5"/>
      <x:c r="DD320" s="5"/>
      <x:c r="DE320" s="5"/>
      <x:c r="DF320" s="5"/>
      <x:c r="DG320" s="5"/>
      <x:c r="DH320" s="5"/>
      <x:c r="DI320" s="5"/>
      <x:c r="DJ320" s="5"/>
      <x:c r="DK320" s="5"/>
      <x:c r="DL320" s="5"/>
      <x:c r="DM320" s="5"/>
    </x:row>
    <x:row r="321">
      <x:c r="A321" s="5" t="n">
        <x:v>316</x:v>
      </x:c>
      <x:c r="B321" s="5"/>
      <x:c r="C321" s="5"/>
      <x:c r="D321" s="5" t="n">
        <x:v>2090</x:v>
      </x:c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  <x:c r="AQ321" s="5"/>
      <x:c r="AR321" s="5"/>
      <x:c r="AS321" s="5"/>
      <x:c r="AT321" s="5"/>
      <x:c r="AU321" s="5"/>
      <x:c r="AV321" s="5"/>
      <x:c r="AW321" s="5"/>
      <x:c r="AX321" s="5"/>
      <x:c r="AY321" s="5"/>
      <x:c r="AZ321" s="5"/>
      <x:c r="BA321" s="5"/>
      <x:c r="BB321" s="5"/>
      <x:c r="BC321" s="5"/>
      <x:c r="BD321" s="5"/>
      <x:c r="BE321" s="5"/>
      <x:c r="BF321" s="5"/>
      <x:c r="BG321" s="5"/>
      <x:c r="BH321" s="5"/>
      <x:c r="BI321" s="5"/>
      <x:c r="BJ321" s="5"/>
      <x:c r="BK321" s="5"/>
      <x:c r="BL321" s="5"/>
      <x:c r="BM321" s="5"/>
      <x:c r="BN321" s="5"/>
      <x:c r="BO321" s="5"/>
      <x:c r="BP321" s="5"/>
      <x:c r="BQ321" s="5"/>
      <x:c r="BR321" s="5"/>
      <x:c r="BS321" s="5"/>
      <x:c r="BT321" s="5"/>
      <x:c r="BU321" s="5"/>
      <x:c r="BV321" s="5"/>
      <x:c r="BW321" s="5"/>
      <x:c r="BX321" s="5"/>
      <x:c r="BY321" s="5"/>
      <x:c r="BZ321" s="5"/>
      <x:c r="CA321" s="5"/>
      <x:c r="CB321" s="5"/>
      <x:c r="CC321" s="5"/>
      <x:c r="CD321" s="5"/>
      <x:c r="CE321" s="5"/>
      <x:c r="CF321" s="5"/>
      <x:c r="CG321" s="5"/>
      <x:c r="CH321" s="5"/>
      <x:c r="CI321" s="5"/>
      <x:c r="CJ321" s="5"/>
      <x:c r="CK321" s="5"/>
      <x:c r="CL321" s="5"/>
      <x:c r="CM321" s="5"/>
      <x:c r="CN321" s="5"/>
      <x:c r="CO321" s="5"/>
      <x:c r="CP321" s="5"/>
      <x:c r="CQ321" s="5"/>
      <x:c r="CR321" s="5"/>
      <x:c r="CS321" s="5"/>
      <x:c r="CT321" s="5"/>
      <x:c r="CU321" s="5"/>
      <x:c r="CV321" s="5"/>
      <x:c r="CW321" s="5"/>
      <x:c r="CX321" s="5"/>
      <x:c r="CY321" s="5"/>
      <x:c r="CZ321" s="5"/>
      <x:c r="DA321" s="5"/>
      <x:c r="DB321" s="5"/>
      <x:c r="DC321" s="5"/>
      <x:c r="DD321" s="5"/>
      <x:c r="DE321" s="5"/>
      <x:c r="DF321" s="5"/>
      <x:c r="DG321" s="5"/>
      <x:c r="DH321" s="5"/>
      <x:c r="DI321" s="5"/>
      <x:c r="DJ321" s="5"/>
      <x:c r="DK321" s="5"/>
      <x:c r="DL321" s="5"/>
      <x:c r="DM321" s="5"/>
    </x:row>
    <x:row r="322">
      <x:c r="A322" s="5" t="n">
        <x:v>317</x:v>
      </x:c>
      <x:c r="B322" s="5"/>
      <x:c r="C322" s="5"/>
      <x:c r="D322" s="5" t="n">
        <x:v>259</x:v>
      </x:c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  <x:c r="AC322" s="5"/>
      <x:c r="AD322" s="5"/>
      <x:c r="AE322" s="5"/>
      <x:c r="AF322" s="5"/>
      <x:c r="AG322" s="5"/>
      <x:c r="AH322" s="5"/>
      <x:c r="AI322" s="5"/>
      <x:c r="AJ322" s="5"/>
      <x:c r="AK322" s="5"/>
      <x:c r="AL322" s="5"/>
      <x:c r="AM322" s="5"/>
      <x:c r="AN322" s="5"/>
      <x:c r="AO322" s="5"/>
      <x:c r="AP322" s="5"/>
      <x:c r="AQ322" s="5"/>
      <x:c r="AR322" s="5"/>
      <x:c r="AS322" s="5"/>
      <x:c r="AT322" s="5"/>
      <x:c r="AU322" s="5"/>
      <x:c r="AV322" s="5"/>
      <x:c r="AW322" s="5"/>
      <x:c r="AX322" s="5"/>
      <x:c r="AY322" s="5"/>
      <x:c r="AZ322" s="5"/>
      <x:c r="BA322" s="5"/>
      <x:c r="BB322" s="5"/>
      <x:c r="BC322" s="5"/>
      <x:c r="BD322" s="5"/>
      <x:c r="BE322" s="5"/>
      <x:c r="BF322" s="5"/>
      <x:c r="BG322" s="5"/>
      <x:c r="BH322" s="5"/>
      <x:c r="BI322" s="5"/>
      <x:c r="BJ322" s="5"/>
      <x:c r="BK322" s="5"/>
      <x:c r="BL322" s="5"/>
      <x:c r="BM322" s="5"/>
      <x:c r="BN322" s="5"/>
      <x:c r="BO322" s="5"/>
      <x:c r="BP322" s="5"/>
      <x:c r="BQ322" s="5"/>
      <x:c r="BR322" s="5"/>
      <x:c r="BS322" s="5"/>
      <x:c r="BT322" s="5"/>
      <x:c r="BU322" s="5"/>
      <x:c r="BV322" s="5"/>
      <x:c r="BW322" s="5"/>
      <x:c r="BX322" s="5"/>
      <x:c r="BY322" s="5"/>
      <x:c r="BZ322" s="5"/>
      <x:c r="CA322" s="5"/>
      <x:c r="CB322" s="5"/>
      <x:c r="CC322" s="5"/>
      <x:c r="CD322" s="5"/>
      <x:c r="CE322" s="5"/>
      <x:c r="CF322" s="5"/>
      <x:c r="CG322" s="5"/>
      <x:c r="CH322" s="5"/>
      <x:c r="CI322" s="5"/>
      <x:c r="CJ322" s="5"/>
      <x:c r="CK322" s="5"/>
      <x:c r="CL322" s="5"/>
      <x:c r="CM322" s="5"/>
      <x:c r="CN322" s="5"/>
      <x:c r="CO322" s="5"/>
      <x:c r="CP322" s="5"/>
      <x:c r="CQ322" s="5"/>
      <x:c r="CR322" s="5"/>
      <x:c r="CS322" s="5"/>
      <x:c r="CT322" s="5"/>
      <x:c r="CU322" s="5"/>
      <x:c r="CV322" s="5"/>
      <x:c r="CW322" s="5"/>
      <x:c r="CX322" s="5"/>
      <x:c r="CY322" s="5"/>
      <x:c r="CZ322" s="5"/>
      <x:c r="DA322" s="5"/>
      <x:c r="DB322" s="5"/>
      <x:c r="DC322" s="5"/>
      <x:c r="DD322" s="5"/>
      <x:c r="DE322" s="5"/>
      <x:c r="DF322" s="5"/>
      <x:c r="DG322" s="5"/>
      <x:c r="DH322" s="5"/>
      <x:c r="DI322" s="5"/>
      <x:c r="DJ322" s="5"/>
      <x:c r="DK322" s="5"/>
      <x:c r="DL322" s="5"/>
      <x:c r="DM322" s="5"/>
    </x:row>
    <x:row r="323">
      <x:c r="A323" s="5" t="n">
        <x:v>318</x:v>
      </x:c>
      <x:c r="B323" s="5"/>
      <x:c r="C323" s="5"/>
      <x:c r="D323" s="5"/>
      <x:c r="E323" s="5" t="n">
        <x:v>163</x:v>
      </x:c>
      <x:c r="F323" s="5" t="n">
        <x:v>1575</x:v>
      </x:c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  <x:c r="AQ323" s="5"/>
      <x:c r="AR323" s="5"/>
      <x:c r="AS323" s="5"/>
      <x:c r="AT323" s="5"/>
      <x:c r="AU323" s="5"/>
      <x:c r="AV323" s="5"/>
      <x:c r="AW323" s="5"/>
      <x:c r="AX323" s="5"/>
      <x:c r="AY323" s="5"/>
      <x:c r="AZ323" s="5"/>
      <x:c r="BA323" s="5"/>
      <x:c r="BB323" s="5"/>
      <x:c r="BC323" s="5"/>
      <x:c r="BD323" s="5"/>
      <x:c r="BE323" s="5"/>
      <x:c r="BF323" s="5"/>
      <x:c r="BG323" s="5"/>
      <x:c r="BH323" s="5"/>
      <x:c r="BI323" s="5"/>
      <x:c r="BJ323" s="5"/>
      <x:c r="BK323" s="5"/>
      <x:c r="BL323" s="5"/>
      <x:c r="BM323" s="5"/>
      <x:c r="BN323" s="5"/>
      <x:c r="BO323" s="5"/>
      <x:c r="BP323" s="5"/>
      <x:c r="BQ323" s="5"/>
      <x:c r="BR323" s="5"/>
      <x:c r="BS323" s="5"/>
      <x:c r="BT323" s="5"/>
      <x:c r="BU323" s="5"/>
      <x:c r="BV323" s="5"/>
      <x:c r="BW323" s="5"/>
      <x:c r="BX323" s="5"/>
      <x:c r="BY323" s="5"/>
      <x:c r="BZ323" s="5"/>
      <x:c r="CA323" s="5"/>
      <x:c r="CB323" s="5"/>
      <x:c r="CC323" s="5"/>
      <x:c r="CD323" s="5"/>
      <x:c r="CE323" s="5"/>
      <x:c r="CF323" s="5"/>
      <x:c r="CG323" s="5"/>
      <x:c r="CH323" s="5"/>
      <x:c r="CI323" s="5"/>
      <x:c r="CJ323" s="5"/>
      <x:c r="CK323" s="5"/>
      <x:c r="CL323" s="5"/>
      <x:c r="CM323" s="5"/>
      <x:c r="CN323" s="5"/>
      <x:c r="CO323" s="5"/>
      <x:c r="CP323" s="5"/>
      <x:c r="CQ323" s="5"/>
      <x:c r="CR323" s="5"/>
      <x:c r="CS323" s="5"/>
      <x:c r="CT323" s="5"/>
      <x:c r="CU323" s="5"/>
      <x:c r="CV323" s="5"/>
      <x:c r="CW323" s="5"/>
      <x:c r="CX323" s="5"/>
      <x:c r="CY323" s="5"/>
      <x:c r="CZ323" s="5"/>
      <x:c r="DA323" s="5"/>
      <x:c r="DB323" s="5"/>
      <x:c r="DC323" s="5"/>
      <x:c r="DD323" s="5"/>
      <x:c r="DE323" s="5"/>
      <x:c r="DF323" s="5"/>
      <x:c r="DG323" s="5"/>
      <x:c r="DH323" s="5"/>
      <x:c r="DI323" s="5"/>
      <x:c r="DJ323" s="5"/>
      <x:c r="DK323" s="5"/>
      <x:c r="DL323" s="5"/>
      <x:c r="DM323" s="5"/>
    </x:row>
    <x:row r="324">
      <x:c r="A324" s="5" t="n">
        <x:v>319</x:v>
      </x:c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  <x:c r="AQ324" s="5"/>
      <x:c r="AR324" s="5"/>
      <x:c r="AS324" s="5"/>
      <x:c r="AT324" s="5"/>
      <x:c r="AU324" s="5"/>
      <x:c r="AV324" s="5"/>
      <x:c r="AW324" s="5"/>
      <x:c r="AX324" s="5"/>
      <x:c r="AY324" s="5"/>
      <x:c r="AZ324" s="5"/>
      <x:c r="BA324" s="5"/>
      <x:c r="BB324" s="5"/>
      <x:c r="BC324" s="5"/>
      <x:c r="BD324" s="5"/>
      <x:c r="BE324" s="5"/>
      <x:c r="BF324" s="5"/>
      <x:c r="BG324" s="5"/>
      <x:c r="BH324" s="5"/>
      <x:c r="BI324" s="5"/>
      <x:c r="BJ324" s="5"/>
      <x:c r="BK324" s="5"/>
      <x:c r="BL324" s="5"/>
      <x:c r="BM324" s="5"/>
      <x:c r="BN324" s="5"/>
      <x:c r="BO324" s="5"/>
      <x:c r="BP324" s="5"/>
      <x:c r="BQ324" s="5"/>
      <x:c r="BR324" s="5"/>
      <x:c r="BS324" s="5"/>
      <x:c r="BT324" s="5"/>
      <x:c r="BU324" s="5"/>
      <x:c r="BV324" s="5"/>
      <x:c r="BW324" s="5"/>
      <x:c r="BX324" s="5"/>
      <x:c r="BY324" s="5"/>
      <x:c r="BZ324" s="5"/>
      <x:c r="CA324" s="5"/>
      <x:c r="CB324" s="5"/>
      <x:c r="CC324" s="5"/>
      <x:c r="CD324" s="5"/>
      <x:c r="CE324" s="5"/>
      <x:c r="CF324" s="5"/>
      <x:c r="CG324" s="5"/>
      <x:c r="CH324" s="5"/>
      <x:c r="CI324" s="5"/>
      <x:c r="CJ324" s="5"/>
      <x:c r="CK324" s="5"/>
      <x:c r="CL324" s="5"/>
      <x:c r="CM324" s="5"/>
      <x:c r="CN324" s="5"/>
      <x:c r="CO324" s="5"/>
      <x:c r="CP324" s="5"/>
      <x:c r="CQ324" s="5"/>
      <x:c r="CR324" s="5"/>
      <x:c r="CS324" s="5"/>
      <x:c r="CT324" s="5"/>
      <x:c r="CU324" s="5"/>
      <x:c r="CV324" s="5"/>
      <x:c r="CW324" s="5"/>
      <x:c r="CX324" s="5"/>
      <x:c r="CY324" s="5"/>
      <x:c r="CZ324" s="5"/>
      <x:c r="DA324" s="5"/>
      <x:c r="DB324" s="5"/>
      <x:c r="DC324" s="5"/>
      <x:c r="DD324" s="5"/>
      <x:c r="DE324" s="5"/>
      <x:c r="DF324" s="5"/>
      <x:c r="DG324" s="5"/>
      <x:c r="DH324" s="5"/>
      <x:c r="DI324" s="5"/>
      <x:c r="DJ324" s="5"/>
      <x:c r="DK324" s="5"/>
      <x:c r="DL324" s="5"/>
      <x:c r="DM324" s="5"/>
    </x:row>
    <x:row r="325">
      <x:c r="A325" s="5" t="n">
        <x:v>320</x:v>
      </x:c>
      <x:c r="B325" s="5"/>
      <x:c r="C325" s="5"/>
      <x:c r="D325" s="5" t="n">
        <x:v>0.36</x:v>
      </x:c>
      <x:c r="E325" s="5"/>
      <x:c r="F325" s="5"/>
      <x:c r="G325" s="5"/>
      <x:c r="H325" s="5"/>
      <x:c r="I325" s="5"/>
      <x:c r="J325" s="5"/>
      <x:c r="K325" s="5"/>
      <x:c r="L325" s="5" t="n">
        <x:v>139</x:v>
      </x:c>
      <x:c r="M325" s="5" t="n">
        <x:v>136</x:v>
      </x:c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  <x:c r="AC325" s="5"/>
      <x:c r="AD325" s="5"/>
      <x:c r="AE325" s="5"/>
      <x:c r="AF325" s="5"/>
      <x:c r="AG325" s="5"/>
      <x:c r="AH325" s="5"/>
      <x:c r="AI325" s="5"/>
      <x:c r="AJ325" s="5"/>
      <x:c r="AK325" s="5"/>
      <x:c r="AL325" s="5"/>
      <x:c r="AM325" s="5"/>
      <x:c r="AN325" s="5"/>
      <x:c r="AO325" s="5"/>
      <x:c r="AP325" s="5"/>
      <x:c r="AQ325" s="5"/>
      <x:c r="AR325" s="5"/>
      <x:c r="AS325" s="5"/>
      <x:c r="AT325" s="5"/>
      <x:c r="AU325" s="5"/>
      <x:c r="AV325" s="5"/>
      <x:c r="AW325" s="5"/>
      <x:c r="AX325" s="5"/>
      <x:c r="AY325" s="5"/>
      <x:c r="AZ325" s="5"/>
      <x:c r="BA325" s="5"/>
      <x:c r="BB325" s="5"/>
      <x:c r="BC325" s="5"/>
      <x:c r="BD325" s="5"/>
      <x:c r="BE325" s="5"/>
      <x:c r="BF325" s="5"/>
      <x:c r="BG325" s="5"/>
      <x:c r="BH325" s="5"/>
      <x:c r="BI325" s="5"/>
      <x:c r="BJ325" s="5"/>
      <x:c r="BK325" s="5"/>
      <x:c r="BL325" s="5"/>
      <x:c r="BM325" s="5"/>
      <x:c r="BN325" s="5"/>
      <x:c r="BO325" s="5"/>
      <x:c r="BP325" s="5"/>
      <x:c r="BQ325" s="5"/>
      <x:c r="BR325" s="5"/>
      <x:c r="BS325" s="5"/>
      <x:c r="BT325" s="5"/>
      <x:c r="BU325" s="5"/>
      <x:c r="BV325" s="5"/>
      <x:c r="BW325" s="5"/>
      <x:c r="BX325" s="5"/>
      <x:c r="BY325" s="5"/>
      <x:c r="BZ325" s="5"/>
      <x:c r="CA325" s="5"/>
      <x:c r="CB325" s="5"/>
      <x:c r="CC325" s="5"/>
      <x:c r="CD325" s="5"/>
      <x:c r="CE325" s="5"/>
      <x:c r="CF325" s="5"/>
      <x:c r="CG325" s="5"/>
      <x:c r="CH325" s="5"/>
      <x:c r="CI325" s="5"/>
      <x:c r="CJ325" s="5"/>
      <x:c r="CK325" s="5"/>
      <x:c r="CL325" s="5"/>
      <x:c r="CM325" s="5"/>
      <x:c r="CN325" s="5"/>
      <x:c r="CO325" s="5"/>
      <x:c r="CP325" s="5"/>
      <x:c r="CQ325" s="5"/>
      <x:c r="CR325" s="5"/>
      <x:c r="CS325" s="5"/>
      <x:c r="CT325" s="5"/>
      <x:c r="CU325" s="5"/>
      <x:c r="CV325" s="5"/>
      <x:c r="CW325" s="5"/>
      <x:c r="CX325" s="5"/>
      <x:c r="CY325" s="5"/>
      <x:c r="CZ325" s="5"/>
      <x:c r="DA325" s="5"/>
      <x:c r="DB325" s="5"/>
      <x:c r="DC325" s="5"/>
      <x:c r="DD325" s="5"/>
      <x:c r="DE325" s="5"/>
      <x:c r="DF325" s="5"/>
      <x:c r="DG325" s="5"/>
      <x:c r="DH325" s="5"/>
      <x:c r="DI325" s="5"/>
      <x:c r="DJ325" s="5"/>
      <x:c r="DK325" s="5"/>
      <x:c r="DL325" s="5"/>
      <x:c r="DM325" s="5"/>
    </x:row>
    <x:row r="326">
      <x:c r="A326" s="5" t="n">
        <x:v>321</x:v>
      </x:c>
      <x:c r="B326" s="5"/>
      <x:c r="C326" s="5"/>
      <x:c r="D326" s="5" t="n">
        <x:v>12.9</x:v>
      </x:c>
      <x:c r="E326" s="5"/>
      <x:c r="F326" s="5"/>
      <x:c r="G326" s="5"/>
      <x:c r="H326" s="5"/>
      <x:c r="I326" s="5"/>
      <x:c r="J326" s="5"/>
      <x:c r="K326" s="5"/>
      <x:c r="L326" s="5"/>
      <x:c r="M326" s="5"/>
      <x:c r="N326" s="5" t="n">
        <x:v>253</x:v>
      </x:c>
      <x:c r="O326" s="5" t="n">
        <x:v>280</x:v>
      </x:c>
      <x:c r="P326" s="5" t="n">
        <x:v>323</x:v>
      </x:c>
      <x:c r="Q326" s="5" t="n">
        <x:v>252</x:v>
      </x:c>
      <x:c r="R326" s="5" t="n">
        <x:v>294</x:v>
      </x:c>
      <x:c r="S326" s="5" t="n">
        <x:v>91</x:v>
      </x:c>
      <x:c r="T326" s="5"/>
      <x:c r="U326" s="5"/>
      <x:c r="V326" s="5"/>
      <x:c r="W326" s="5"/>
      <x:c r="X326" s="5"/>
      <x:c r="Y326" s="5"/>
      <x:c r="Z326" s="5"/>
      <x:c r="AA326" s="5"/>
      <x:c r="AB326" s="5"/>
      <x:c r="AC326" s="5"/>
      <x:c r="AD326" s="5"/>
      <x:c r="AE326" s="5"/>
      <x:c r="AF326" s="5"/>
      <x:c r="AG326" s="5"/>
      <x:c r="AH326" s="5"/>
      <x:c r="AI326" s="5"/>
      <x:c r="AJ326" s="5"/>
      <x:c r="AK326" s="5"/>
      <x:c r="AL326" s="5"/>
      <x:c r="AM326" s="5"/>
      <x:c r="AN326" s="5"/>
      <x:c r="AO326" s="5"/>
      <x:c r="AP326" s="5"/>
      <x:c r="AQ326" s="5"/>
      <x:c r="AR326" s="5"/>
      <x:c r="AS326" s="5"/>
      <x:c r="AT326" s="5"/>
      <x:c r="AU326" s="5"/>
      <x:c r="AV326" s="5"/>
      <x:c r="AW326" s="5"/>
      <x:c r="AX326" s="5"/>
      <x:c r="AY326" s="5"/>
      <x:c r="AZ326" s="5"/>
      <x:c r="BA326" s="5"/>
      <x:c r="BB326" s="5"/>
      <x:c r="BC326" s="5"/>
      <x:c r="BD326" s="5"/>
      <x:c r="BE326" s="5"/>
      <x:c r="BF326" s="5"/>
      <x:c r="BG326" s="5"/>
      <x:c r="BH326" s="5"/>
      <x:c r="BI326" s="5"/>
      <x:c r="BJ326" s="5"/>
      <x:c r="BK326" s="5"/>
      <x:c r="BL326" s="5"/>
      <x:c r="BM326" s="5"/>
      <x:c r="BN326" s="5"/>
      <x:c r="BO326" s="5"/>
      <x:c r="BP326" s="5"/>
      <x:c r="BQ326" s="5"/>
      <x:c r="BR326" s="5"/>
      <x:c r="BS326" s="5"/>
      <x:c r="BT326" s="5"/>
      <x:c r="BU326" s="5"/>
      <x:c r="BV326" s="5"/>
      <x:c r="BW326" s="5"/>
      <x:c r="BX326" s="5"/>
      <x:c r="BY326" s="5"/>
      <x:c r="BZ326" s="5"/>
      <x:c r="CA326" s="5"/>
      <x:c r="CB326" s="5"/>
      <x:c r="CC326" s="5"/>
      <x:c r="CD326" s="5"/>
      <x:c r="CE326" s="5"/>
      <x:c r="CF326" s="5"/>
      <x:c r="CG326" s="5"/>
      <x:c r="CH326" s="5"/>
      <x:c r="CI326" s="5"/>
      <x:c r="CJ326" s="5"/>
      <x:c r="CK326" s="5"/>
      <x:c r="CL326" s="5"/>
      <x:c r="CM326" s="5"/>
      <x:c r="CN326" s="5"/>
      <x:c r="CO326" s="5"/>
      <x:c r="CP326" s="5"/>
      <x:c r="CQ326" s="5"/>
      <x:c r="CR326" s="5"/>
      <x:c r="CS326" s="5"/>
      <x:c r="CT326" s="5"/>
      <x:c r="CU326" s="5"/>
      <x:c r="CV326" s="5"/>
      <x:c r="CW326" s="5"/>
      <x:c r="CX326" s="5"/>
      <x:c r="CY326" s="5"/>
      <x:c r="CZ326" s="5"/>
      <x:c r="DA326" s="5"/>
      <x:c r="DB326" s="5"/>
      <x:c r="DC326" s="5"/>
      <x:c r="DD326" s="5"/>
      <x:c r="DE326" s="5"/>
      <x:c r="DF326" s="5"/>
      <x:c r="DG326" s="5"/>
      <x:c r="DH326" s="5"/>
      <x:c r="DI326" s="5"/>
      <x:c r="DJ326" s="5"/>
      <x:c r="DK326" s="5"/>
      <x:c r="DL326" s="5"/>
      <x:c r="DM326" s="5"/>
    </x:row>
    <x:row r="327">
      <x:c r="A327" s="5" t="n">
        <x:v>322</x:v>
      </x:c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 t="n">
        <x:v>65300</x:v>
      </x:c>
      <x:c r="X327" s="5" t="n">
        <x:v>40400</x:v>
      </x:c>
      <x:c r="Y327" s="5" t="n">
        <x:v>64900</x:v>
      </x:c>
      <x:c r="Z327" s="5" t="n">
        <x:v>78900</x:v>
      </x:c>
      <x:c r="AA327" s="5" t="n">
        <x:v>103000</x:v>
      </x:c>
      <x:c r="AB327" s="5" t="n">
        <x:v>153000</x:v>
      </x:c>
      <x:c r="AC327" s="5" t="n">
        <x:v>159000</x:v>
      </x:c>
      <x:c r="AD327" s="5" t="n">
        <x:v>188000</x:v>
      </x:c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  <x:c r="AQ327" s="5"/>
      <x:c r="AR327" s="5"/>
      <x:c r="AS327" s="5"/>
      <x:c r="AT327" s="5"/>
      <x:c r="AU327" s="5"/>
      <x:c r="AV327" s="5"/>
      <x:c r="AW327" s="5"/>
      <x:c r="AX327" s="5"/>
      <x:c r="AY327" s="5"/>
      <x:c r="AZ327" s="5"/>
      <x:c r="BA327" s="5"/>
      <x:c r="BB327" s="5"/>
      <x:c r="BC327" s="5"/>
      <x:c r="BD327" s="5"/>
      <x:c r="BE327" s="5"/>
      <x:c r="BF327" s="5"/>
      <x:c r="BG327" s="5"/>
      <x:c r="BH327" s="5"/>
      <x:c r="BI327" s="5"/>
      <x:c r="BJ327" s="5"/>
      <x:c r="BK327" s="5"/>
      <x:c r="BL327" s="5"/>
      <x:c r="BM327" s="5"/>
      <x:c r="BN327" s="5"/>
      <x:c r="BO327" s="5"/>
      <x:c r="BP327" s="5"/>
      <x:c r="BQ327" s="5"/>
      <x:c r="BR327" s="5"/>
      <x:c r="BS327" s="5"/>
      <x:c r="BT327" s="5"/>
      <x:c r="BU327" s="5"/>
      <x:c r="BV327" s="5"/>
      <x:c r="BW327" s="5"/>
      <x:c r="BX327" s="5"/>
      <x:c r="BY327" s="5"/>
      <x:c r="BZ327" s="5"/>
      <x:c r="CA327" s="5"/>
      <x:c r="CB327" s="5"/>
      <x:c r="CC327" s="5"/>
      <x:c r="CD327" s="5"/>
      <x:c r="CE327" s="5"/>
      <x:c r="CF327" s="5"/>
      <x:c r="CG327" s="5"/>
      <x:c r="CH327" s="5"/>
      <x:c r="CI327" s="5"/>
      <x:c r="CJ327" s="5"/>
      <x:c r="CK327" s="5"/>
      <x:c r="CL327" s="5"/>
      <x:c r="CM327" s="5"/>
      <x:c r="CN327" s="5"/>
      <x:c r="CO327" s="5"/>
      <x:c r="CP327" s="5"/>
      <x:c r="CQ327" s="5"/>
      <x:c r="CR327" s="5"/>
      <x:c r="CS327" s="5"/>
      <x:c r="CT327" s="5"/>
      <x:c r="CU327" s="5"/>
      <x:c r="CV327" s="5"/>
      <x:c r="CW327" s="5"/>
      <x:c r="CX327" s="5"/>
      <x:c r="CY327" s="5"/>
      <x:c r="CZ327" s="5"/>
      <x:c r="DA327" s="5"/>
      <x:c r="DB327" s="5"/>
      <x:c r="DC327" s="5"/>
      <x:c r="DD327" s="5"/>
      <x:c r="DE327" s="5"/>
      <x:c r="DF327" s="5"/>
      <x:c r="DG327" s="5"/>
      <x:c r="DH327" s="5"/>
      <x:c r="DI327" s="5"/>
      <x:c r="DJ327" s="5"/>
      <x:c r="DK327" s="5"/>
      <x:c r="DL327" s="5"/>
      <x:c r="DM327" s="5"/>
    </x:row>
    <x:row r="328">
      <x:c r="A328" s="5" t="n">
        <x:v>323</x:v>
      </x:c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 t="n">
        <x:v>830</x:v>
      </x:c>
      <x:c r="O328" s="5" t="n">
        <x:v>135</x:v>
      </x:c>
      <x:c r="P328" s="5"/>
      <x:c r="Q328" s="5" t="n">
        <x:v>287</x:v>
      </x:c>
      <x:c r="R328" s="5" t="n">
        <x:v>419</x:v>
      </x:c>
      <x:c r="S328" s="5" t="n">
        <x:v>626</x:v>
      </x:c>
      <x:c r="T328" s="5"/>
      <x:c r="U328" s="5"/>
      <x:c r="V328" s="5"/>
      <x:c r="W328" s="5"/>
      <x:c r="X328" s="5"/>
      <x:c r="Y328" s="5"/>
      <x:c r="Z328" s="5"/>
      <x:c r="AA328" s="5"/>
      <x:c r="AB328" s="5"/>
      <x:c r="AC328" s="5"/>
      <x:c r="AD328" s="5"/>
      <x:c r="AE328" s="5"/>
      <x:c r="AF328" s="5"/>
      <x:c r="AG328" s="5"/>
      <x:c r="AH328" s="5"/>
      <x:c r="AI328" s="5"/>
      <x:c r="AJ328" s="5"/>
      <x:c r="AK328" s="5"/>
      <x:c r="AL328" s="5"/>
      <x:c r="AM328" s="5"/>
      <x:c r="AN328" s="5"/>
      <x:c r="AO328" s="5"/>
      <x:c r="AP328" s="5"/>
      <x:c r="AQ328" s="5"/>
      <x:c r="AR328" s="5"/>
      <x:c r="AS328" s="5"/>
      <x:c r="AT328" s="5"/>
      <x:c r="AU328" s="5"/>
      <x:c r="AV328" s="5"/>
      <x:c r="AW328" s="5"/>
      <x:c r="AX328" s="5"/>
      <x:c r="AY328" s="5"/>
      <x:c r="AZ328" s="5"/>
      <x:c r="BA328" s="5"/>
      <x:c r="BB328" s="5"/>
      <x:c r="BC328" s="5"/>
      <x:c r="BD328" s="5"/>
      <x:c r="BE328" s="5"/>
      <x:c r="BF328" s="5"/>
      <x:c r="BG328" s="5"/>
      <x:c r="BH328" s="5"/>
      <x:c r="BI328" s="5"/>
      <x:c r="BJ328" s="5"/>
      <x:c r="BK328" s="5"/>
      <x:c r="BL328" s="5"/>
      <x:c r="BM328" s="5"/>
      <x:c r="BN328" s="5"/>
      <x:c r="BO328" s="5"/>
      <x:c r="BP328" s="5"/>
      <x:c r="BQ328" s="5"/>
      <x:c r="BR328" s="5"/>
      <x:c r="BS328" s="5"/>
      <x:c r="BT328" s="5"/>
      <x:c r="BU328" s="5"/>
      <x:c r="BV328" s="5"/>
      <x:c r="BW328" s="5"/>
      <x:c r="BX328" s="5"/>
      <x:c r="BY328" s="5"/>
      <x:c r="BZ328" s="5"/>
      <x:c r="CA328" s="5"/>
      <x:c r="CB328" s="5"/>
      <x:c r="CC328" s="5"/>
      <x:c r="CD328" s="5"/>
      <x:c r="CE328" s="5"/>
      <x:c r="CF328" s="5"/>
      <x:c r="CG328" s="5"/>
      <x:c r="CH328" s="5"/>
      <x:c r="CI328" s="5"/>
      <x:c r="CJ328" s="5"/>
      <x:c r="CK328" s="5"/>
      <x:c r="CL328" s="5"/>
      <x:c r="CM328" s="5"/>
      <x:c r="CN328" s="5"/>
      <x:c r="CO328" s="5"/>
      <x:c r="CP328" s="5"/>
      <x:c r="CQ328" s="5"/>
      <x:c r="CR328" s="5"/>
      <x:c r="CS328" s="5"/>
      <x:c r="CT328" s="5"/>
      <x:c r="CU328" s="5"/>
      <x:c r="CV328" s="5"/>
      <x:c r="CW328" s="5"/>
      <x:c r="CX328" s="5"/>
      <x:c r="CY328" s="5"/>
      <x:c r="CZ328" s="5"/>
      <x:c r="DA328" s="5"/>
      <x:c r="DB328" s="5"/>
      <x:c r="DC328" s="5"/>
      <x:c r="DD328" s="5"/>
      <x:c r="DE328" s="5"/>
      <x:c r="DF328" s="5"/>
      <x:c r="DG328" s="5"/>
      <x:c r="DH328" s="5"/>
      <x:c r="DI328" s="5"/>
      <x:c r="DJ328" s="5"/>
      <x:c r="DK328" s="5"/>
      <x:c r="DL328" s="5"/>
      <x:c r="DM328" s="5"/>
    </x:row>
    <x:row r="329">
      <x:c r="A329" s="5" t="n">
        <x:v>324</x:v>
      </x:c>
      <x:c r="B329" s="5"/>
      <x:c r="C329" s="5"/>
      <x:c r="D329" s="5" t="n">
        <x:v>6.89</x:v>
      </x:c>
      <x:c r="E329" s="5"/>
      <x:c r="F329" s="5"/>
      <x:c r="G329" s="5"/>
      <x:c r="H329" s="5"/>
      <x:c r="I329" s="5"/>
      <x:c r="J329" s="5"/>
      <x:c r="K329" s="5"/>
      <x:c r="L329" s="5"/>
      <x:c r="M329" s="5"/>
      <x:c r="N329" s="5" t="n">
        <x:v>1148</x:v>
      </x:c>
      <x:c r="O329" s="5" t="n">
        <x:v>2138</x:v>
      </x:c>
      <x:c r="P329" s="5" t="n">
        <x:v>1352</x:v>
      </x:c>
      <x:c r="Q329" s="5" t="n">
        <x:v>4184</x:v>
      </x:c>
      <x:c r="R329" s="5" t="n">
        <x:v>4307</x:v>
      </x:c>
      <x:c r="S329" s="5" t="n">
        <x:v>3259</x:v>
      </x:c>
      <x:c r="T329" s="5"/>
      <x:c r="U329" s="5"/>
      <x:c r="V329" s="5"/>
      <x:c r="W329" s="5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  <x:c r="AQ329" s="5"/>
      <x:c r="AR329" s="5"/>
      <x:c r="AS329" s="5"/>
      <x:c r="AT329" s="5"/>
      <x:c r="AU329" s="5"/>
      <x:c r="AV329" s="5"/>
      <x:c r="AW329" s="5"/>
      <x:c r="AX329" s="5"/>
      <x:c r="AY329" s="5"/>
      <x:c r="AZ329" s="5"/>
      <x:c r="BA329" s="5"/>
      <x:c r="BB329" s="5"/>
      <x:c r="BC329" s="5"/>
      <x:c r="BD329" s="5"/>
      <x:c r="BE329" s="5"/>
      <x:c r="BF329" s="5"/>
      <x:c r="BG329" s="5"/>
      <x:c r="BH329" s="5"/>
      <x:c r="BI329" s="5"/>
      <x:c r="BJ329" s="5"/>
      <x:c r="BK329" s="5"/>
      <x:c r="BL329" s="5"/>
      <x:c r="BM329" s="5"/>
      <x:c r="BN329" s="5"/>
      <x:c r="BO329" s="5"/>
      <x:c r="BP329" s="5"/>
      <x:c r="BQ329" s="5"/>
      <x:c r="BR329" s="5"/>
      <x:c r="BS329" s="5"/>
      <x:c r="BT329" s="5"/>
      <x:c r="BU329" s="5"/>
      <x:c r="BV329" s="5"/>
      <x:c r="BW329" s="5"/>
      <x:c r="BX329" s="5"/>
      <x:c r="BY329" s="5"/>
      <x:c r="BZ329" s="5"/>
      <x:c r="CA329" s="5"/>
      <x:c r="CB329" s="5"/>
      <x:c r="CC329" s="5"/>
      <x:c r="CD329" s="5"/>
      <x:c r="CE329" s="5"/>
      <x:c r="CF329" s="5"/>
      <x:c r="CG329" s="5"/>
      <x:c r="CH329" s="5"/>
      <x:c r="CI329" s="5"/>
      <x:c r="CJ329" s="5"/>
      <x:c r="CK329" s="5"/>
      <x:c r="CL329" s="5"/>
      <x:c r="CM329" s="5"/>
      <x:c r="CN329" s="5"/>
      <x:c r="CO329" s="5"/>
      <x:c r="CP329" s="5"/>
      <x:c r="CQ329" s="5"/>
      <x:c r="CR329" s="5"/>
      <x:c r="CS329" s="5"/>
      <x:c r="CT329" s="5"/>
      <x:c r="CU329" s="5"/>
      <x:c r="CV329" s="5"/>
      <x:c r="CW329" s="5"/>
      <x:c r="CX329" s="5"/>
      <x:c r="CY329" s="5"/>
      <x:c r="CZ329" s="5"/>
      <x:c r="DA329" s="5"/>
      <x:c r="DB329" s="5"/>
      <x:c r="DC329" s="5"/>
      <x:c r="DD329" s="5"/>
      <x:c r="DE329" s="5"/>
      <x:c r="DF329" s="5"/>
      <x:c r="DG329" s="5"/>
      <x:c r="DH329" s="5"/>
      <x:c r="DI329" s="5"/>
      <x:c r="DJ329" s="5"/>
      <x:c r="DK329" s="5"/>
      <x:c r="DL329" s="5"/>
      <x:c r="DM329" s="5"/>
    </x:row>
    <x:row r="330">
      <x:c r="A330" s="5" t="n">
        <x:v>325</x:v>
      </x:c>
      <x:c r="B330" s="5"/>
      <x:c r="C330" s="5"/>
      <x:c r="D330" s="5" t="n">
        <x:v>15000</x:v>
      </x:c>
      <x:c r="E330" s="5"/>
      <x:c r="F330" s="5"/>
      <x:c r="G330" s="5"/>
      <x:c r="H330" s="5"/>
      <x:c r="I330" s="5"/>
      <x:c r="J330" s="5"/>
      <x:c r="K330" s="5"/>
      <x:c r="L330" s="5" t="n">
        <x:v>2533</x:v>
      </x:c>
      <x:c r="M330" s="5" t="n">
        <x:v>2505</x:v>
      </x:c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  <x:c r="AQ330" s="5"/>
      <x:c r="AR330" s="5"/>
      <x:c r="AS330" s="5"/>
      <x:c r="AT330" s="5"/>
      <x:c r="AU330" s="5"/>
      <x:c r="AV330" s="5"/>
      <x:c r="AW330" s="5"/>
      <x:c r="AX330" s="5"/>
      <x:c r="AY330" s="5"/>
      <x:c r="AZ330" s="5"/>
      <x:c r="BA330" s="5"/>
      <x:c r="BB330" s="5"/>
      <x:c r="BC330" s="5"/>
      <x:c r="BD330" s="5"/>
      <x:c r="BE330" s="5"/>
      <x:c r="BF330" s="5"/>
      <x:c r="BG330" s="5"/>
      <x:c r="BH330" s="5"/>
      <x:c r="BI330" s="5"/>
      <x:c r="BJ330" s="5"/>
      <x:c r="BK330" s="5"/>
      <x:c r="BL330" s="5"/>
      <x:c r="BM330" s="5"/>
      <x:c r="BN330" s="5"/>
      <x:c r="BO330" s="5"/>
      <x:c r="BP330" s="5"/>
      <x:c r="BQ330" s="5"/>
      <x:c r="BR330" s="5"/>
      <x:c r="BS330" s="5"/>
      <x:c r="BT330" s="5"/>
      <x:c r="BU330" s="5"/>
      <x:c r="BV330" s="5"/>
      <x:c r="BW330" s="5"/>
      <x:c r="BX330" s="5"/>
      <x:c r="BY330" s="5"/>
      <x:c r="BZ330" s="5"/>
      <x:c r="CA330" s="5"/>
      <x:c r="CB330" s="5"/>
      <x:c r="CC330" s="5"/>
      <x:c r="CD330" s="5"/>
      <x:c r="CE330" s="5"/>
      <x:c r="CF330" s="5"/>
      <x:c r="CG330" s="5"/>
      <x:c r="CH330" s="5"/>
      <x:c r="CI330" s="5"/>
      <x:c r="CJ330" s="5"/>
      <x:c r="CK330" s="5"/>
      <x:c r="CL330" s="5"/>
      <x:c r="CM330" s="5"/>
      <x:c r="CN330" s="5"/>
      <x:c r="CO330" s="5"/>
      <x:c r="CP330" s="5"/>
      <x:c r="CQ330" s="5"/>
      <x:c r="CR330" s="5"/>
      <x:c r="CS330" s="5"/>
      <x:c r="CT330" s="5"/>
      <x:c r="CU330" s="5"/>
      <x:c r="CV330" s="5"/>
      <x:c r="CW330" s="5"/>
      <x:c r="CX330" s="5"/>
      <x:c r="CY330" s="5"/>
      <x:c r="CZ330" s="5"/>
      <x:c r="DA330" s="5"/>
      <x:c r="DB330" s="5"/>
      <x:c r="DC330" s="5"/>
      <x:c r="DD330" s="5"/>
      <x:c r="DE330" s="5"/>
      <x:c r="DF330" s="5"/>
      <x:c r="DG330" s="5"/>
      <x:c r="DH330" s="5"/>
      <x:c r="DI330" s="5"/>
      <x:c r="DJ330" s="5"/>
      <x:c r="DK330" s="5"/>
      <x:c r="DL330" s="5"/>
      <x:c r="DM330" s="5"/>
    </x:row>
    <x:row r="331">
      <x:c r="A331" s="5" t="n">
        <x:v>326</x:v>
      </x:c>
      <x:c r="B331" s="5"/>
      <x:c r="C331" s="5"/>
      <x:c r="D331" s="5" t="n">
        <x:v>44000</x:v>
      </x:c>
      <x:c r="E331" s="5"/>
      <x:c r="F331" s="5"/>
      <x:c r="G331" s="5" t="n">
        <x:v>22.64</x:v>
      </x:c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  <x:c r="AQ331" s="5"/>
      <x:c r="AR331" s="5"/>
      <x:c r="AS331" s="5"/>
      <x:c r="AT331" s="5"/>
      <x:c r="AU331" s="5"/>
      <x:c r="AV331" s="5"/>
      <x:c r="AW331" s="5"/>
      <x:c r="AX331" s="5"/>
      <x:c r="AY331" s="5"/>
      <x:c r="AZ331" s="5"/>
      <x:c r="BA331" s="5"/>
      <x:c r="BB331" s="5"/>
      <x:c r="BC331" s="5"/>
      <x:c r="BD331" s="5"/>
      <x:c r="BE331" s="5"/>
      <x:c r="BF331" s="5"/>
      <x:c r="BG331" s="5"/>
      <x:c r="BH331" s="5"/>
      <x:c r="BI331" s="5"/>
      <x:c r="BJ331" s="5"/>
      <x:c r="BK331" s="5"/>
      <x:c r="BL331" s="5"/>
      <x:c r="BM331" s="5"/>
      <x:c r="BN331" s="5"/>
      <x:c r="BO331" s="5"/>
      <x:c r="BP331" s="5"/>
      <x:c r="BQ331" s="5"/>
      <x:c r="BR331" s="5"/>
      <x:c r="BS331" s="5"/>
      <x:c r="BT331" s="5"/>
      <x:c r="BU331" s="5"/>
      <x:c r="BV331" s="5"/>
      <x:c r="BW331" s="5"/>
      <x:c r="BX331" s="5"/>
      <x:c r="BY331" s="5"/>
      <x:c r="BZ331" s="5"/>
      <x:c r="CA331" s="5"/>
      <x:c r="CB331" s="5"/>
      <x:c r="CC331" s="5"/>
      <x:c r="CD331" s="5"/>
      <x:c r="CE331" s="5"/>
      <x:c r="CF331" s="5"/>
      <x:c r="CG331" s="5"/>
      <x:c r="CH331" s="5"/>
      <x:c r="CI331" s="5"/>
      <x:c r="CJ331" s="5"/>
      <x:c r="CK331" s="5"/>
      <x:c r="CL331" s="5"/>
      <x:c r="CM331" s="5"/>
      <x:c r="CN331" s="5"/>
      <x:c r="CO331" s="5"/>
      <x:c r="CP331" s="5"/>
      <x:c r="CQ331" s="5"/>
      <x:c r="CR331" s="5"/>
      <x:c r="CS331" s="5"/>
      <x:c r="CT331" s="5"/>
      <x:c r="CU331" s="5"/>
      <x:c r="CV331" s="5"/>
      <x:c r="CW331" s="5"/>
      <x:c r="CX331" s="5"/>
      <x:c r="CY331" s="5"/>
      <x:c r="CZ331" s="5"/>
      <x:c r="DA331" s="5"/>
      <x:c r="DB331" s="5"/>
      <x:c r="DC331" s="5"/>
      <x:c r="DD331" s="5"/>
      <x:c r="DE331" s="5"/>
      <x:c r="DF331" s="5"/>
      <x:c r="DG331" s="5"/>
      <x:c r="DH331" s="5"/>
      <x:c r="DI331" s="5"/>
      <x:c r="DJ331" s="5"/>
      <x:c r="DK331" s="5"/>
      <x:c r="DL331" s="5"/>
      <x:c r="DM331" s="5"/>
    </x:row>
    <x:row r="332">
      <x:c r="A332" s="5" t="n">
        <x:v>327</x:v>
      </x:c>
      <x:c r="B332" s="5"/>
      <x:c r="C332" s="5"/>
      <x:c r="D332" s="5" t="n">
        <x:v>90.7</x:v>
      </x:c>
      <x:c r="E332" s="5"/>
      <x:c r="F332" s="5"/>
      <x:c r="G332" s="5"/>
      <x:c r="H332" s="5"/>
      <x:c r="I332" s="5"/>
      <x:c r="J332" s="5"/>
      <x:c r="K332" s="5"/>
      <x:c r="L332" s="5" t="n">
        <x:v>130</x:v>
      </x:c>
      <x:c r="M332" s="5" t="n">
        <x:v>13</x:v>
      </x:c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  <x:c r="AQ332" s="5"/>
      <x:c r="AR332" s="5"/>
      <x:c r="AS332" s="5"/>
      <x:c r="AT332" s="5"/>
      <x:c r="AU332" s="5"/>
      <x:c r="AV332" s="5"/>
      <x:c r="AW332" s="5"/>
      <x:c r="AX332" s="5"/>
      <x:c r="AY332" s="5"/>
      <x:c r="AZ332" s="5"/>
      <x:c r="BA332" s="5"/>
      <x:c r="BB332" s="5"/>
      <x:c r="BC332" s="5"/>
      <x:c r="BD332" s="5"/>
      <x:c r="BE332" s="5"/>
      <x:c r="BF332" s="5"/>
      <x:c r="BG332" s="5"/>
      <x:c r="BH332" s="5"/>
      <x:c r="BI332" s="5"/>
      <x:c r="BJ332" s="5"/>
      <x:c r="BK332" s="5"/>
      <x:c r="BL332" s="5"/>
      <x:c r="BM332" s="5"/>
      <x:c r="BN332" s="5"/>
      <x:c r="BO332" s="5"/>
      <x:c r="BP332" s="5"/>
      <x:c r="BQ332" s="5"/>
      <x:c r="BR332" s="5"/>
      <x:c r="BS332" s="5"/>
      <x:c r="BT332" s="5"/>
      <x:c r="BU332" s="5"/>
      <x:c r="BV332" s="5"/>
      <x:c r="BW332" s="5"/>
      <x:c r="BX332" s="5"/>
      <x:c r="BY332" s="5"/>
      <x:c r="BZ332" s="5"/>
      <x:c r="CA332" s="5"/>
      <x:c r="CB332" s="5"/>
      <x:c r="CC332" s="5"/>
      <x:c r="CD332" s="5"/>
      <x:c r="CE332" s="5"/>
      <x:c r="CF332" s="5"/>
      <x:c r="CG332" s="5"/>
      <x:c r="CH332" s="5"/>
      <x:c r="CI332" s="5"/>
      <x:c r="CJ332" s="5"/>
      <x:c r="CK332" s="5"/>
      <x:c r="CL332" s="5"/>
      <x:c r="CM332" s="5"/>
      <x:c r="CN332" s="5"/>
      <x:c r="CO332" s="5"/>
      <x:c r="CP332" s="5"/>
      <x:c r="CQ332" s="5"/>
      <x:c r="CR332" s="5"/>
      <x:c r="CS332" s="5"/>
      <x:c r="CT332" s="5"/>
      <x:c r="CU332" s="5"/>
      <x:c r="CV332" s="5"/>
      <x:c r="CW332" s="5"/>
      <x:c r="CX332" s="5"/>
      <x:c r="CY332" s="5"/>
      <x:c r="CZ332" s="5"/>
      <x:c r="DA332" s="5"/>
      <x:c r="DB332" s="5"/>
      <x:c r="DC332" s="5"/>
      <x:c r="DD332" s="5"/>
      <x:c r="DE332" s="5"/>
      <x:c r="DF332" s="5"/>
      <x:c r="DG332" s="5"/>
      <x:c r="DH332" s="5"/>
      <x:c r="DI332" s="5"/>
      <x:c r="DJ332" s="5"/>
      <x:c r="DK332" s="5"/>
      <x:c r="DL332" s="5"/>
      <x:c r="DM332" s="5"/>
    </x:row>
    <x:row r="333">
      <x:c r="A333" s="5" t="n">
        <x:v>328</x:v>
      </x:c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 t="n">
        <x:v>5540</x:v>
      </x:c>
      <x:c r="O333" s="5" t="n">
        <x:v>6423</x:v>
      </x:c>
      <x:c r="P333" s="5" t="n">
        <x:v>9758</x:v>
      </x:c>
      <x:c r="Q333" s="5" t="n">
        <x:v>8184</x:v>
      </x:c>
      <x:c r="R333" s="5" t="n">
        <x:v>7818</x:v>
      </x:c>
      <x:c r="S333" s="5" t="n">
        <x:v>5644</x:v>
      </x:c>
      <x:c r="T333" s="5"/>
      <x:c r="U333" s="5"/>
      <x:c r="V333" s="5"/>
      <x:c r="W333" s="5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  <x:c r="AQ333" s="5"/>
      <x:c r="AR333" s="5"/>
      <x:c r="AS333" s="5"/>
      <x:c r="AT333" s="5"/>
      <x:c r="AU333" s="5"/>
      <x:c r="AV333" s="5"/>
      <x:c r="AW333" s="5"/>
      <x:c r="AX333" s="5"/>
      <x:c r="AY333" s="5"/>
      <x:c r="AZ333" s="5"/>
      <x:c r="BA333" s="5"/>
      <x:c r="BB333" s="5"/>
      <x:c r="BC333" s="5"/>
      <x:c r="BD333" s="5"/>
      <x:c r="BE333" s="5"/>
      <x:c r="BF333" s="5"/>
      <x:c r="BG333" s="5"/>
      <x:c r="BH333" s="5"/>
      <x:c r="BI333" s="5"/>
      <x:c r="BJ333" s="5"/>
      <x:c r="BK333" s="5"/>
      <x:c r="BL333" s="5"/>
      <x:c r="BM333" s="5"/>
      <x:c r="BN333" s="5"/>
      <x:c r="BO333" s="5"/>
      <x:c r="BP333" s="5"/>
      <x:c r="BQ333" s="5"/>
      <x:c r="BR333" s="5"/>
      <x:c r="BS333" s="5"/>
      <x:c r="BT333" s="5"/>
      <x:c r="BU333" s="5"/>
      <x:c r="BV333" s="5"/>
      <x:c r="BW333" s="5"/>
      <x:c r="BX333" s="5"/>
      <x:c r="BY333" s="5"/>
      <x:c r="BZ333" s="5"/>
      <x:c r="CA333" s="5"/>
      <x:c r="CB333" s="5"/>
      <x:c r="CC333" s="5"/>
      <x:c r="CD333" s="5"/>
      <x:c r="CE333" s="5"/>
      <x:c r="CF333" s="5"/>
      <x:c r="CG333" s="5"/>
      <x:c r="CH333" s="5"/>
      <x:c r="CI333" s="5"/>
      <x:c r="CJ333" s="5"/>
      <x:c r="CK333" s="5"/>
      <x:c r="CL333" s="5"/>
      <x:c r="CM333" s="5"/>
      <x:c r="CN333" s="5"/>
      <x:c r="CO333" s="5"/>
      <x:c r="CP333" s="5"/>
      <x:c r="CQ333" s="5"/>
      <x:c r="CR333" s="5"/>
      <x:c r="CS333" s="5"/>
      <x:c r="CT333" s="5"/>
      <x:c r="CU333" s="5"/>
      <x:c r="CV333" s="5"/>
      <x:c r="CW333" s="5"/>
      <x:c r="CX333" s="5"/>
      <x:c r="CY333" s="5"/>
      <x:c r="CZ333" s="5"/>
      <x:c r="DA333" s="5"/>
      <x:c r="DB333" s="5"/>
      <x:c r="DC333" s="5"/>
      <x:c r="DD333" s="5"/>
      <x:c r="DE333" s="5"/>
      <x:c r="DF333" s="5"/>
      <x:c r="DG333" s="5"/>
      <x:c r="DH333" s="5"/>
      <x:c r="DI333" s="5"/>
      <x:c r="DJ333" s="5"/>
      <x:c r="DK333" s="5"/>
      <x:c r="DL333" s="5"/>
      <x:c r="DM333" s="5"/>
    </x:row>
    <x:row r="334">
      <x:c r="A334" s="5" t="n">
        <x:v>329</x:v>
      </x:c>
      <x:c r="B334" s="5"/>
      <x:c r="C334" s="5"/>
      <x:c r="D334" s="5" t="n">
        <x:v>25.5</x:v>
      </x:c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  <x:c r="AQ334" s="5"/>
      <x:c r="AR334" s="5"/>
      <x:c r="AS334" s="5"/>
      <x:c r="AT334" s="5"/>
      <x:c r="AU334" s="5"/>
      <x:c r="AV334" s="5"/>
      <x:c r="AW334" s="5"/>
      <x:c r="AX334" s="5"/>
      <x:c r="AY334" s="5"/>
      <x:c r="AZ334" s="5"/>
      <x:c r="BA334" s="5"/>
      <x:c r="BB334" s="5"/>
      <x:c r="BC334" s="5"/>
      <x:c r="BD334" s="5"/>
      <x:c r="BE334" s="5"/>
      <x:c r="BF334" s="5"/>
      <x:c r="BG334" s="5"/>
      <x:c r="BH334" s="5"/>
      <x:c r="BI334" s="5"/>
      <x:c r="BJ334" s="5"/>
      <x:c r="BK334" s="5"/>
      <x:c r="BL334" s="5"/>
      <x:c r="BM334" s="5"/>
      <x:c r="BN334" s="5"/>
      <x:c r="BO334" s="5"/>
      <x:c r="BP334" s="5"/>
      <x:c r="BQ334" s="5"/>
      <x:c r="BR334" s="5"/>
      <x:c r="BS334" s="5"/>
      <x:c r="BT334" s="5"/>
      <x:c r="BU334" s="5"/>
      <x:c r="BV334" s="5"/>
      <x:c r="BW334" s="5"/>
      <x:c r="BX334" s="5"/>
      <x:c r="BY334" s="5"/>
      <x:c r="BZ334" s="5"/>
      <x:c r="CA334" s="5"/>
      <x:c r="CB334" s="5"/>
      <x:c r="CC334" s="5"/>
      <x:c r="CD334" s="5"/>
      <x:c r="CE334" s="5"/>
      <x:c r="CF334" s="5"/>
      <x:c r="CG334" s="5"/>
      <x:c r="CH334" s="5"/>
      <x:c r="CI334" s="5"/>
      <x:c r="CJ334" s="5"/>
      <x:c r="CK334" s="5"/>
      <x:c r="CL334" s="5"/>
      <x:c r="CM334" s="5"/>
      <x:c r="CN334" s="5"/>
      <x:c r="CO334" s="5"/>
      <x:c r="CP334" s="5"/>
      <x:c r="CQ334" s="5"/>
      <x:c r="CR334" s="5"/>
      <x:c r="CS334" s="5"/>
      <x:c r="CT334" s="5"/>
      <x:c r="CU334" s="5"/>
      <x:c r="CV334" s="5"/>
      <x:c r="CW334" s="5"/>
      <x:c r="CX334" s="5"/>
      <x:c r="CY334" s="5"/>
      <x:c r="CZ334" s="5"/>
      <x:c r="DA334" s="5"/>
      <x:c r="DB334" s="5"/>
      <x:c r="DC334" s="5"/>
      <x:c r="DD334" s="5"/>
      <x:c r="DE334" s="5"/>
      <x:c r="DF334" s="5"/>
      <x:c r="DG334" s="5"/>
      <x:c r="DH334" s="5"/>
      <x:c r="DI334" s="5"/>
      <x:c r="DJ334" s="5"/>
      <x:c r="DK334" s="5"/>
      <x:c r="DL334" s="5"/>
      <x:c r="DM334" s="5"/>
    </x:row>
    <x:row r="335">
      <x:c r="A335" s="5" t="n">
        <x:v>330</x:v>
      </x:c>
      <x:c r="B335" s="5"/>
      <x:c r="C335" s="5"/>
      <x:c r="D335" s="5" t="n">
        <x:v>2520</x:v>
      </x:c>
      <x:c r="E335" s="5"/>
      <x:c r="F335" s="5"/>
      <x:c r="G335" s="5"/>
      <x:c r="H335" s="5"/>
      <x:c r="I335" s="5"/>
      <x:c r="J335" s="5"/>
      <x:c r="K335" s="5"/>
      <x:c r="L335" s="5" t="n">
        <x:v>82362</x:v>
      </x:c>
      <x:c r="M335" s="5" t="n">
        <x:v>123135</x:v>
      </x:c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  <x:c r="AQ335" s="5"/>
      <x:c r="AR335" s="5"/>
      <x:c r="AS335" s="5"/>
      <x:c r="AT335" s="5"/>
      <x:c r="AU335" s="5"/>
      <x:c r="AV335" s="5"/>
      <x:c r="AW335" s="5"/>
      <x:c r="AX335" s="5"/>
      <x:c r="AY335" s="5"/>
      <x:c r="AZ335" s="5"/>
      <x:c r="BA335" s="5"/>
      <x:c r="BB335" s="5"/>
      <x:c r="BC335" s="5"/>
      <x:c r="BD335" s="5"/>
      <x:c r="BE335" s="5"/>
      <x:c r="BF335" s="5"/>
      <x:c r="BG335" s="5"/>
      <x:c r="BH335" s="5"/>
      <x:c r="BI335" s="5"/>
      <x:c r="BJ335" s="5"/>
      <x:c r="BK335" s="5"/>
      <x:c r="BL335" s="5"/>
      <x:c r="BM335" s="5"/>
      <x:c r="BN335" s="5"/>
      <x:c r="BO335" s="5"/>
      <x:c r="BP335" s="5"/>
      <x:c r="BQ335" s="5"/>
      <x:c r="BR335" s="5"/>
      <x:c r="BS335" s="5"/>
      <x:c r="BT335" s="5"/>
      <x:c r="BU335" s="5"/>
      <x:c r="BV335" s="5"/>
      <x:c r="BW335" s="5"/>
      <x:c r="BX335" s="5"/>
      <x:c r="BY335" s="5"/>
      <x:c r="BZ335" s="5"/>
      <x:c r="CA335" s="5"/>
      <x:c r="CB335" s="5"/>
      <x:c r="CC335" s="5"/>
      <x:c r="CD335" s="5"/>
      <x:c r="CE335" s="5"/>
      <x:c r="CF335" s="5"/>
      <x:c r="CG335" s="5"/>
      <x:c r="CH335" s="5"/>
      <x:c r="CI335" s="5"/>
      <x:c r="CJ335" s="5"/>
      <x:c r="CK335" s="5"/>
      <x:c r="CL335" s="5"/>
      <x:c r="CM335" s="5"/>
      <x:c r="CN335" s="5"/>
      <x:c r="CO335" s="5"/>
      <x:c r="CP335" s="5"/>
      <x:c r="CQ335" s="5"/>
      <x:c r="CR335" s="5"/>
      <x:c r="CS335" s="5"/>
      <x:c r="CT335" s="5"/>
      <x:c r="CU335" s="5"/>
      <x:c r="CV335" s="5"/>
      <x:c r="CW335" s="5"/>
      <x:c r="CX335" s="5"/>
      <x:c r="CY335" s="5"/>
      <x:c r="CZ335" s="5"/>
      <x:c r="DA335" s="5"/>
      <x:c r="DB335" s="5"/>
      <x:c r="DC335" s="5"/>
      <x:c r="DD335" s="5"/>
      <x:c r="DE335" s="5"/>
      <x:c r="DF335" s="5"/>
      <x:c r="DG335" s="5"/>
      <x:c r="DH335" s="5"/>
      <x:c r="DI335" s="5"/>
      <x:c r="DJ335" s="5"/>
      <x:c r="DK335" s="5"/>
      <x:c r="DL335" s="5"/>
      <x:c r="DM335" s="5"/>
    </x:row>
    <x:row r="336">
      <x:c r="A336" s="5" t="n">
        <x:v>331</x:v>
      </x:c>
      <x:c r="B336" s="5"/>
      <x:c r="C336" s="5"/>
      <x:c r="D336" s="5" t="n">
        <x:v>16.5</x:v>
      </x:c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  <x:c r="AQ336" s="5"/>
      <x:c r="AR336" s="5"/>
      <x:c r="AS336" s="5"/>
      <x:c r="AT336" s="5"/>
      <x:c r="AU336" s="5"/>
      <x:c r="AV336" s="5"/>
      <x:c r="AW336" s="5"/>
      <x:c r="AX336" s="5"/>
      <x:c r="AY336" s="5"/>
      <x:c r="AZ336" s="5"/>
      <x:c r="BA336" s="5"/>
      <x:c r="BB336" s="5"/>
      <x:c r="BC336" s="5"/>
      <x:c r="BD336" s="5"/>
      <x:c r="BE336" s="5"/>
      <x:c r="BF336" s="5"/>
      <x:c r="BG336" s="5"/>
      <x:c r="BH336" s="5"/>
      <x:c r="BI336" s="5"/>
      <x:c r="BJ336" s="5"/>
      <x:c r="BK336" s="5"/>
      <x:c r="BL336" s="5"/>
      <x:c r="BM336" s="5"/>
      <x:c r="BN336" s="5"/>
      <x:c r="BO336" s="5"/>
      <x:c r="BP336" s="5"/>
      <x:c r="BQ336" s="5"/>
      <x:c r="BR336" s="5"/>
      <x:c r="BS336" s="5"/>
      <x:c r="BT336" s="5"/>
      <x:c r="BU336" s="5"/>
      <x:c r="BV336" s="5"/>
      <x:c r="BW336" s="5"/>
      <x:c r="BX336" s="5"/>
      <x:c r="BY336" s="5"/>
      <x:c r="BZ336" s="5"/>
      <x:c r="CA336" s="5"/>
      <x:c r="CB336" s="5"/>
      <x:c r="CC336" s="5"/>
      <x:c r="CD336" s="5"/>
      <x:c r="CE336" s="5"/>
      <x:c r="CF336" s="5"/>
      <x:c r="CG336" s="5"/>
      <x:c r="CH336" s="5"/>
      <x:c r="CI336" s="5"/>
      <x:c r="CJ336" s="5"/>
      <x:c r="CK336" s="5"/>
      <x:c r="CL336" s="5"/>
      <x:c r="CM336" s="5"/>
      <x:c r="CN336" s="5"/>
      <x:c r="CO336" s="5"/>
      <x:c r="CP336" s="5"/>
      <x:c r="CQ336" s="5"/>
      <x:c r="CR336" s="5"/>
      <x:c r="CS336" s="5"/>
      <x:c r="CT336" s="5"/>
      <x:c r="CU336" s="5"/>
      <x:c r="CV336" s="5"/>
      <x:c r="CW336" s="5"/>
      <x:c r="CX336" s="5"/>
      <x:c r="CY336" s="5"/>
      <x:c r="CZ336" s="5"/>
      <x:c r="DA336" s="5"/>
      <x:c r="DB336" s="5"/>
      <x:c r="DC336" s="5"/>
      <x:c r="DD336" s="5"/>
      <x:c r="DE336" s="5"/>
      <x:c r="DF336" s="5"/>
      <x:c r="DG336" s="5"/>
      <x:c r="DH336" s="5"/>
      <x:c r="DI336" s="5"/>
      <x:c r="DJ336" s="5"/>
      <x:c r="DK336" s="5"/>
      <x:c r="DL336" s="5"/>
      <x:c r="DM336" s="5"/>
    </x:row>
    <x:row r="337">
      <x:c r="A337" s="5" t="n">
        <x:v>332</x:v>
      </x:c>
      <x:c r="B337" s="5"/>
      <x:c r="C337" s="5"/>
      <x:c r="D337" s="5" t="n">
        <x:v>1050</x:v>
      </x:c>
      <x:c r="E337" s="5"/>
      <x:c r="F337" s="5"/>
      <x:c r="G337" s="5"/>
      <x:c r="H337" s="5"/>
      <x:c r="I337" s="5"/>
      <x:c r="J337" s="5"/>
      <x:c r="K337" s="5"/>
      <x:c r="L337" s="5" t="n">
        <x:v>3123</x:v>
      </x:c>
      <x:c r="M337" s="5" t="n">
        <x:v>4507</x:v>
      </x:c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  <x:c r="AQ337" s="5"/>
      <x:c r="AR337" s="5"/>
      <x:c r="AS337" s="5"/>
      <x:c r="AT337" s="5"/>
      <x:c r="AU337" s="5"/>
      <x:c r="AV337" s="5"/>
      <x:c r="AW337" s="5"/>
      <x:c r="AX337" s="5"/>
      <x:c r="AY337" s="5"/>
      <x:c r="AZ337" s="5"/>
      <x:c r="BA337" s="5"/>
      <x:c r="BB337" s="5"/>
      <x:c r="BC337" s="5"/>
      <x:c r="BD337" s="5"/>
      <x:c r="BE337" s="5"/>
      <x:c r="BF337" s="5"/>
      <x:c r="BG337" s="5"/>
      <x:c r="BH337" s="5"/>
      <x:c r="BI337" s="5"/>
      <x:c r="BJ337" s="5"/>
      <x:c r="BK337" s="5"/>
      <x:c r="BL337" s="5"/>
      <x:c r="BM337" s="5"/>
      <x:c r="BN337" s="5"/>
      <x:c r="BO337" s="5"/>
      <x:c r="BP337" s="5"/>
      <x:c r="BQ337" s="5"/>
      <x:c r="BR337" s="5"/>
      <x:c r="BS337" s="5"/>
      <x:c r="BT337" s="5"/>
      <x:c r="BU337" s="5"/>
      <x:c r="BV337" s="5"/>
      <x:c r="BW337" s="5"/>
      <x:c r="BX337" s="5"/>
      <x:c r="BY337" s="5"/>
      <x:c r="BZ337" s="5"/>
      <x:c r="CA337" s="5"/>
      <x:c r="CB337" s="5"/>
      <x:c r="CC337" s="5"/>
      <x:c r="CD337" s="5"/>
      <x:c r="CE337" s="5"/>
      <x:c r="CF337" s="5"/>
      <x:c r="CG337" s="5"/>
      <x:c r="CH337" s="5"/>
      <x:c r="CI337" s="5"/>
      <x:c r="CJ337" s="5"/>
      <x:c r="CK337" s="5"/>
      <x:c r="CL337" s="5"/>
      <x:c r="CM337" s="5"/>
      <x:c r="CN337" s="5"/>
      <x:c r="CO337" s="5"/>
      <x:c r="CP337" s="5"/>
      <x:c r="CQ337" s="5"/>
      <x:c r="CR337" s="5"/>
      <x:c r="CS337" s="5"/>
      <x:c r="CT337" s="5"/>
      <x:c r="CU337" s="5"/>
      <x:c r="CV337" s="5"/>
      <x:c r="CW337" s="5"/>
      <x:c r="CX337" s="5"/>
      <x:c r="CY337" s="5"/>
      <x:c r="CZ337" s="5"/>
      <x:c r="DA337" s="5"/>
      <x:c r="DB337" s="5"/>
      <x:c r="DC337" s="5"/>
      <x:c r="DD337" s="5"/>
      <x:c r="DE337" s="5"/>
      <x:c r="DF337" s="5"/>
      <x:c r="DG337" s="5"/>
      <x:c r="DH337" s="5"/>
      <x:c r="DI337" s="5"/>
      <x:c r="DJ337" s="5"/>
      <x:c r="DK337" s="5"/>
      <x:c r="DL337" s="5"/>
      <x:c r="DM337" s="5"/>
    </x:row>
    <x:row r="338">
      <x:c r="A338" s="5" t="n">
        <x:v>333</x:v>
      </x:c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 t="n">
        <x:v>1301</x:v>
      </x:c>
      <x:c r="O338" s="5" t="n">
        <x:v>1075</x:v>
      </x:c>
      <x:c r="P338" s="5" t="n">
        <x:v>1075</x:v>
      </x:c>
      <x:c r="Q338" s="5" t="n">
        <x:v>466</x:v>
      </x:c>
      <x:c r="R338" s="5" t="n">
        <x:v>426</x:v>
      </x:c>
      <x:c r="S338" s="5" t="n">
        <x:v>1075</x:v>
      </x:c>
      <x:c r="T338" s="5"/>
      <x:c r="U338" s="5"/>
      <x:c r="V338" s="5"/>
      <x:c r="W338" s="5"/>
      <x:c r="X338" s="5"/>
      <x:c r="Y338" s="5"/>
      <x:c r="Z338" s="5"/>
      <x:c r="AA338" s="5"/>
      <x:c r="AB338" s="5"/>
      <x:c r="AC338" s="5"/>
      <x:c r="AD338" s="5"/>
      <x:c r="AE338" s="5"/>
      <x:c r="AF338" s="5"/>
      <x:c r="AG338" s="5"/>
      <x:c r="AH338" s="5"/>
      <x:c r="AI338" s="5"/>
      <x:c r="AJ338" s="5"/>
      <x:c r="AK338" s="5"/>
      <x:c r="AL338" s="5"/>
      <x:c r="AM338" s="5"/>
      <x:c r="AN338" s="5"/>
      <x:c r="AO338" s="5"/>
      <x:c r="AP338" s="5"/>
      <x:c r="AQ338" s="5"/>
      <x:c r="AR338" s="5"/>
      <x:c r="AS338" s="5"/>
      <x:c r="AT338" s="5"/>
      <x:c r="AU338" s="5"/>
      <x:c r="AV338" s="5"/>
      <x:c r="AW338" s="5"/>
      <x:c r="AX338" s="5"/>
      <x:c r="AY338" s="5"/>
      <x:c r="AZ338" s="5"/>
      <x:c r="BA338" s="5"/>
      <x:c r="BB338" s="5"/>
      <x:c r="BC338" s="5"/>
      <x:c r="BD338" s="5"/>
      <x:c r="BE338" s="5"/>
      <x:c r="BF338" s="5"/>
      <x:c r="BG338" s="5"/>
      <x:c r="BH338" s="5"/>
      <x:c r="BI338" s="5"/>
      <x:c r="BJ338" s="5"/>
      <x:c r="BK338" s="5"/>
      <x:c r="BL338" s="5"/>
      <x:c r="BM338" s="5"/>
      <x:c r="BN338" s="5"/>
      <x:c r="BO338" s="5"/>
      <x:c r="BP338" s="5"/>
      <x:c r="BQ338" s="5"/>
      <x:c r="BR338" s="5"/>
      <x:c r="BS338" s="5"/>
      <x:c r="BT338" s="5"/>
      <x:c r="BU338" s="5"/>
      <x:c r="BV338" s="5"/>
      <x:c r="BW338" s="5"/>
      <x:c r="BX338" s="5"/>
      <x:c r="BY338" s="5"/>
      <x:c r="BZ338" s="5"/>
      <x:c r="CA338" s="5"/>
      <x:c r="CB338" s="5"/>
      <x:c r="CC338" s="5"/>
      <x:c r="CD338" s="5"/>
      <x:c r="CE338" s="5"/>
      <x:c r="CF338" s="5"/>
      <x:c r="CG338" s="5"/>
      <x:c r="CH338" s="5"/>
      <x:c r="CI338" s="5"/>
      <x:c r="CJ338" s="5"/>
      <x:c r="CK338" s="5"/>
      <x:c r="CL338" s="5"/>
      <x:c r="CM338" s="5"/>
      <x:c r="CN338" s="5"/>
      <x:c r="CO338" s="5"/>
      <x:c r="CP338" s="5"/>
      <x:c r="CQ338" s="5"/>
      <x:c r="CR338" s="5"/>
      <x:c r="CS338" s="5"/>
      <x:c r="CT338" s="5"/>
      <x:c r="CU338" s="5"/>
      <x:c r="CV338" s="5"/>
      <x:c r="CW338" s="5"/>
      <x:c r="CX338" s="5"/>
      <x:c r="CY338" s="5"/>
      <x:c r="CZ338" s="5"/>
      <x:c r="DA338" s="5"/>
      <x:c r="DB338" s="5"/>
      <x:c r="DC338" s="5"/>
      <x:c r="DD338" s="5"/>
      <x:c r="DE338" s="5"/>
      <x:c r="DF338" s="5"/>
      <x:c r="DG338" s="5"/>
      <x:c r="DH338" s="5"/>
      <x:c r="DI338" s="5"/>
      <x:c r="DJ338" s="5"/>
      <x:c r="DK338" s="5"/>
      <x:c r="DL338" s="5"/>
      <x:c r="DM338" s="5"/>
    </x:row>
    <x:row r="339">
      <x:c r="A339" s="5" t="n">
        <x:v>334</x:v>
      </x:c>
      <x:c r="B339" s="5"/>
      <x:c r="C339" s="5"/>
      <x:c r="D339" s="5" t="n">
        <x:v>44000</x:v>
      </x:c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  <x:c r="AQ339" s="5"/>
      <x:c r="AR339" s="5"/>
      <x:c r="AS339" s="5"/>
      <x:c r="AT339" s="5"/>
      <x:c r="AU339" s="5"/>
      <x:c r="AV339" s="5"/>
      <x:c r="AW339" s="5"/>
      <x:c r="AX339" s="5"/>
      <x:c r="AY339" s="5"/>
      <x:c r="AZ339" s="5"/>
      <x:c r="BA339" s="5"/>
      <x:c r="BB339" s="5"/>
      <x:c r="BC339" s="5"/>
      <x:c r="BD339" s="5"/>
      <x:c r="BE339" s="5"/>
      <x:c r="BF339" s="5"/>
      <x:c r="BG339" s="5"/>
      <x:c r="BH339" s="5"/>
      <x:c r="BI339" s="5"/>
      <x:c r="BJ339" s="5"/>
      <x:c r="BK339" s="5"/>
      <x:c r="BL339" s="5"/>
      <x:c r="BM339" s="5"/>
      <x:c r="BN339" s="5"/>
      <x:c r="BO339" s="5"/>
      <x:c r="BP339" s="5"/>
      <x:c r="BQ339" s="5"/>
      <x:c r="BR339" s="5"/>
      <x:c r="BS339" s="5"/>
      <x:c r="BT339" s="5"/>
      <x:c r="BU339" s="5"/>
      <x:c r="BV339" s="5"/>
      <x:c r="BW339" s="5"/>
      <x:c r="BX339" s="5"/>
      <x:c r="BY339" s="5"/>
      <x:c r="BZ339" s="5"/>
      <x:c r="CA339" s="5"/>
      <x:c r="CB339" s="5"/>
      <x:c r="CC339" s="5"/>
      <x:c r="CD339" s="5"/>
      <x:c r="CE339" s="5"/>
      <x:c r="CF339" s="5"/>
      <x:c r="CG339" s="5"/>
      <x:c r="CH339" s="5"/>
      <x:c r="CI339" s="5"/>
      <x:c r="CJ339" s="5"/>
      <x:c r="CK339" s="5"/>
      <x:c r="CL339" s="5"/>
      <x:c r="CM339" s="5"/>
      <x:c r="CN339" s="5"/>
      <x:c r="CO339" s="5"/>
      <x:c r="CP339" s="5"/>
      <x:c r="CQ339" s="5"/>
      <x:c r="CR339" s="5"/>
      <x:c r="CS339" s="5"/>
      <x:c r="CT339" s="5"/>
      <x:c r="CU339" s="5"/>
      <x:c r="CV339" s="5"/>
      <x:c r="CW339" s="5"/>
      <x:c r="CX339" s="5"/>
      <x:c r="CY339" s="5"/>
      <x:c r="CZ339" s="5"/>
      <x:c r="DA339" s="5"/>
      <x:c r="DB339" s="5"/>
      <x:c r="DC339" s="5"/>
      <x:c r="DD339" s="5"/>
      <x:c r="DE339" s="5"/>
      <x:c r="DF339" s="5"/>
      <x:c r="DG339" s="5"/>
      <x:c r="DH339" s="5"/>
      <x:c r="DI339" s="5"/>
      <x:c r="DJ339" s="5"/>
      <x:c r="DK339" s="5"/>
      <x:c r="DL339" s="5"/>
      <x:c r="DM339" s="5"/>
    </x:row>
    <x:row r="340">
      <x:c r="A340" s="5" t="n">
        <x:v>335</x:v>
      </x:c>
      <x:c r="B340" s="5"/>
      <x:c r="C340" s="5"/>
      <x:c r="D340" s="5"/>
      <x:c r="E340" s="5"/>
      <x:c r="F340" s="5"/>
      <x:c r="G340" s="5" t="n">
        <x:v>0.36</x:v>
      </x:c>
      <x:c r="H340" s="5" t="n">
        <x:v>2.88</x:v>
      </x:c>
      <x:c r="I340" s="5" t="n">
        <x:v>1.39</x:v>
      </x:c>
      <x:c r="J340" s="5" t="n">
        <x:v>84.16</x:v>
      </x:c>
      <x:c r="K340" s="5" t="n">
        <x:v>4.43</x:v>
      </x:c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  <x:c r="AQ340" s="5"/>
      <x:c r="AR340" s="5"/>
      <x:c r="AS340" s="5"/>
      <x:c r="AT340" s="5"/>
      <x:c r="AU340" s="5"/>
      <x:c r="AV340" s="5"/>
      <x:c r="AW340" s="5"/>
      <x:c r="AX340" s="5"/>
      <x:c r="AY340" s="5"/>
      <x:c r="AZ340" s="5"/>
      <x:c r="BA340" s="5"/>
      <x:c r="BB340" s="5"/>
      <x:c r="BC340" s="5"/>
      <x:c r="BD340" s="5"/>
      <x:c r="BE340" s="5"/>
      <x:c r="BF340" s="5"/>
      <x:c r="BG340" s="5"/>
      <x:c r="BH340" s="5"/>
      <x:c r="BI340" s="5"/>
      <x:c r="BJ340" s="5"/>
      <x:c r="BK340" s="5"/>
      <x:c r="BL340" s="5"/>
      <x:c r="BM340" s="5"/>
      <x:c r="BN340" s="5"/>
      <x:c r="BO340" s="5"/>
      <x:c r="BP340" s="5"/>
      <x:c r="BQ340" s="5"/>
      <x:c r="BR340" s="5"/>
      <x:c r="BS340" s="5"/>
      <x:c r="BT340" s="5"/>
      <x:c r="BU340" s="5"/>
      <x:c r="BV340" s="5"/>
      <x:c r="BW340" s="5"/>
      <x:c r="BX340" s="5"/>
      <x:c r="BY340" s="5"/>
      <x:c r="BZ340" s="5"/>
      <x:c r="CA340" s="5"/>
      <x:c r="CB340" s="5"/>
      <x:c r="CC340" s="5"/>
      <x:c r="CD340" s="5"/>
      <x:c r="CE340" s="5"/>
      <x:c r="CF340" s="5"/>
      <x:c r="CG340" s="5"/>
      <x:c r="CH340" s="5"/>
      <x:c r="CI340" s="5"/>
      <x:c r="CJ340" s="5"/>
      <x:c r="CK340" s="5"/>
      <x:c r="CL340" s="5"/>
      <x:c r="CM340" s="5"/>
      <x:c r="CN340" s="5"/>
      <x:c r="CO340" s="5"/>
      <x:c r="CP340" s="5"/>
      <x:c r="CQ340" s="5"/>
      <x:c r="CR340" s="5"/>
      <x:c r="CS340" s="5"/>
      <x:c r="CT340" s="5"/>
      <x:c r="CU340" s="5"/>
      <x:c r="CV340" s="5"/>
      <x:c r="CW340" s="5"/>
      <x:c r="CX340" s="5"/>
      <x:c r="CY340" s="5"/>
      <x:c r="CZ340" s="5"/>
      <x:c r="DA340" s="5"/>
      <x:c r="DB340" s="5"/>
      <x:c r="DC340" s="5"/>
      <x:c r="DD340" s="5"/>
      <x:c r="DE340" s="5"/>
      <x:c r="DF340" s="5"/>
      <x:c r="DG340" s="5"/>
      <x:c r="DH340" s="5"/>
      <x:c r="DI340" s="5"/>
      <x:c r="DJ340" s="5"/>
      <x:c r="DK340" s="5"/>
      <x:c r="DL340" s="5"/>
      <x:c r="DM340" s="5"/>
    </x:row>
    <x:row r="341">
      <x:c r="A341" s="5" t="n">
        <x:v>336</x:v>
      </x:c>
      <x:c r="B341" s="5"/>
      <x:c r="C341" s="5"/>
      <x:c r="D341" s="5"/>
      <x:c r="E341" s="5"/>
      <x:c r="F341" s="5"/>
      <x:c r="G341" s="5" t="n">
        <x:v>9718.36</x:v>
      </x:c>
      <x:c r="H341" s="5" t="n">
        <x:v>5691.46</x:v>
      </x:c>
      <x:c r="I341" s="5" t="n">
        <x:v>7314.51</x:v>
      </x:c>
      <x:c r="J341" s="5" t="n">
        <x:v>15138.07</x:v>
      </x:c>
      <x:c r="K341" s="5" t="n">
        <x:v>2365.63</x:v>
      </x:c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  <x:c r="AQ341" s="5"/>
      <x:c r="AR341" s="5"/>
      <x:c r="AS341" s="5"/>
      <x:c r="AT341" s="5"/>
      <x:c r="AU341" s="5"/>
      <x:c r="AV341" s="5"/>
      <x:c r="AW341" s="5"/>
      <x:c r="AX341" s="5"/>
      <x:c r="AY341" s="5"/>
      <x:c r="AZ341" s="5"/>
      <x:c r="BA341" s="5"/>
      <x:c r="BB341" s="5"/>
      <x:c r="BC341" s="5"/>
      <x:c r="BD341" s="5"/>
      <x:c r="BE341" s="5"/>
      <x:c r="BF341" s="5"/>
      <x:c r="BG341" s="5"/>
      <x:c r="BH341" s="5"/>
      <x:c r="BI341" s="5"/>
      <x:c r="BJ341" s="5"/>
      <x:c r="BK341" s="5"/>
      <x:c r="BL341" s="5"/>
      <x:c r="BM341" s="5"/>
      <x:c r="BN341" s="5"/>
      <x:c r="BO341" s="5"/>
      <x:c r="BP341" s="5"/>
      <x:c r="BQ341" s="5"/>
      <x:c r="BR341" s="5"/>
      <x:c r="BS341" s="5"/>
      <x:c r="BT341" s="5"/>
      <x:c r="BU341" s="5"/>
      <x:c r="BV341" s="5"/>
      <x:c r="BW341" s="5"/>
      <x:c r="BX341" s="5"/>
      <x:c r="BY341" s="5"/>
      <x:c r="BZ341" s="5"/>
      <x:c r="CA341" s="5"/>
      <x:c r="CB341" s="5"/>
      <x:c r="CC341" s="5"/>
      <x:c r="CD341" s="5"/>
      <x:c r="CE341" s="5"/>
      <x:c r="CF341" s="5"/>
      <x:c r="CG341" s="5"/>
      <x:c r="CH341" s="5"/>
      <x:c r="CI341" s="5"/>
      <x:c r="CJ341" s="5"/>
      <x:c r="CK341" s="5"/>
      <x:c r="CL341" s="5"/>
      <x:c r="CM341" s="5"/>
      <x:c r="CN341" s="5"/>
      <x:c r="CO341" s="5"/>
      <x:c r="CP341" s="5"/>
      <x:c r="CQ341" s="5"/>
      <x:c r="CR341" s="5"/>
      <x:c r="CS341" s="5"/>
      <x:c r="CT341" s="5"/>
      <x:c r="CU341" s="5"/>
      <x:c r="CV341" s="5"/>
      <x:c r="CW341" s="5"/>
      <x:c r="CX341" s="5"/>
      <x:c r="CY341" s="5"/>
      <x:c r="CZ341" s="5"/>
      <x:c r="DA341" s="5"/>
      <x:c r="DB341" s="5"/>
      <x:c r="DC341" s="5"/>
      <x:c r="DD341" s="5"/>
      <x:c r="DE341" s="5"/>
      <x:c r="DF341" s="5"/>
      <x:c r="DG341" s="5"/>
      <x:c r="DH341" s="5"/>
      <x:c r="DI341" s="5"/>
      <x:c r="DJ341" s="5"/>
      <x:c r="DK341" s="5"/>
      <x:c r="DL341" s="5"/>
      <x:c r="DM341" s="5"/>
    </x:row>
    <x:row r="342">
      <x:c r="A342" s="5" t="n">
        <x:v>337</x:v>
      </x:c>
      <x:c r="B342" s="5"/>
      <x:c r="C342" s="5"/>
      <x:c r="D342" s="5" t="n">
        <x:v>730</x:v>
      </x:c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  <x:c r="AQ342" s="5"/>
      <x:c r="AR342" s="5"/>
      <x:c r="AS342" s="5"/>
      <x:c r="AT342" s="5"/>
      <x:c r="AU342" s="5"/>
      <x:c r="AV342" s="5"/>
      <x:c r="AW342" s="5"/>
      <x:c r="AX342" s="5"/>
      <x:c r="AY342" s="5"/>
      <x:c r="AZ342" s="5"/>
      <x:c r="BA342" s="5"/>
      <x:c r="BB342" s="5"/>
      <x:c r="BC342" s="5"/>
      <x:c r="BD342" s="5"/>
      <x:c r="BE342" s="5"/>
      <x:c r="BF342" s="5"/>
      <x:c r="BG342" s="5"/>
      <x:c r="BH342" s="5"/>
      <x:c r="BI342" s="5"/>
      <x:c r="BJ342" s="5"/>
      <x:c r="BK342" s="5"/>
      <x:c r="BL342" s="5"/>
      <x:c r="BM342" s="5"/>
      <x:c r="BN342" s="5"/>
      <x:c r="BO342" s="5"/>
      <x:c r="BP342" s="5"/>
      <x:c r="BQ342" s="5"/>
      <x:c r="BR342" s="5"/>
      <x:c r="BS342" s="5"/>
      <x:c r="BT342" s="5"/>
      <x:c r="BU342" s="5"/>
      <x:c r="BV342" s="5"/>
      <x:c r="BW342" s="5"/>
      <x:c r="BX342" s="5"/>
      <x:c r="BY342" s="5"/>
      <x:c r="BZ342" s="5"/>
      <x:c r="CA342" s="5"/>
      <x:c r="CB342" s="5"/>
      <x:c r="CC342" s="5"/>
      <x:c r="CD342" s="5"/>
      <x:c r="CE342" s="5"/>
      <x:c r="CF342" s="5"/>
      <x:c r="CG342" s="5"/>
      <x:c r="CH342" s="5"/>
      <x:c r="CI342" s="5"/>
      <x:c r="CJ342" s="5"/>
      <x:c r="CK342" s="5"/>
      <x:c r="CL342" s="5"/>
      <x:c r="CM342" s="5"/>
      <x:c r="CN342" s="5"/>
      <x:c r="CO342" s="5"/>
      <x:c r="CP342" s="5"/>
      <x:c r="CQ342" s="5"/>
      <x:c r="CR342" s="5"/>
      <x:c r="CS342" s="5"/>
      <x:c r="CT342" s="5"/>
      <x:c r="CU342" s="5"/>
      <x:c r="CV342" s="5"/>
      <x:c r="CW342" s="5"/>
      <x:c r="CX342" s="5"/>
      <x:c r="CY342" s="5"/>
      <x:c r="CZ342" s="5"/>
      <x:c r="DA342" s="5"/>
      <x:c r="DB342" s="5"/>
      <x:c r="DC342" s="5"/>
      <x:c r="DD342" s="5"/>
      <x:c r="DE342" s="5"/>
      <x:c r="DF342" s="5"/>
      <x:c r="DG342" s="5"/>
      <x:c r="DH342" s="5"/>
      <x:c r="DI342" s="5"/>
      <x:c r="DJ342" s="5"/>
      <x:c r="DK342" s="5"/>
      <x:c r="DL342" s="5"/>
      <x:c r="DM342" s="5"/>
    </x:row>
    <x:row r="343">
      <x:c r="A343" s="5" t="n">
        <x:v>338</x:v>
      </x:c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 t="n">
        <x:v>1.5</x:v>
      </x:c>
      <x:c r="W343" s="5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  <x:c r="AQ343" s="5"/>
      <x:c r="AR343" s="5"/>
      <x:c r="AS343" s="5"/>
      <x:c r="AT343" s="5"/>
      <x:c r="AU343" s="5"/>
      <x:c r="AV343" s="5"/>
      <x:c r="AW343" s="5"/>
      <x:c r="AX343" s="5"/>
      <x:c r="AY343" s="5"/>
      <x:c r="AZ343" s="5"/>
      <x:c r="BA343" s="5"/>
      <x:c r="BB343" s="5"/>
      <x:c r="BC343" s="5"/>
      <x:c r="BD343" s="5"/>
      <x:c r="BE343" s="5"/>
      <x:c r="BF343" s="5"/>
      <x:c r="BG343" s="5"/>
      <x:c r="BH343" s="5"/>
      <x:c r="BI343" s="5"/>
      <x:c r="BJ343" s="5"/>
      <x:c r="BK343" s="5"/>
      <x:c r="BL343" s="5"/>
      <x:c r="BM343" s="5"/>
      <x:c r="BN343" s="5"/>
      <x:c r="BO343" s="5"/>
      <x:c r="BP343" s="5"/>
      <x:c r="BQ343" s="5"/>
      <x:c r="BR343" s="5"/>
      <x:c r="BS343" s="5"/>
      <x:c r="BT343" s="5"/>
      <x:c r="BU343" s="5"/>
      <x:c r="BV343" s="5"/>
      <x:c r="BW343" s="5"/>
      <x:c r="BX343" s="5"/>
      <x:c r="BY343" s="5"/>
      <x:c r="BZ343" s="5"/>
      <x:c r="CA343" s="5"/>
      <x:c r="CB343" s="5"/>
      <x:c r="CC343" s="5"/>
      <x:c r="CD343" s="5"/>
      <x:c r="CE343" s="5"/>
      <x:c r="CF343" s="5"/>
      <x:c r="CG343" s="5"/>
      <x:c r="CH343" s="5"/>
      <x:c r="CI343" s="5"/>
      <x:c r="CJ343" s="5"/>
      <x:c r="CK343" s="5"/>
      <x:c r="CL343" s="5"/>
      <x:c r="CM343" s="5"/>
      <x:c r="CN343" s="5"/>
      <x:c r="CO343" s="5"/>
      <x:c r="CP343" s="5"/>
      <x:c r="CQ343" s="5"/>
      <x:c r="CR343" s="5"/>
      <x:c r="CS343" s="5"/>
      <x:c r="CT343" s="5"/>
      <x:c r="CU343" s="5"/>
      <x:c r="CV343" s="5"/>
      <x:c r="CW343" s="5"/>
      <x:c r="CX343" s="5"/>
      <x:c r="CY343" s="5"/>
      <x:c r="CZ343" s="5"/>
      <x:c r="DA343" s="5"/>
      <x:c r="DB343" s="5"/>
      <x:c r="DC343" s="5"/>
      <x:c r="DD343" s="5"/>
      <x:c r="DE343" s="5"/>
      <x:c r="DF343" s="5"/>
      <x:c r="DG343" s="5"/>
      <x:c r="DH343" s="5"/>
      <x:c r="DI343" s="5"/>
      <x:c r="DJ343" s="5"/>
      <x:c r="DK343" s="5"/>
      <x:c r="DL343" s="5"/>
      <x:c r="DM343" s="5"/>
    </x:row>
    <x:row r="344">
      <x:c r="A344" s="5" t="n">
        <x:v>339</x:v>
      </x:c>
      <x:c r="B344" s="5" t="str">
        <x:v>β－苯乙醇</x:v>
      </x:c>
      <x:c r="C344" s="5"/>
      <x:c r="D344" s="5" t="n">
        <x:v>28900</x:v>
      </x:c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  <x:c r="AQ344" s="5"/>
      <x:c r="AR344" s="5"/>
      <x:c r="AS344" s="5"/>
      <x:c r="AT344" s="5"/>
      <x:c r="AU344" s="5"/>
      <x:c r="AV344" s="5"/>
      <x:c r="AW344" s="5"/>
      <x:c r="AX344" s="5"/>
      <x:c r="AY344" s="5"/>
      <x:c r="AZ344" s="5"/>
      <x:c r="BA344" s="5"/>
      <x:c r="BB344" s="5"/>
      <x:c r="BC344" s="5"/>
      <x:c r="BD344" s="5"/>
      <x:c r="BE344" s="5"/>
      <x:c r="BF344" s="5"/>
      <x:c r="BG344" s="5"/>
      <x:c r="BH344" s="5"/>
      <x:c r="BI344" s="5"/>
      <x:c r="BJ344" s="5"/>
      <x:c r="BK344" s="5"/>
      <x:c r="BL344" s="5"/>
      <x:c r="BM344" s="5"/>
      <x:c r="BN344" s="5"/>
      <x:c r="BO344" s="5"/>
      <x:c r="BP344" s="5"/>
      <x:c r="BQ344" s="5" t="n">
        <x:v>5600</x:v>
      </x:c>
      <x:c r="BR344" s="5" t="n">
        <x:v>1300</x:v>
      </x:c>
      <x:c r="BS344" s="5" t="n">
        <x:v>500</x:v>
      </x:c>
      <x:c r="BT344" s="5" t="n">
        <x:v>1100</x:v>
      </x:c>
      <x:c r="BU344" s="5" t="n">
        <x:v>2000</x:v>
      </x:c>
      <x:c r="BV344" s="5" t="n">
        <x:v>4300</x:v>
      </x:c>
      <x:c r="BW344" s="5" t="n">
        <x:v>1100</x:v>
      </x:c>
      <x:c r="BX344" s="5" t="n">
        <x:v>2100</x:v>
      </x:c>
      <x:c r="BY344" s="5" t="n">
        <x:v>1200</x:v>
      </x:c>
      <x:c r="BZ344" s="5"/>
      <x:c r="CA344" s="5"/>
      <x:c r="CB344" s="5"/>
      <x:c r="CC344" s="5"/>
      <x:c r="CD344" s="5"/>
      <x:c r="CE344" s="5"/>
      <x:c r="CF344" s="5"/>
      <x:c r="CG344" s="5"/>
      <x:c r="CH344" s="5"/>
      <x:c r="CI344" s="5"/>
      <x:c r="CJ344" s="5"/>
      <x:c r="CK344" s="5"/>
      <x:c r="CL344" s="5"/>
      <x:c r="CM344" s="5"/>
      <x:c r="CN344" s="5"/>
      <x:c r="CO344" s="5"/>
      <x:c r="CP344" s="5"/>
      <x:c r="CQ344" s="5"/>
      <x:c r="CR344" s="5"/>
      <x:c r="CS344" s="5"/>
      <x:c r="CT344" s="5"/>
      <x:c r="CU344" s="5"/>
      <x:c r="CV344" s="5"/>
      <x:c r="CW344" s="5"/>
      <x:c r="CX344" s="5"/>
      <x:c r="CY344" s="5"/>
      <x:c r="CZ344" s="5"/>
      <x:c r="DA344" s="5"/>
      <x:c r="DB344" s="5"/>
      <x:c r="DC344" s="5"/>
      <x:c r="DD344" s="5"/>
      <x:c r="DE344" s="5"/>
      <x:c r="DF344" s="5"/>
      <x:c r="DG344" s="5"/>
      <x:c r="DH344" s="5"/>
      <x:c r="DI344" s="5"/>
      <x:c r="DJ344" s="5"/>
      <x:c r="DK344" s="5"/>
      <x:c r="DL344" s="5"/>
      <x:c r="DM344" s="5"/>
    </x:row>
    <x:row r="345">
      <x:c r="A345" s="5" t="n">
        <x:v>340</x:v>
      </x:c>
      <x:c r="B345" s="5" t="str">
        <x:v>丁二酸二乙酯（mg·L-1）</x:v>
      </x:c>
      <x:c r="C345" s="5"/>
      <x:c r="D345" s="5" t="n">
        <x:v>353193</x:v>
      </x:c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  <x:c r="AQ345" s="5"/>
      <x:c r="AR345" s="5"/>
      <x:c r="AS345" s="5"/>
      <x:c r="AT345" s="5"/>
      <x:c r="AU345" s="5"/>
      <x:c r="AV345" s="5"/>
      <x:c r="AW345" s="5"/>
      <x:c r="AX345" s="5"/>
      <x:c r="AY345" s="5"/>
      <x:c r="AZ345" s="5"/>
      <x:c r="BA345" s="5"/>
      <x:c r="BB345" s="5"/>
      <x:c r="BC345" s="5"/>
      <x:c r="BD345" s="5"/>
      <x:c r="BE345" s="5"/>
      <x:c r="BF345" s="5"/>
      <x:c r="BG345" s="5"/>
      <x:c r="BH345" s="5"/>
      <x:c r="BI345" s="5"/>
      <x:c r="BJ345" s="5"/>
      <x:c r="BK345" s="5"/>
      <x:c r="BL345" s="5" t="n">
        <x:v>20.85</x:v>
      </x:c>
      <x:c r="BM345" s="5" t="n">
        <x:v>19.36</x:v>
      </x:c>
      <x:c r="BN345" s="5"/>
      <x:c r="BO345" s="5"/>
      <x:c r="BP345" s="5"/>
      <x:c r="BQ345" s="5"/>
      <x:c r="BR345" s="5"/>
      <x:c r="BS345" s="5"/>
      <x:c r="BT345" s="5"/>
      <x:c r="BU345" s="5"/>
      <x:c r="BV345" s="5"/>
      <x:c r="BW345" s="5"/>
      <x:c r="BX345" s="5"/>
      <x:c r="BY345" s="5"/>
      <x:c r="BZ345" s="5"/>
      <x:c r="CA345" s="5"/>
      <x:c r="CB345" s="5"/>
      <x:c r="CC345" s="5"/>
      <x:c r="CD345" s="5"/>
      <x:c r="CE345" s="5"/>
      <x:c r="CF345" s="5"/>
      <x:c r="CG345" s="5"/>
      <x:c r="CH345" s="5"/>
      <x:c r="CI345" s="5"/>
      <x:c r="CJ345" s="5"/>
      <x:c r="CK345" s="5"/>
      <x:c r="CL345" s="5"/>
      <x:c r="CM345" s="5"/>
      <x:c r="CN345" s="5"/>
      <x:c r="CO345" s="5"/>
      <x:c r="CP345" s="5"/>
      <x:c r="CQ345" s="5"/>
      <x:c r="CR345" s="5"/>
      <x:c r="CS345" s="5"/>
      <x:c r="CT345" s="5"/>
      <x:c r="CU345" s="5"/>
      <x:c r="CV345" s="5"/>
      <x:c r="CW345" s="5"/>
      <x:c r="CX345" s="5"/>
      <x:c r="CY345" s="5"/>
      <x:c r="CZ345" s="5"/>
      <x:c r="DA345" s="5"/>
      <x:c r="DB345" s="5"/>
      <x:c r="DC345" s="5"/>
      <x:c r="DD345" s="5"/>
      <x:c r="DE345" s="5"/>
      <x:c r="DF345" s="5"/>
      <x:c r="DG345" s="5"/>
      <x:c r="DH345" s="5"/>
      <x:c r="DI345" s="5"/>
      <x:c r="DJ345" s="5"/>
      <x:c r="DK345" s="5"/>
      <x:c r="DL345" s="5"/>
      <x:c r="DM345" s="5"/>
    </x:row>
    <x:row r="346">
      <x:c r="A346" s="5" t="n">
        <x:v>341</x:v>
      </x:c>
      <x:c r="B346" s="5" t="str">
        <x:v>丁酸-3 甲基丁酯（mg·L-1）</x:v>
      </x:c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  <x:c r="AQ346" s="5"/>
      <x:c r="AR346" s="5"/>
      <x:c r="AS346" s="5"/>
      <x:c r="AT346" s="5"/>
      <x:c r="AU346" s="5"/>
      <x:c r="AV346" s="5"/>
      <x:c r="AW346" s="5"/>
      <x:c r="AX346" s="5"/>
      <x:c r="AY346" s="5"/>
      <x:c r="AZ346" s="5"/>
      <x:c r="BA346" s="5"/>
      <x:c r="BB346" s="5"/>
      <x:c r="BC346" s="5"/>
      <x:c r="BD346" s="5"/>
      <x:c r="BE346" s="5"/>
      <x:c r="BF346" s="5"/>
      <x:c r="BG346" s="5"/>
      <x:c r="BH346" s="5"/>
      <x:c r="BI346" s="5"/>
      <x:c r="BJ346" s="5"/>
      <x:c r="BK346" s="5"/>
      <x:c r="BL346" s="5" t="n">
        <x:v>1.56</x:v>
      </x:c>
      <x:c r="BM346" s="5" t="n">
        <x:v>2.58</x:v>
      </x:c>
      <x:c r="BN346" s="5"/>
      <x:c r="BO346" s="5"/>
      <x:c r="BP346" s="5"/>
      <x:c r="BQ346" s="5"/>
      <x:c r="BR346" s="5"/>
      <x:c r="BS346" s="5"/>
      <x:c r="BT346" s="5"/>
      <x:c r="BU346" s="5"/>
      <x:c r="BV346" s="5"/>
      <x:c r="BW346" s="5"/>
      <x:c r="BX346" s="5"/>
      <x:c r="BY346" s="5"/>
      <x:c r="BZ346" s="5"/>
      <x:c r="CA346" s="5"/>
      <x:c r="CB346" s="5"/>
      <x:c r="CC346" s="5"/>
      <x:c r="CD346" s="5"/>
      <x:c r="CE346" s="5"/>
      <x:c r="CF346" s="5"/>
      <x:c r="CG346" s="5"/>
      <x:c r="CH346" s="5"/>
      <x:c r="CI346" s="5"/>
      <x:c r="CJ346" s="5"/>
      <x:c r="CK346" s="5"/>
      <x:c r="CL346" s="5"/>
      <x:c r="CM346" s="5"/>
      <x:c r="CN346" s="5"/>
      <x:c r="CO346" s="5"/>
      <x:c r="CP346" s="5"/>
      <x:c r="CQ346" s="5"/>
      <x:c r="CR346" s="5"/>
      <x:c r="CS346" s="5"/>
      <x:c r="CT346" s="5"/>
      <x:c r="CU346" s="5"/>
      <x:c r="CV346" s="5"/>
      <x:c r="CW346" s="5"/>
      <x:c r="CX346" s="5"/>
      <x:c r="CY346" s="5"/>
      <x:c r="CZ346" s="5"/>
      <x:c r="DA346" s="5"/>
      <x:c r="DB346" s="5"/>
      <x:c r="DC346" s="5"/>
      <x:c r="DD346" s="5"/>
      <x:c r="DE346" s="5"/>
      <x:c r="DF346" s="5"/>
      <x:c r="DG346" s="5"/>
      <x:c r="DH346" s="5"/>
      <x:c r="DI346" s="5"/>
      <x:c r="DJ346" s="5"/>
      <x:c r="DK346" s="5"/>
      <x:c r="DL346" s="5"/>
      <x:c r="DM346" s="5"/>
    </x:row>
    <x:row r="347">
      <x:c r="A347" s="5" t="n">
        <x:v>342</x:v>
      </x:c>
      <x:c r="B347" s="5" t="str">
        <x:v>丁酸异丁酯3-</x:v>
      </x:c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  <x:c r="AQ347" s="5"/>
      <x:c r="AR347" s="5"/>
      <x:c r="AS347" s="5"/>
      <x:c r="AT347" s="5"/>
      <x:c r="AU347" s="5"/>
      <x:c r="AV347" s="5"/>
      <x:c r="AW347" s="5"/>
      <x:c r="AX347" s="5"/>
      <x:c r="AY347" s="5"/>
      <x:c r="AZ347" s="5"/>
      <x:c r="BA347" s="5"/>
      <x:c r="BB347" s="5"/>
      <x:c r="BC347" s="5"/>
      <x:c r="BD347" s="5"/>
      <x:c r="BE347" s="5"/>
      <x:c r="BF347" s="5"/>
      <x:c r="BG347" s="5"/>
      <x:c r="BH347" s="5"/>
      <x:c r="BI347" s="5"/>
      <x:c r="BJ347" s="5"/>
      <x:c r="BK347" s="5"/>
      <x:c r="BL347" s="5"/>
      <x:c r="BM347" s="5"/>
      <x:c r="BN347" s="5"/>
      <x:c r="BO347" s="5"/>
      <x:c r="BP347" s="5"/>
      <x:c r="BQ347" s="5"/>
      <x:c r="BR347" s="5"/>
      <x:c r="BS347" s="5"/>
      <x:c r="BT347" s="5"/>
      <x:c r="BU347" s="5"/>
      <x:c r="BV347" s="5"/>
      <x:c r="BW347" s="5"/>
      <x:c r="BX347" s="5"/>
      <x:c r="BY347" s="5"/>
      <x:c r="BZ347" s="5"/>
      <x:c r="CA347" s="5"/>
      <x:c r="CB347" s="5"/>
      <x:c r="CC347" s="5"/>
      <x:c r="CD347" s="5"/>
      <x:c r="CE347" s="5"/>
      <x:c r="CF347" s="5"/>
      <x:c r="CG347" s="5"/>
      <x:c r="CH347" s="5"/>
      <x:c r="CI347" s="5"/>
      <x:c r="CJ347" s="5"/>
      <x:c r="CK347" s="5"/>
      <x:c r="CL347" s="5"/>
      <x:c r="CM347" s="5"/>
      <x:c r="CN347" s="5" t="n">
        <x:v>600</x:v>
      </x:c>
      <x:c r="CO347" s="5" t="n">
        <x:v>3555</x:v>
      </x:c>
      <x:c r="CP347" s="5" t="n">
        <x:v>711</x:v>
      </x:c>
      <x:c r="CQ347" s="5" t="n">
        <x:v>878</x:v>
      </x:c>
      <x:c r="CR347" s="5"/>
      <x:c r="CS347" s="5"/>
      <x:c r="CT347" s="5"/>
      <x:c r="CU347" s="5"/>
      <x:c r="CV347" s="5"/>
      <x:c r="CW347" s="5"/>
      <x:c r="CX347" s="5"/>
      <x:c r="CY347" s="5"/>
      <x:c r="CZ347" s="5"/>
      <x:c r="DA347" s="5"/>
      <x:c r="DB347" s="5"/>
      <x:c r="DC347" s="5"/>
      <x:c r="DD347" s="5"/>
      <x:c r="DE347" s="5"/>
      <x:c r="DF347" s="5"/>
      <x:c r="DG347" s="5"/>
      <x:c r="DH347" s="5"/>
      <x:c r="DI347" s="5"/>
      <x:c r="DJ347" s="5"/>
      <x:c r="DK347" s="5"/>
      <x:c r="DL347" s="5"/>
      <x:c r="DM347" s="5"/>
    </x:row>
    <x:row r="348">
      <x:c r="A348" s="5" t="n">
        <x:v>343</x:v>
      </x:c>
      <x:c r="B348" s="5" t="str">
        <x:v>乙烯二乙酯</x:v>
      </x:c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  <x:c r="AQ348" s="5"/>
      <x:c r="AR348" s="5"/>
      <x:c r="AS348" s="5"/>
      <x:c r="AT348" s="5"/>
      <x:c r="AU348" s="5"/>
      <x:c r="AV348" s="5"/>
      <x:c r="AW348" s="5"/>
      <x:c r="AX348" s="5"/>
      <x:c r="AY348" s="5"/>
      <x:c r="AZ348" s="5"/>
      <x:c r="BA348" s="5"/>
      <x:c r="BB348" s="5"/>
      <x:c r="BC348" s="5"/>
      <x:c r="BD348" s="5"/>
      <x:c r="BE348" s="5"/>
      <x:c r="BF348" s="5"/>
      <x:c r="BG348" s="5"/>
      <x:c r="BH348" s="5"/>
      <x:c r="BI348" s="5"/>
      <x:c r="BJ348" s="5"/>
      <x:c r="BK348" s="5"/>
      <x:c r="BL348" s="5"/>
      <x:c r="BM348" s="5"/>
      <x:c r="BN348" s="5"/>
      <x:c r="BO348" s="5"/>
      <x:c r="BP348" s="5"/>
      <x:c r="BQ348" s="5"/>
      <x:c r="BR348" s="5"/>
      <x:c r="BS348" s="5"/>
      <x:c r="BT348" s="5"/>
      <x:c r="BU348" s="5"/>
      <x:c r="BV348" s="5"/>
      <x:c r="BW348" s="5"/>
      <x:c r="BX348" s="5"/>
      <x:c r="BY348" s="5"/>
      <x:c r="BZ348" s="5"/>
      <x:c r="CA348" s="5"/>
      <x:c r="CB348" s="5"/>
      <x:c r="CC348" s="5"/>
      <x:c r="CD348" s="5"/>
      <x:c r="CE348" s="5"/>
      <x:c r="CF348" s="5"/>
      <x:c r="CG348" s="5"/>
      <x:c r="CH348" s="5"/>
      <x:c r="CI348" s="5"/>
      <x:c r="CJ348" s="5"/>
      <x:c r="CK348" s="5"/>
      <x:c r="CL348" s="5"/>
      <x:c r="CM348" s="5"/>
      <x:c r="CN348" s="5"/>
      <x:c r="CO348" s="5"/>
      <x:c r="CP348" s="5"/>
      <x:c r="CQ348" s="5"/>
      <x:c r="CR348" s="5"/>
      <x:c r="CS348" s="5"/>
      <x:c r="CT348" s="5" t="n">
        <x:v>56.94</x:v>
      </x:c>
      <x:c r="CU348" s="5"/>
      <x:c r="CV348" s="5"/>
      <x:c r="CW348" s="5"/>
      <x:c r="CX348" s="5"/>
      <x:c r="CY348" s="5"/>
      <x:c r="CZ348" s="5"/>
      <x:c r="DA348" s="5"/>
      <x:c r="DB348" s="5"/>
      <x:c r="DC348" s="5"/>
      <x:c r="DD348" s="5"/>
      <x:c r="DE348" s="5"/>
      <x:c r="DF348" s="5"/>
      <x:c r="DG348" s="5"/>
      <x:c r="DH348" s="5"/>
      <x:c r="DI348" s="5"/>
      <x:c r="DJ348" s="5"/>
      <x:c r="DK348" s="5"/>
      <x:c r="DL348" s="5"/>
      <x:c r="DM348" s="5"/>
    </x:row>
    <x:row r="349">
      <x:c r="A349" s="5" t="n">
        <x:v>344</x:v>
      </x:c>
      <x:c r="B349" s="5" t="str">
        <x:v>乙缩醛（mg·L-1）</x:v>
      </x:c>
      <x:c r="C349" s="5"/>
      <x:c r="D349" s="5" t="n">
        <x:v>2090</x:v>
      </x:c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  <x:c r="AQ349" s="5"/>
      <x:c r="AR349" s="5"/>
      <x:c r="AS349" s="5"/>
      <x:c r="AT349" s="5"/>
      <x:c r="AU349" s="5"/>
      <x:c r="AV349" s="5"/>
      <x:c r="AW349" s="5"/>
      <x:c r="AX349" s="5"/>
      <x:c r="AY349" s="5"/>
      <x:c r="AZ349" s="5"/>
      <x:c r="BA349" s="5"/>
      <x:c r="BB349" s="5"/>
      <x:c r="BC349" s="5"/>
      <x:c r="BD349" s="5"/>
      <x:c r="BE349" s="5"/>
      <x:c r="BF349" s="5"/>
      <x:c r="BG349" s="5"/>
      <x:c r="BH349" s="5"/>
      <x:c r="BI349" s="5"/>
      <x:c r="BJ349" s="5"/>
      <x:c r="BK349" s="5"/>
      <x:c r="BL349" s="5" t="n">
        <x:v>30.34</x:v>
      </x:c>
      <x:c r="BM349" s="5" t="n">
        <x:v>47.06</x:v>
      </x:c>
      <x:c r="BN349" s="5"/>
      <x:c r="BO349" s="5"/>
      <x:c r="BP349" s="5"/>
      <x:c r="BQ349" s="5"/>
      <x:c r="BR349" s="5"/>
      <x:c r="BS349" s="5"/>
      <x:c r="BT349" s="5"/>
      <x:c r="BU349" s="5"/>
      <x:c r="BV349" s="5"/>
      <x:c r="BW349" s="5"/>
      <x:c r="BX349" s="5"/>
      <x:c r="BY349" s="5"/>
      <x:c r="BZ349" s="5"/>
      <x:c r="CA349" s="5"/>
      <x:c r="CB349" s="5"/>
      <x:c r="CC349" s="5"/>
      <x:c r="CD349" s="5"/>
      <x:c r="CE349" s="5"/>
      <x:c r="CF349" s="5"/>
      <x:c r="CG349" s="5"/>
      <x:c r="CH349" s="5"/>
      <x:c r="CI349" s="5"/>
      <x:c r="CJ349" s="5"/>
      <x:c r="CK349" s="5"/>
      <x:c r="CL349" s="5"/>
      <x:c r="CM349" s="5"/>
      <x:c r="CN349" s="5"/>
      <x:c r="CO349" s="5"/>
      <x:c r="CP349" s="5"/>
      <x:c r="CQ349" s="5"/>
      <x:c r="CR349" s="5"/>
      <x:c r="CS349" s="5"/>
      <x:c r="CT349" s="5"/>
      <x:c r="CU349" s="5"/>
      <x:c r="CV349" s="5"/>
      <x:c r="CW349" s="5"/>
      <x:c r="CX349" s="5"/>
      <x:c r="CY349" s="5"/>
      <x:c r="CZ349" s="5"/>
      <x:c r="DA349" s="5"/>
      <x:c r="DB349" s="5"/>
      <x:c r="DC349" s="5"/>
      <x:c r="DD349" s="5"/>
      <x:c r="DE349" s="5"/>
      <x:c r="DF349" s="5"/>
      <x:c r="DG349" s="5"/>
      <x:c r="DH349" s="5"/>
      <x:c r="DI349" s="5"/>
      <x:c r="DJ349" s="5"/>
      <x:c r="DK349" s="5"/>
      <x:c r="DL349" s="5"/>
      <x:c r="DM349" s="5"/>
    </x:row>
    <x:row r="350">
      <x:c r="A350" s="5" t="n">
        <x:v>345</x:v>
      </x:c>
      <x:c r="B350" s="5" t="str">
        <x:v>乙酸乙酯（g·L-1）</x:v>
      </x:c>
      <x:c r="C350" s="5"/>
      <x:c r="D350" s="5" t="n">
        <x:v>32552</x:v>
      </x:c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  <x:c r="AQ350" s="5"/>
      <x:c r="AR350" s="5"/>
      <x:c r="AS350" s="5"/>
      <x:c r="AT350" s="5"/>
      <x:c r="AU350" s="5"/>
      <x:c r="AV350" s="5"/>
      <x:c r="AW350" s="5"/>
      <x:c r="AX350" s="5"/>
      <x:c r="AY350" s="5"/>
      <x:c r="AZ350" s="5"/>
      <x:c r="BA350" s="5"/>
      <x:c r="BB350" s="5"/>
      <x:c r="BC350" s="5"/>
      <x:c r="BD350" s="5"/>
      <x:c r="BE350" s="5"/>
      <x:c r="BF350" s="5"/>
      <x:c r="BG350" s="5"/>
      <x:c r="BH350" s="5"/>
      <x:c r="BI350" s="5"/>
      <x:c r="BJ350" s="5"/>
      <x:c r="BK350" s="5"/>
      <x:c r="BL350" s="5" t="n">
        <x:v>10.42</x:v>
      </x:c>
      <x:c r="BM350" s="5" t="n">
        <x:v>6.75</x:v>
      </x:c>
      <x:c r="BN350" s="5" t="n">
        <x:v>8.95</x:v>
      </x:c>
      <x:c r="BO350" s="5" t="n">
        <x:v>7.23</x:v>
      </x:c>
      <x:c r="BP350" s="5"/>
      <x:c r="BQ350" s="5"/>
      <x:c r="BR350" s="5"/>
      <x:c r="BS350" s="5"/>
      <x:c r="BT350" s="5"/>
      <x:c r="BU350" s="5"/>
      <x:c r="BV350" s="5"/>
      <x:c r="BW350" s="5"/>
      <x:c r="BX350" s="5"/>
      <x:c r="BY350" s="5"/>
      <x:c r="BZ350" s="5"/>
      <x:c r="CA350" s="5"/>
      <x:c r="CB350" s="5"/>
      <x:c r="CC350" s="5"/>
      <x:c r="CD350" s="5"/>
      <x:c r="CE350" s="5"/>
      <x:c r="CF350" s="5"/>
      <x:c r="CG350" s="5"/>
      <x:c r="CH350" s="5"/>
      <x:c r="CI350" s="5"/>
      <x:c r="CJ350" s="5"/>
      <x:c r="CK350" s="5"/>
      <x:c r="CL350" s="5"/>
      <x:c r="CM350" s="5"/>
      <x:c r="CN350" s="5"/>
      <x:c r="CO350" s="5"/>
      <x:c r="CP350" s="5"/>
      <x:c r="CQ350" s="5"/>
      <x:c r="CR350" s="5"/>
      <x:c r="CS350" s="5"/>
      <x:c r="CT350" s="5"/>
      <x:c r="CU350" s="5"/>
      <x:c r="CV350" s="5"/>
      <x:c r="CW350" s="5"/>
      <x:c r="CX350" s="5"/>
      <x:c r="CY350" s="5"/>
      <x:c r="CZ350" s="5"/>
      <x:c r="DA350" s="5"/>
      <x:c r="DB350" s="5"/>
      <x:c r="DC350" s="5"/>
      <x:c r="DD350" s="5"/>
      <x:c r="DE350" s="5"/>
      <x:c r="DF350" s="5"/>
      <x:c r="DG350" s="5"/>
      <x:c r="DH350" s="5"/>
      <x:c r="DI350" s="5"/>
      <x:c r="DJ350" s="5"/>
      <x:c r="DK350" s="5"/>
      <x:c r="DL350" s="5"/>
      <x:c r="DM350" s="5"/>
    </x:row>
    <x:row r="351">
      <x:c r="A351" s="5" t="n">
        <x:v>346</x:v>
      </x:c>
      <x:c r="B351" s="5" t="str">
        <x:v>乙酸已酯</x:v>
      </x:c>
      <x:c r="C351" s="5"/>
      <x:c r="D351" s="5" t="n">
        <x:v>5560</x:v>
      </x:c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  <x:c r="AQ351" s="5"/>
      <x:c r="AR351" s="5"/>
      <x:c r="AS351" s="5"/>
      <x:c r="AT351" s="5"/>
      <x:c r="AU351" s="5"/>
      <x:c r="AV351" s="5"/>
      <x:c r="AW351" s="5"/>
      <x:c r="AX351" s="5"/>
      <x:c r="AY351" s="5"/>
      <x:c r="AZ351" s="5"/>
      <x:c r="BA351" s="5"/>
      <x:c r="BB351" s="5"/>
      <x:c r="BC351" s="5"/>
      <x:c r="BD351" s="5"/>
      <x:c r="BE351" s="5"/>
      <x:c r="BF351" s="5"/>
      <x:c r="BG351" s="5"/>
      <x:c r="BH351" s="5"/>
      <x:c r="BI351" s="5"/>
      <x:c r="BJ351" s="5"/>
      <x:c r="BK351" s="5"/>
      <x:c r="BL351" s="5"/>
      <x:c r="BM351" s="5"/>
      <x:c r="BN351" s="5"/>
      <x:c r="BO351" s="5"/>
      <x:c r="BP351" s="5"/>
      <x:c r="BQ351" s="5"/>
      <x:c r="BR351" s="5"/>
      <x:c r="BS351" s="5"/>
      <x:c r="BT351" s="5"/>
      <x:c r="BU351" s="5"/>
      <x:c r="BV351" s="5"/>
      <x:c r="BW351" s="5"/>
      <x:c r="BX351" s="5"/>
      <x:c r="BY351" s="5"/>
      <x:c r="BZ351" s="5"/>
      <x:c r="CA351" s="5"/>
      <x:c r="CB351" s="5"/>
      <x:c r="CC351" s="5"/>
      <x:c r="CD351" s="5"/>
      <x:c r="CE351" s="5"/>
      <x:c r="CF351" s="5"/>
      <x:c r="CG351" s="5"/>
      <x:c r="CH351" s="5"/>
      <x:c r="CI351" s="5"/>
      <x:c r="CJ351" s="5"/>
      <x:c r="CK351" s="5"/>
      <x:c r="CL351" s="5"/>
      <x:c r="CM351" s="5"/>
      <x:c r="CN351" s="5"/>
      <x:c r="CO351" s="5"/>
      <x:c r="CP351" s="5"/>
      <x:c r="CQ351" s="5"/>
      <x:c r="CR351" s="5" t="n">
        <x:v>970.53</x:v>
      </x:c>
      <x:c r="CS351" s="5" t="n">
        <x:v>1194.25</x:v>
      </x:c>
      <x:c r="CT351" s="5"/>
      <x:c r="CU351" s="5"/>
      <x:c r="CV351" s="5"/>
      <x:c r="CW351" s="5"/>
      <x:c r="CX351" s="5"/>
      <x:c r="CY351" s="5"/>
      <x:c r="CZ351" s="5"/>
      <x:c r="DA351" s="5"/>
      <x:c r="DB351" s="5"/>
      <x:c r="DC351" s="5"/>
      <x:c r="DD351" s="5"/>
      <x:c r="DE351" s="5"/>
      <x:c r="DF351" s="5"/>
      <x:c r="DG351" s="5"/>
      <x:c r="DH351" s="5"/>
      <x:c r="DI351" s="5"/>
      <x:c r="DJ351" s="5"/>
      <x:c r="DK351" s="5"/>
      <x:c r="DL351" s="5"/>
      <x:c r="DM351" s="5"/>
    </x:row>
    <x:row r="352">
      <x:c r="A352" s="5" t="n">
        <x:v>347</x:v>
      </x:c>
      <x:c r="B352" s="5" t="str">
        <x:v>乳酸乙酯（g·L-1）</x:v>
      </x:c>
      <x:c r="C352" s="5"/>
      <x:c r="D352" s="5" t="n">
        <x:v>100000</x:v>
      </x:c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  <x:c r="AQ352" s="5"/>
      <x:c r="AR352" s="5"/>
      <x:c r="AS352" s="5"/>
      <x:c r="AT352" s="5"/>
      <x:c r="AU352" s="5"/>
      <x:c r="AV352" s="5"/>
      <x:c r="AW352" s="5"/>
      <x:c r="AX352" s="5"/>
      <x:c r="AY352" s="5"/>
      <x:c r="AZ352" s="5"/>
      <x:c r="BA352" s="5"/>
      <x:c r="BB352" s="5"/>
      <x:c r="BC352" s="5"/>
      <x:c r="BD352" s="5"/>
      <x:c r="BE352" s="5"/>
      <x:c r="BF352" s="5"/>
      <x:c r="BG352" s="5"/>
      <x:c r="BH352" s="5"/>
      <x:c r="BI352" s="5"/>
      <x:c r="BJ352" s="5"/>
      <x:c r="BK352" s="5"/>
      <x:c r="BL352" s="5" t="n">
        <x:v>1.43</x:v>
      </x:c>
      <x:c r="BM352" s="5" t="n">
        <x:v>1.53</x:v>
      </x:c>
      <x:c r="BN352" s="5"/>
      <x:c r="BO352" s="5"/>
      <x:c r="BP352" s="5"/>
      <x:c r="BQ352" s="5"/>
      <x:c r="BR352" s="5"/>
      <x:c r="BS352" s="5"/>
      <x:c r="BT352" s="5"/>
      <x:c r="BU352" s="5"/>
      <x:c r="BV352" s="5"/>
      <x:c r="BW352" s="5"/>
      <x:c r="BX352" s="5"/>
      <x:c r="BY352" s="5"/>
      <x:c r="BZ352" s="5"/>
      <x:c r="CA352" s="5"/>
      <x:c r="CB352" s="5"/>
      <x:c r="CC352" s="5"/>
      <x:c r="CD352" s="5"/>
      <x:c r="CE352" s="5"/>
      <x:c r="CF352" s="5"/>
      <x:c r="CG352" s="5"/>
      <x:c r="CH352" s="5"/>
      <x:c r="CI352" s="5"/>
      <x:c r="CJ352" s="5"/>
      <x:c r="CK352" s="5"/>
      <x:c r="CL352" s="5"/>
      <x:c r="CM352" s="5"/>
      <x:c r="CN352" s="5"/>
      <x:c r="CO352" s="5"/>
      <x:c r="CP352" s="5"/>
      <x:c r="CQ352" s="5"/>
      <x:c r="CR352" s="5"/>
      <x:c r="CS352" s="5"/>
      <x:c r="CT352" s="5"/>
      <x:c r="CU352" s="5"/>
      <x:c r="CV352" s="5"/>
      <x:c r="CW352" s="5"/>
      <x:c r="CX352" s="5"/>
      <x:c r="CY352" s="5"/>
      <x:c r="CZ352" s="5"/>
      <x:c r="DA352" s="5"/>
      <x:c r="DB352" s="5"/>
      <x:c r="DC352" s="5"/>
      <x:c r="DD352" s="5"/>
      <x:c r="DE352" s="5"/>
      <x:c r="DF352" s="5"/>
      <x:c r="DG352" s="5"/>
      <x:c r="DH352" s="5"/>
      <x:c r="DI352" s="5"/>
      <x:c r="DJ352" s="5"/>
      <x:c r="DK352" s="5"/>
      <x:c r="DL352" s="5"/>
      <x:c r="DM352" s="5"/>
    </x:row>
    <x:row r="353">
      <x:c r="A353" s="5" t="n">
        <x:v>348</x:v>
      </x:c>
      <x:c r="B353" s="5" t="str">
        <x:v>十五酸乙酯</x:v>
      </x:c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  <x:c r="AQ353" s="5"/>
      <x:c r="AR353" s="5"/>
      <x:c r="AS353" s="5"/>
      <x:c r="AT353" s="5"/>
      <x:c r="AU353" s="5"/>
      <x:c r="AV353" s="5"/>
      <x:c r="AW353" s="5"/>
      <x:c r="AX353" s="5"/>
      <x:c r="AY353" s="5"/>
      <x:c r="AZ353" s="5"/>
      <x:c r="BA353" s="5"/>
      <x:c r="BB353" s="5"/>
      <x:c r="BC353" s="5"/>
      <x:c r="BD353" s="5"/>
      <x:c r="BE353" s="5"/>
      <x:c r="BF353" s="5"/>
      <x:c r="BG353" s="5"/>
      <x:c r="BH353" s="5"/>
      <x:c r="BI353" s="5"/>
      <x:c r="BJ353" s="5"/>
      <x:c r="BK353" s="5"/>
      <x:c r="BL353" s="5"/>
      <x:c r="BM353" s="5"/>
      <x:c r="BN353" s="5"/>
      <x:c r="BO353" s="5"/>
      <x:c r="BP353" s="5"/>
      <x:c r="BQ353" s="5"/>
      <x:c r="BR353" s="5"/>
      <x:c r="BS353" s="5"/>
      <x:c r="BT353" s="5"/>
      <x:c r="BU353" s="5"/>
      <x:c r="BV353" s="5"/>
      <x:c r="BW353" s="5"/>
      <x:c r="BX353" s="5"/>
      <x:c r="BY353" s="5"/>
      <x:c r="BZ353" s="5"/>
      <x:c r="CA353" s="5"/>
      <x:c r="CB353" s="5"/>
      <x:c r="CC353" s="5"/>
      <x:c r="CD353" s="5"/>
      <x:c r="CE353" s="5"/>
      <x:c r="CF353" s="5"/>
      <x:c r="CG353" s="5"/>
      <x:c r="CH353" s="5"/>
      <x:c r="CI353" s="5"/>
      <x:c r="CJ353" s="5"/>
      <x:c r="CK353" s="5"/>
      <x:c r="CL353" s="5"/>
      <x:c r="CM353" s="5"/>
      <x:c r="CN353" s="5"/>
      <x:c r="CO353" s="5"/>
      <x:c r="CP353" s="5"/>
      <x:c r="CQ353" s="5"/>
      <x:c r="CR353" s="5"/>
      <x:c r="CS353" s="5"/>
      <x:c r="CT353" s="5" t="n">
        <x:v>53.3</x:v>
      </x:c>
      <x:c r="CU353" s="5" t="n">
        <x:v>60.94</x:v>
      </x:c>
      <x:c r="CV353" s="5" t="n">
        <x:v>44.99</x:v>
      </x:c>
      <x:c r="CW353" s="5" t="n">
        <x:v>35.48</x:v>
      </x:c>
      <x:c r="CX353" s="5"/>
      <x:c r="CY353" s="5"/>
      <x:c r="CZ353" s="5"/>
      <x:c r="DA353" s="5"/>
      <x:c r="DB353" s="5"/>
      <x:c r="DC353" s="5"/>
      <x:c r="DD353" s="5"/>
      <x:c r="DE353" s="5"/>
      <x:c r="DF353" s="5"/>
      <x:c r="DG353" s="5"/>
      <x:c r="DH353" s="5"/>
      <x:c r="DI353" s="5"/>
      <x:c r="DJ353" s="5"/>
      <x:c r="DK353" s="5"/>
      <x:c r="DL353" s="5"/>
      <x:c r="DM353" s="5"/>
    </x:row>
    <x:row r="354">
      <x:c r="A354" s="5" t="n">
        <x:v>349</x:v>
      </x:c>
      <x:c r="B354" s="5" t="str">
        <x:v>反-2,4-癸二烯醛</x:v>
      </x:c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  <x:c r="AQ354" s="5"/>
      <x:c r="AR354" s="5"/>
      <x:c r="AS354" s="5"/>
      <x:c r="AT354" s="5"/>
      <x:c r="AU354" s="5"/>
      <x:c r="AV354" s="5"/>
      <x:c r="AW354" s="5"/>
      <x:c r="AX354" s="5"/>
      <x:c r="AY354" s="5"/>
      <x:c r="AZ354" s="5" t="n">
        <x:v>300</x:v>
      </x:c>
      <x:c r="BA354" s="5" t="n">
        <x:v>588</x:v>
      </x:c>
      <x:c r="BB354" s="5"/>
      <x:c r="BC354" s="5"/>
      <x:c r="BD354" s="5"/>
      <x:c r="BE354" s="5"/>
      <x:c r="BF354" s="5"/>
      <x:c r="BG354" s="5"/>
      <x:c r="BH354" s="5"/>
      <x:c r="BI354" s="5"/>
      <x:c r="BJ354" s="5"/>
      <x:c r="BK354" s="5"/>
      <x:c r="BL354" s="5"/>
      <x:c r="BM354" s="5"/>
      <x:c r="BN354" s="5"/>
      <x:c r="BO354" s="5"/>
      <x:c r="BP354" s="5"/>
      <x:c r="BQ354" s="5"/>
      <x:c r="BR354" s="5"/>
      <x:c r="BS354" s="5"/>
      <x:c r="BT354" s="5"/>
      <x:c r="BU354" s="5"/>
      <x:c r="BV354" s="5"/>
      <x:c r="BW354" s="5"/>
      <x:c r="BX354" s="5"/>
      <x:c r="BY354" s="5"/>
      <x:c r="BZ354" s="5"/>
      <x:c r="CA354" s="5"/>
      <x:c r="CB354" s="5"/>
      <x:c r="CC354" s="5"/>
      <x:c r="CD354" s="5"/>
      <x:c r="CE354" s="5"/>
      <x:c r="CF354" s="5"/>
      <x:c r="CG354" s="5"/>
      <x:c r="CH354" s="5"/>
      <x:c r="CI354" s="5"/>
      <x:c r="CJ354" s="5"/>
      <x:c r="CK354" s="5"/>
      <x:c r="CL354" s="5"/>
      <x:c r="CM354" s="5"/>
      <x:c r="CN354" s="5"/>
      <x:c r="CO354" s="5"/>
      <x:c r="CP354" s="5"/>
      <x:c r="CQ354" s="5"/>
      <x:c r="CR354" s="5"/>
      <x:c r="CS354" s="5"/>
      <x:c r="CT354" s="5"/>
      <x:c r="CU354" s="5"/>
      <x:c r="CV354" s="5"/>
      <x:c r="CW354" s="5"/>
      <x:c r="CX354" s="5"/>
      <x:c r="CY354" s="5"/>
      <x:c r="CZ354" s="5"/>
      <x:c r="DA354" s="5"/>
      <x:c r="DB354" s="5"/>
      <x:c r="DC354" s="5"/>
      <x:c r="DD354" s="5"/>
      <x:c r="DE354" s="5"/>
      <x:c r="DF354" s="5"/>
      <x:c r="DG354" s="5"/>
      <x:c r="DH354" s="5"/>
      <x:c r="DI354" s="5"/>
      <x:c r="DJ354" s="5"/>
      <x:c r="DK354" s="5"/>
      <x:c r="DL354" s="5"/>
      <x:c r="DM354" s="5"/>
    </x:row>
    <x:row r="355">
      <x:c r="A355" s="5" t="n">
        <x:v>350</x:v>
      </x:c>
      <x:c r="B355" s="5" t="str">
        <x:v>反油酸乙酯</x:v>
      </x:c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  <x:c r="AQ355" s="5"/>
      <x:c r="AR355" s="5"/>
      <x:c r="AS355" s="5"/>
      <x:c r="AT355" s="5"/>
      <x:c r="AU355" s="5"/>
      <x:c r="AV355" s="5"/>
      <x:c r="AW355" s="5"/>
      <x:c r="AX355" s="5"/>
      <x:c r="AY355" s="5"/>
      <x:c r="AZ355" s="5"/>
      <x:c r="BA355" s="5"/>
      <x:c r="BB355" s="5"/>
      <x:c r="BC355" s="5"/>
      <x:c r="BD355" s="5"/>
      <x:c r="BE355" s="5"/>
      <x:c r="BF355" s="5"/>
      <x:c r="BG355" s="5"/>
      <x:c r="BH355" s="5"/>
      <x:c r="BI355" s="5"/>
      <x:c r="BJ355" s="5"/>
      <x:c r="BK355" s="5"/>
      <x:c r="BL355" s="5"/>
      <x:c r="BM355" s="5"/>
      <x:c r="BN355" s="5"/>
      <x:c r="BO355" s="5"/>
      <x:c r="BP355" s="5"/>
      <x:c r="BQ355" s="5"/>
      <x:c r="BR355" s="5"/>
      <x:c r="BS355" s="5"/>
      <x:c r="BT355" s="5"/>
      <x:c r="BU355" s="5"/>
      <x:c r="BV355" s="5"/>
      <x:c r="BW355" s="5"/>
      <x:c r="BX355" s="5"/>
      <x:c r="BY355" s="5"/>
      <x:c r="BZ355" s="5"/>
      <x:c r="CA355" s="5"/>
      <x:c r="CB355" s="5"/>
      <x:c r="CC355" s="5"/>
      <x:c r="CD355" s="5"/>
      <x:c r="CE355" s="5"/>
      <x:c r="CF355" s="5"/>
      <x:c r="CG355" s="5"/>
      <x:c r="CH355" s="5"/>
      <x:c r="CI355" s="5"/>
      <x:c r="CJ355" s="5"/>
      <x:c r="CK355" s="5"/>
      <x:c r="CL355" s="5"/>
      <x:c r="CM355" s="5"/>
      <x:c r="CN355" s="5"/>
      <x:c r="CO355" s="5"/>
      <x:c r="CP355" s="5"/>
      <x:c r="CQ355" s="5"/>
      <x:c r="CR355" s="5"/>
      <x:c r="CS355" s="5"/>
      <x:c r="CT355" s="5" t="n">
        <x:v>367.3</x:v>
      </x:c>
      <x:c r="CU355" s="5" t="n">
        <x:v>289.97</x:v>
      </x:c>
      <x:c r="CV355" s="5" t="n">
        <x:v>241.19</x:v>
      </x:c>
      <x:c r="CW355" s="5" t="n">
        <x:v>207.28</x:v>
      </x:c>
      <x:c r="CX355" s="5"/>
      <x:c r="CY355" s="5"/>
      <x:c r="CZ355" s="5"/>
      <x:c r="DA355" s="5"/>
      <x:c r="DB355" s="5"/>
      <x:c r="DC355" s="5"/>
      <x:c r="DD355" s="5"/>
      <x:c r="DE355" s="5"/>
      <x:c r="DF355" s="5"/>
      <x:c r="DG355" s="5"/>
      <x:c r="DH355" s="5"/>
      <x:c r="DI355" s="5"/>
      <x:c r="DJ355" s="5"/>
      <x:c r="DK355" s="5"/>
      <x:c r="DL355" s="5"/>
      <x:c r="DM355" s="5"/>
    </x:row>
    <x:row r="356">
      <x:c r="A356" s="5" t="n">
        <x:v>351</x:v>
      </x:c>
      <x:c r="B356" s="5" t="str">
        <x:v>己酸-2-甲基丙酯（mg·L-1）</x:v>
      </x:c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  <x:c r="AQ356" s="5"/>
      <x:c r="AR356" s="5"/>
      <x:c r="AS356" s="5"/>
      <x:c r="AT356" s="5"/>
      <x:c r="AU356" s="5"/>
      <x:c r="AV356" s="5"/>
      <x:c r="AW356" s="5"/>
      <x:c r="AX356" s="5"/>
      <x:c r="AY356" s="5"/>
      <x:c r="AZ356" s="5"/>
      <x:c r="BA356" s="5"/>
      <x:c r="BB356" s="5"/>
      <x:c r="BC356" s="5"/>
      <x:c r="BD356" s="5"/>
      <x:c r="BE356" s="5"/>
      <x:c r="BF356" s="5"/>
      <x:c r="BG356" s="5"/>
      <x:c r="BH356" s="5"/>
      <x:c r="BI356" s="5"/>
      <x:c r="BJ356" s="5"/>
      <x:c r="BK356" s="5"/>
      <x:c r="BL356" s="5" t="n">
        <x:v>6.49</x:v>
      </x:c>
      <x:c r="BM356" s="5" t="n">
        <x:v>10.86</x:v>
      </x:c>
      <x:c r="BN356" s="5"/>
      <x:c r="BO356" s="5"/>
      <x:c r="BP356" s="5"/>
      <x:c r="BQ356" s="5"/>
      <x:c r="BR356" s="5"/>
      <x:c r="BS356" s="5"/>
      <x:c r="BT356" s="5"/>
      <x:c r="BU356" s="5"/>
      <x:c r="BV356" s="5"/>
      <x:c r="BW356" s="5"/>
      <x:c r="BX356" s="5"/>
      <x:c r="BY356" s="5"/>
      <x:c r="BZ356" s="5"/>
      <x:c r="CA356" s="5"/>
      <x:c r="CB356" s="5"/>
      <x:c r="CC356" s="5"/>
      <x:c r="CD356" s="5"/>
      <x:c r="CE356" s="5"/>
      <x:c r="CF356" s="5"/>
      <x:c r="CG356" s="5"/>
      <x:c r="CH356" s="5"/>
      <x:c r="CI356" s="5"/>
      <x:c r="CJ356" s="5"/>
      <x:c r="CK356" s="5"/>
      <x:c r="CL356" s="5"/>
      <x:c r="CM356" s="5"/>
      <x:c r="CN356" s="5"/>
      <x:c r="CO356" s="5"/>
      <x:c r="CP356" s="5"/>
      <x:c r="CQ356" s="5"/>
      <x:c r="CR356" s="5"/>
      <x:c r="CS356" s="5"/>
      <x:c r="CT356" s="5"/>
      <x:c r="CU356" s="5"/>
      <x:c r="CV356" s="5"/>
      <x:c r="CW356" s="5"/>
      <x:c r="CX356" s="5"/>
      <x:c r="CY356" s="5"/>
      <x:c r="CZ356" s="5"/>
      <x:c r="DA356" s="5"/>
      <x:c r="DB356" s="5"/>
      <x:c r="DC356" s="5"/>
      <x:c r="DD356" s="5"/>
      <x:c r="DE356" s="5"/>
      <x:c r="DF356" s="5"/>
      <x:c r="DG356" s="5"/>
      <x:c r="DH356" s="5"/>
      <x:c r="DI356" s="5"/>
      <x:c r="DJ356" s="5"/>
      <x:c r="DK356" s="5"/>
      <x:c r="DL356" s="5"/>
      <x:c r="DM356" s="5"/>
    </x:row>
    <x:row r="357">
      <x:c r="A357" s="5" t="n">
        <x:v>352</x:v>
      </x:c>
      <x:c r="B357" s="5" t="str">
        <x:v>己酸-2-糠酯</x:v>
      </x:c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  <x:c r="AQ357" s="5"/>
      <x:c r="AR357" s="5"/>
      <x:c r="AS357" s="5"/>
      <x:c r="AT357" s="5"/>
      <x:c r="AU357" s="5"/>
      <x:c r="AV357" s="5"/>
      <x:c r="AW357" s="5"/>
      <x:c r="AX357" s="5"/>
      <x:c r="AY357" s="5"/>
      <x:c r="AZ357" s="5"/>
      <x:c r="BA357" s="5"/>
      <x:c r="BB357" s="5"/>
      <x:c r="BC357" s="5"/>
      <x:c r="BD357" s="5"/>
      <x:c r="BE357" s="5"/>
      <x:c r="BF357" s="5"/>
      <x:c r="BG357" s="5"/>
      <x:c r="BH357" s="5"/>
      <x:c r="BI357" s="5"/>
      <x:c r="BJ357" s="5"/>
      <x:c r="BK357" s="5"/>
      <x:c r="BL357" s="5"/>
      <x:c r="BM357" s="5"/>
      <x:c r="BN357" s="5"/>
      <x:c r="BO357" s="5"/>
      <x:c r="BP357" s="5"/>
      <x:c r="BQ357" s="5"/>
      <x:c r="BR357" s="5"/>
      <x:c r="BS357" s="5"/>
      <x:c r="BT357" s="5"/>
      <x:c r="BU357" s="5"/>
      <x:c r="BV357" s="5"/>
      <x:c r="BW357" s="5"/>
      <x:c r="BX357" s="5"/>
      <x:c r="BY357" s="5"/>
      <x:c r="BZ357" s="5" t="n">
        <x:v>96</x:v>
      </x:c>
      <x:c r="CA357" s="5" t="n">
        <x:v>139.23</x:v>
      </x:c>
      <x:c r="CB357" s="5"/>
      <x:c r="CC357" s="5"/>
      <x:c r="CD357" s="5" t="n">
        <x:v>82.23</x:v>
      </x:c>
      <x:c r="CE357" s="5" t="n">
        <x:v>47.55</x:v>
      </x:c>
      <x:c r="CF357" s="5" t="n">
        <x:v>21.81</x:v>
      </x:c>
      <x:c r="CG357" s="5" t="n">
        <x:v>504.96</x:v>
      </x:c>
      <x:c r="CH357" s="5" t="n">
        <x:v>31.55</x:v>
      </x:c>
      <x:c r="CI357" s="5" t="n">
        <x:v>332.95</x:v>
      </x:c>
      <x:c r="CJ357" s="5" t="n">
        <x:v>1245.05</x:v>
      </x:c>
      <x:c r="CK357" s="5" t="n">
        <x:v>511.32</x:v>
      </x:c>
      <x:c r="CL357" s="5" t="n">
        <x:v>161.25</x:v>
      </x:c>
      <x:c r="CM357" s="5"/>
      <x:c r="CN357" s="5"/>
      <x:c r="CO357" s="5"/>
      <x:c r="CP357" s="5"/>
      <x:c r="CQ357" s="5"/>
      <x:c r="CR357" s="5"/>
      <x:c r="CS357" s="5"/>
      <x:c r="CT357" s="5"/>
      <x:c r="CU357" s="5"/>
      <x:c r="CV357" s="5"/>
      <x:c r="CW357" s="5"/>
      <x:c r="CX357" s="5"/>
      <x:c r="CY357" s="5"/>
      <x:c r="CZ357" s="5"/>
      <x:c r="DA357" s="5"/>
      <x:c r="DB357" s="5"/>
      <x:c r="DC357" s="5"/>
      <x:c r="DD357" s="5"/>
      <x:c r="DE357" s="5"/>
      <x:c r="DF357" s="5"/>
      <x:c r="DG357" s="5"/>
      <x:c r="DH357" s="5"/>
      <x:c r="DI357" s="5"/>
      <x:c r="DJ357" s="5"/>
      <x:c r="DK357" s="5"/>
      <x:c r="DL357" s="5"/>
      <x:c r="DM357" s="5"/>
    </x:row>
    <x:row r="358">
      <x:c r="A358" s="5" t="n">
        <x:v>353</x:v>
      </x:c>
      <x:c r="B358" s="5" t="str">
        <x:v>己酸丁酯（mg·L-1）</x:v>
      </x:c>
      <x:c r="C358" s="5"/>
      <x:c r="D358" s="5" t="n">
        <x:v>677.84</x:v>
      </x:c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  <x:c r="AQ358" s="5"/>
      <x:c r="AR358" s="5"/>
      <x:c r="AS358" s="5"/>
      <x:c r="AT358" s="5"/>
      <x:c r="AU358" s="5"/>
      <x:c r="AV358" s="5"/>
      <x:c r="AW358" s="5"/>
      <x:c r="AX358" s="5"/>
      <x:c r="AY358" s="5"/>
      <x:c r="AZ358" s="5"/>
      <x:c r="BA358" s="5"/>
      <x:c r="BB358" s="5"/>
      <x:c r="BC358" s="5"/>
      <x:c r="BD358" s="5"/>
      <x:c r="BE358" s="5"/>
      <x:c r="BF358" s="5"/>
      <x:c r="BG358" s="5"/>
      <x:c r="BH358" s="5"/>
      <x:c r="BI358" s="5"/>
      <x:c r="BJ358" s="5"/>
      <x:c r="BK358" s="5"/>
      <x:c r="BL358" s="5" t="n">
        <x:v>61.77</x:v>
      </x:c>
      <x:c r="BM358" s="5" t="n">
        <x:v>95.51</x:v>
      </x:c>
      <x:c r="BN358" s="5"/>
      <x:c r="BO358" s="5"/>
      <x:c r="BP358" s="5"/>
      <x:c r="BQ358" s="5"/>
      <x:c r="BR358" s="5"/>
      <x:c r="BS358" s="5"/>
      <x:c r="BT358" s="5"/>
      <x:c r="BU358" s="5"/>
      <x:c r="BV358" s="5"/>
      <x:c r="BW358" s="5"/>
      <x:c r="BX358" s="5"/>
      <x:c r="BY358" s="5"/>
      <x:c r="BZ358" s="5"/>
      <x:c r="CA358" s="5"/>
      <x:c r="CB358" s="5"/>
      <x:c r="CC358" s="5"/>
      <x:c r="CD358" s="5"/>
      <x:c r="CE358" s="5"/>
      <x:c r="CF358" s="5"/>
      <x:c r="CG358" s="5"/>
      <x:c r="CH358" s="5"/>
      <x:c r="CI358" s="5"/>
      <x:c r="CJ358" s="5"/>
      <x:c r="CK358" s="5"/>
      <x:c r="CL358" s="5"/>
      <x:c r="CM358" s="5"/>
      <x:c r="CN358" s="5"/>
      <x:c r="CO358" s="5"/>
      <x:c r="CP358" s="5"/>
      <x:c r="CQ358" s="5"/>
      <x:c r="CR358" s="5"/>
      <x:c r="CS358" s="5"/>
      <x:c r="CT358" s="5"/>
      <x:c r="CU358" s="5"/>
      <x:c r="CV358" s="5"/>
      <x:c r="CW358" s="5"/>
      <x:c r="CX358" s="5"/>
      <x:c r="CY358" s="5"/>
      <x:c r="CZ358" s="5"/>
      <x:c r="DA358" s="5"/>
      <x:c r="DB358" s="5"/>
      <x:c r="DC358" s="5"/>
      <x:c r="DD358" s="5"/>
      <x:c r="DE358" s="5"/>
      <x:c r="DF358" s="5"/>
      <x:c r="DG358" s="5"/>
      <x:c r="DH358" s="5"/>
      <x:c r="DI358" s="5"/>
      <x:c r="DJ358" s="5"/>
      <x:c r="DK358" s="5"/>
      <x:c r="DL358" s="5"/>
      <x:c r="DM358" s="5"/>
    </x:row>
    <x:row r="359">
      <x:c r="A359" s="5" t="n">
        <x:v>354</x:v>
      </x:c>
      <x:c r="B359" s="5" t="str">
        <x:v>己酸（mg·L-1）</x:v>
      </x:c>
      <x:c r="C359" s="5"/>
      <x:c r="D359" s="5" t="n">
        <x:v>2520</x:v>
      </x:c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  <x:c r="AQ359" s="5"/>
      <x:c r="AR359" s="5"/>
      <x:c r="AS359" s="5"/>
      <x:c r="AT359" s="5"/>
      <x:c r="AU359" s="5"/>
      <x:c r="AV359" s="5"/>
      <x:c r="AW359" s="5"/>
      <x:c r="AX359" s="5"/>
      <x:c r="AY359" s="5"/>
      <x:c r="AZ359" s="5"/>
      <x:c r="BA359" s="5"/>
      <x:c r="BB359" s="5"/>
      <x:c r="BC359" s="5"/>
      <x:c r="BD359" s="5"/>
      <x:c r="BE359" s="5"/>
      <x:c r="BF359" s="5"/>
      <x:c r="BG359" s="5"/>
      <x:c r="BH359" s="5"/>
      <x:c r="BI359" s="5"/>
      <x:c r="BJ359" s="5"/>
      <x:c r="BK359" s="5"/>
      <x:c r="BL359" s="5" t="n">
        <x:v>322.71</x:v>
      </x:c>
      <x:c r="BM359" s="5" t="n">
        <x:v>388.52</x:v>
      </x:c>
      <x:c r="BN359" s="5" t="n">
        <x:v>199.05</x:v>
      </x:c>
      <x:c r="BO359" s="5" t="n">
        <x:v>458.57</x:v>
      </x:c>
      <x:c r="BP359" s="5"/>
      <x:c r="BQ359" s="5"/>
      <x:c r="BR359" s="5"/>
      <x:c r="BS359" s="5"/>
      <x:c r="BT359" s="5"/>
      <x:c r="BU359" s="5"/>
      <x:c r="BV359" s="5"/>
      <x:c r="BW359" s="5"/>
      <x:c r="BX359" s="5"/>
      <x:c r="BY359" s="5"/>
      <x:c r="BZ359" s="5"/>
      <x:c r="CA359" s="5"/>
      <x:c r="CB359" s="5"/>
      <x:c r="CC359" s="5"/>
      <x:c r="CD359" s="5"/>
      <x:c r="CE359" s="5"/>
      <x:c r="CF359" s="5"/>
      <x:c r="CG359" s="5"/>
      <x:c r="CH359" s="5"/>
      <x:c r="CI359" s="5"/>
      <x:c r="CJ359" s="5"/>
      <x:c r="CK359" s="5"/>
      <x:c r="CL359" s="5"/>
      <x:c r="CM359" s="5"/>
      <x:c r="CN359" s="5"/>
      <x:c r="CO359" s="5"/>
      <x:c r="CP359" s="5"/>
      <x:c r="CQ359" s="5"/>
      <x:c r="CR359" s="5"/>
      <x:c r="CS359" s="5"/>
      <x:c r="CT359" s="5"/>
      <x:c r="CU359" s="5"/>
      <x:c r="CV359" s="5"/>
      <x:c r="CW359" s="5"/>
      <x:c r="CX359" s="5"/>
      <x:c r="CY359" s="5"/>
      <x:c r="CZ359" s="5"/>
      <x:c r="DA359" s="5"/>
      <x:c r="DB359" s="5"/>
      <x:c r="DC359" s="5"/>
      <x:c r="DD359" s="5"/>
      <x:c r="DE359" s="5"/>
      <x:c r="DF359" s="5"/>
      <x:c r="DG359" s="5"/>
      <x:c r="DH359" s="5"/>
      <x:c r="DI359" s="5"/>
      <x:c r="DJ359" s="5"/>
      <x:c r="DK359" s="5"/>
      <x:c r="DL359" s="5"/>
      <x:c r="DM359" s="5"/>
    </x:row>
    <x:row r="360">
      <x:c r="A360" s="5" t="n">
        <x:v>355</x:v>
      </x:c>
      <x:c r="B360" s="5" t="str">
        <x:v>庚酸（mg·L-1）</x:v>
      </x:c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  <x:c r="AQ360" s="5"/>
      <x:c r="AR360" s="5"/>
      <x:c r="AS360" s="5"/>
      <x:c r="AT360" s="5"/>
      <x:c r="AU360" s="5"/>
      <x:c r="AV360" s="5"/>
      <x:c r="AW360" s="5"/>
      <x:c r="AX360" s="5"/>
      <x:c r="AY360" s="5"/>
      <x:c r="AZ360" s="5"/>
      <x:c r="BA360" s="5"/>
      <x:c r="BB360" s="5"/>
      <x:c r="BC360" s="5"/>
      <x:c r="BD360" s="5"/>
      <x:c r="BE360" s="5"/>
      <x:c r="BF360" s="5"/>
      <x:c r="BG360" s="5"/>
      <x:c r="BH360" s="5"/>
      <x:c r="BI360" s="5"/>
      <x:c r="BJ360" s="5"/>
      <x:c r="BK360" s="5"/>
      <x:c r="BL360" s="5" t="n">
        <x:v>7.19</x:v>
      </x:c>
      <x:c r="BM360" s="5" t="n">
        <x:v>8.86</x:v>
      </x:c>
      <x:c r="BN360" s="5"/>
      <x:c r="BO360" s="5"/>
      <x:c r="BP360" s="5"/>
      <x:c r="BQ360" s="5"/>
      <x:c r="BR360" s="5"/>
      <x:c r="BS360" s="5"/>
      <x:c r="BT360" s="5"/>
      <x:c r="BU360" s="5"/>
      <x:c r="BV360" s="5"/>
      <x:c r="BW360" s="5"/>
      <x:c r="BX360" s="5"/>
      <x:c r="BY360" s="5"/>
      <x:c r="BZ360" s="5"/>
      <x:c r="CA360" s="5"/>
      <x:c r="CB360" s="5"/>
      <x:c r="CC360" s="5"/>
      <x:c r="CD360" s="5"/>
      <x:c r="CE360" s="5"/>
      <x:c r="CF360" s="5"/>
      <x:c r="CG360" s="5"/>
      <x:c r="CH360" s="5"/>
      <x:c r="CI360" s="5"/>
      <x:c r="CJ360" s="5"/>
      <x:c r="CK360" s="5"/>
      <x:c r="CL360" s="5"/>
      <x:c r="CM360" s="5"/>
      <x:c r="CN360" s="5"/>
      <x:c r="CO360" s="5"/>
      <x:c r="CP360" s="5"/>
      <x:c r="CQ360" s="5"/>
      <x:c r="CR360" s="5"/>
      <x:c r="CS360" s="5"/>
      <x:c r="CT360" s="5"/>
      <x:c r="CU360" s="5"/>
      <x:c r="CV360" s="5"/>
      <x:c r="CW360" s="5"/>
      <x:c r="CX360" s="5"/>
      <x:c r="CY360" s="5"/>
      <x:c r="CZ360" s="5"/>
      <x:c r="DA360" s="5"/>
      <x:c r="DB360" s="5"/>
      <x:c r="DC360" s="5"/>
      <x:c r="DD360" s="5"/>
      <x:c r="DE360" s="5"/>
      <x:c r="DF360" s="5"/>
      <x:c r="DG360" s="5"/>
      <x:c r="DH360" s="5"/>
      <x:c r="DI360" s="5"/>
      <x:c r="DJ360" s="5"/>
      <x:c r="DK360" s="5"/>
      <x:c r="DL360" s="5"/>
      <x:c r="DM360" s="5"/>
    </x:row>
    <x:row r="361">
      <x:c r="A361" s="5" t="n">
        <x:v>356</x:v>
      </x:c>
      <x:c r="B361" s="5" t="str">
        <x:v>异丁醇2-methyl-1-propanol</x:v>
      </x:c>
      <x:c r="C361" s="5"/>
      <x:c r="D361" s="5" t="n">
        <x:v>28300</x:v>
      </x:c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  <x:c r="AQ361" s="5"/>
      <x:c r="AR361" s="5"/>
      <x:c r="AS361" s="5"/>
      <x:c r="AT361" s="5"/>
      <x:c r="AU361" s="5"/>
      <x:c r="AV361" s="5"/>
      <x:c r="AW361" s="5"/>
      <x:c r="AX361" s="5"/>
      <x:c r="AY361" s="5"/>
      <x:c r="AZ361" s="5"/>
      <x:c r="BA361" s="5"/>
      <x:c r="BB361" s="5"/>
      <x:c r="BC361" s="5"/>
      <x:c r="BD361" s="5"/>
      <x:c r="BE361" s="5"/>
      <x:c r="BF361" s="5"/>
      <x:c r="BG361" s="5"/>
      <x:c r="BH361" s="5"/>
      <x:c r="BI361" s="5"/>
      <x:c r="BJ361" s="5"/>
      <x:c r="BK361" s="5"/>
      <x:c r="BL361" s="5"/>
      <x:c r="BM361" s="5"/>
      <x:c r="BN361" s="5"/>
      <x:c r="BO361" s="5"/>
      <x:c r="BP361" s="5"/>
      <x:c r="BQ361" s="5"/>
      <x:c r="BR361" s="5"/>
      <x:c r="BS361" s="5"/>
      <x:c r="BT361" s="5"/>
      <x:c r="BU361" s="5"/>
      <x:c r="BV361" s="5"/>
      <x:c r="BW361" s="5"/>
      <x:c r="BX361" s="5"/>
      <x:c r="BY361" s="5"/>
      <x:c r="BZ361" s="5"/>
      <x:c r="CA361" s="5"/>
      <x:c r="CB361" s="5"/>
      <x:c r="CC361" s="5"/>
      <x:c r="CD361" s="5"/>
      <x:c r="CE361" s="5"/>
      <x:c r="CF361" s="5"/>
      <x:c r="CG361" s="5"/>
      <x:c r="CH361" s="5"/>
      <x:c r="CI361" s="5"/>
      <x:c r="CJ361" s="5"/>
      <x:c r="CK361" s="5"/>
      <x:c r="CL361" s="5"/>
      <x:c r="CM361" s="5"/>
      <x:c r="CN361" s="5"/>
      <x:c r="CO361" s="5"/>
      <x:c r="CP361" s="5"/>
      <x:c r="CQ361" s="5"/>
      <x:c r="CR361" s="5"/>
      <x:c r="CS361" s="5"/>
      <x:c r="CT361" s="5"/>
      <x:c r="CU361" s="5"/>
      <x:c r="CV361" s="5"/>
      <x:c r="CW361" s="5"/>
      <x:c r="CX361" s="5"/>
      <x:c r="CY361" s="5"/>
      <x:c r="CZ361" s="5"/>
      <x:c r="DA361" s="5"/>
      <x:c r="DB361" s="5"/>
      <x:c r="DC361" s="5"/>
      <x:c r="DD361" s="5"/>
      <x:c r="DE361" s="5"/>
      <x:c r="DF361" s="5"/>
      <x:c r="DG361" s="5"/>
      <x:c r="DH361" s="5"/>
      <x:c r="DI361" s="5"/>
      <x:c r="DJ361" s="5"/>
      <x:c r="DK361" s="5"/>
      <x:c r="DL361" s="5"/>
      <x:c r="DM361" s="5"/>
    </x:row>
    <x:row r="362">
      <x:c r="A362" s="5" t="n">
        <x:v>357</x:v>
      </x:c>
      <x:c r="B362" s="5" t="str">
        <x:v>异戊醇3-methyl-1-butanol</x:v>
      </x:c>
      <x:c r="C362" s="5"/>
      <x:c r="D362" s="5" t="n">
        <x:v>179191</x:v>
      </x:c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  <x:c r="AQ362" s="5"/>
      <x:c r="AR362" s="5"/>
      <x:c r="AS362" s="5"/>
      <x:c r="AT362" s="5"/>
      <x:c r="AU362" s="5"/>
      <x:c r="AV362" s="5"/>
      <x:c r="AW362" s="5"/>
      <x:c r="AX362" s="5"/>
      <x:c r="AY362" s="5"/>
      <x:c r="AZ362" s="5"/>
      <x:c r="BA362" s="5"/>
      <x:c r="BB362" s="5"/>
      <x:c r="BC362" s="5"/>
      <x:c r="BD362" s="5"/>
      <x:c r="BE362" s="5"/>
      <x:c r="BF362" s="5"/>
      <x:c r="BG362" s="5"/>
      <x:c r="BH362" s="5"/>
      <x:c r="BI362" s="5"/>
      <x:c r="BJ362" s="5"/>
      <x:c r="BK362" s="5"/>
      <x:c r="BL362" s="5"/>
      <x:c r="BM362" s="5"/>
      <x:c r="BN362" s="5"/>
      <x:c r="BO362" s="5"/>
      <x:c r="BP362" s="5"/>
      <x:c r="BQ362" s="5"/>
      <x:c r="BR362" s="5"/>
      <x:c r="BS362" s="5"/>
      <x:c r="BT362" s="5"/>
      <x:c r="BU362" s="5"/>
      <x:c r="BV362" s="5"/>
      <x:c r="BW362" s="5"/>
      <x:c r="BX362" s="5"/>
      <x:c r="BY362" s="5"/>
      <x:c r="BZ362" s="5"/>
      <x:c r="CA362" s="5"/>
      <x:c r="CB362" s="5"/>
      <x:c r="CC362" s="5"/>
      <x:c r="CD362" s="5"/>
      <x:c r="CE362" s="5"/>
      <x:c r="CF362" s="5"/>
      <x:c r="CG362" s="5"/>
      <x:c r="CH362" s="5"/>
      <x:c r="CI362" s="5"/>
      <x:c r="CJ362" s="5"/>
      <x:c r="CK362" s="5"/>
      <x:c r="CL362" s="5"/>
      <x:c r="CM362" s="5"/>
      <x:c r="CN362" s="5"/>
      <x:c r="CO362" s="5"/>
      <x:c r="CP362" s="5"/>
      <x:c r="CQ362" s="5"/>
      <x:c r="CR362" s="5"/>
      <x:c r="CS362" s="5"/>
      <x:c r="CT362" s="5"/>
      <x:c r="CU362" s="5"/>
      <x:c r="CV362" s="5"/>
      <x:c r="CW362" s="5"/>
      <x:c r="CX362" s="5"/>
      <x:c r="CY362" s="5"/>
      <x:c r="CZ362" s="5"/>
      <x:c r="DA362" s="5"/>
      <x:c r="DB362" s="5"/>
      <x:c r="DC362" s="5"/>
      <x:c r="DD362" s="5"/>
      <x:c r="DE362" s="5"/>
      <x:c r="DF362" s="5"/>
      <x:c r="DG362" s="5"/>
      <x:c r="DH362" s="5"/>
      <x:c r="DI362" s="5"/>
      <x:c r="DJ362" s="5"/>
      <x:c r="DK362" s="5"/>
      <x:c r="DL362" s="5"/>
      <x:c r="DM362" s="5"/>
    </x:row>
    <x:row r="363">
      <x:c r="A363" s="5" t="n">
        <x:v>358</x:v>
      </x:c>
      <x:c r="B363" s="5" t="str">
        <x:v>异戊醛3-methylbutanal</x:v>
      </x:c>
      <x:c r="C363" s="5"/>
      <x:c r="D363" s="5" t="n">
        <x:v>16.5</x:v>
      </x:c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  <x:c r="AQ363" s="5"/>
      <x:c r="AR363" s="5"/>
      <x:c r="AS363" s="5"/>
      <x:c r="AT363" s="5"/>
      <x:c r="AU363" s="5"/>
      <x:c r="AV363" s="5"/>
      <x:c r="AW363" s="5"/>
      <x:c r="AX363" s="5"/>
      <x:c r="AY363" s="5"/>
      <x:c r="AZ363" s="5"/>
      <x:c r="BA363" s="5"/>
      <x:c r="BB363" s="5"/>
      <x:c r="BC363" s="5"/>
      <x:c r="BD363" s="5"/>
      <x:c r="BE363" s="5"/>
      <x:c r="BF363" s="5"/>
      <x:c r="BG363" s="5"/>
      <x:c r="BH363" s="5"/>
      <x:c r="BI363" s="5"/>
      <x:c r="BJ363" s="5"/>
      <x:c r="BK363" s="5"/>
      <x:c r="BL363" s="5"/>
      <x:c r="BM363" s="5"/>
      <x:c r="BN363" s="5"/>
      <x:c r="BO363" s="5"/>
      <x:c r="BP363" s="5"/>
      <x:c r="BQ363" s="5"/>
      <x:c r="BR363" s="5"/>
      <x:c r="BS363" s="5"/>
      <x:c r="BT363" s="5"/>
      <x:c r="BU363" s="5"/>
      <x:c r="BV363" s="5"/>
      <x:c r="BW363" s="5"/>
      <x:c r="BX363" s="5"/>
      <x:c r="BY363" s="5"/>
      <x:c r="BZ363" s="5"/>
      <x:c r="CA363" s="5"/>
      <x:c r="CB363" s="5"/>
      <x:c r="CC363" s="5"/>
      <x:c r="CD363" s="5"/>
      <x:c r="CE363" s="5"/>
      <x:c r="CF363" s="5"/>
      <x:c r="CG363" s="5"/>
      <x:c r="CH363" s="5"/>
      <x:c r="CI363" s="5"/>
      <x:c r="CJ363" s="5"/>
      <x:c r="CK363" s="5"/>
      <x:c r="CL363" s="5"/>
      <x:c r="CM363" s="5"/>
      <x:c r="CN363" s="5"/>
      <x:c r="CO363" s="5"/>
      <x:c r="CP363" s="5"/>
      <x:c r="CQ363" s="5"/>
      <x:c r="CR363" s="5"/>
      <x:c r="CS363" s="5"/>
      <x:c r="CT363" s="5"/>
      <x:c r="CU363" s="5"/>
      <x:c r="CV363" s="5"/>
      <x:c r="CW363" s="5"/>
      <x:c r="CX363" s="5"/>
      <x:c r="CY363" s="5"/>
      <x:c r="CZ363" s="5"/>
      <x:c r="DA363" s="5"/>
      <x:c r="DB363" s="5"/>
      <x:c r="DC363" s="5"/>
      <x:c r="DD363" s="5"/>
      <x:c r="DE363" s="5"/>
      <x:c r="DF363" s="5"/>
      <x:c r="DG363" s="5"/>
      <x:c r="DH363" s="5"/>
      <x:c r="DI363" s="5"/>
      <x:c r="DJ363" s="5"/>
      <x:c r="DK363" s="5"/>
      <x:c r="DL363" s="5"/>
      <x:c r="DM363" s="5"/>
    </x:row>
    <x:row r="364">
      <x:c r="A364" s="5" t="n">
        <x:v>359</x:v>
      </x:c>
      <x:c r="B364" s="5" t="str">
        <x:v>异戊醛二乙缩醛</x:v>
      </x:c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  <x:c r="AQ364" s="5"/>
      <x:c r="AR364" s="5"/>
      <x:c r="AS364" s="5"/>
      <x:c r="AT364" s="5"/>
      <x:c r="AU364" s="5"/>
      <x:c r="AV364" s="5"/>
      <x:c r="AW364" s="5"/>
      <x:c r="AX364" s="5"/>
      <x:c r="AY364" s="5"/>
      <x:c r="AZ364" s="5"/>
      <x:c r="BA364" s="5"/>
      <x:c r="BB364" s="5"/>
      <x:c r="BC364" s="5"/>
      <x:c r="BD364" s="5"/>
      <x:c r="BE364" s="5"/>
      <x:c r="BF364" s="5"/>
      <x:c r="BG364" s="5"/>
      <x:c r="BH364" s="5"/>
      <x:c r="BI364" s="5"/>
      <x:c r="BJ364" s="5"/>
      <x:c r="BK364" s="5"/>
      <x:c r="BL364" s="5"/>
      <x:c r="BM364" s="5"/>
      <x:c r="BN364" s="5"/>
      <x:c r="BO364" s="5"/>
      <x:c r="BP364" s="5"/>
      <x:c r="BQ364" s="5"/>
      <x:c r="BR364" s="5"/>
      <x:c r="BS364" s="5"/>
      <x:c r="BT364" s="5"/>
      <x:c r="BU364" s="5"/>
      <x:c r="BV364" s="5"/>
      <x:c r="BW364" s="5"/>
      <x:c r="BX364" s="5"/>
      <x:c r="BY364" s="5"/>
      <x:c r="BZ364" s="5"/>
      <x:c r="CA364" s="5"/>
      <x:c r="CB364" s="5"/>
      <x:c r="CC364" s="5"/>
      <x:c r="CD364" s="5"/>
      <x:c r="CE364" s="5"/>
      <x:c r="CF364" s="5"/>
      <x:c r="CG364" s="5"/>
      <x:c r="CH364" s="5"/>
      <x:c r="CI364" s="5"/>
      <x:c r="CJ364" s="5"/>
      <x:c r="CK364" s="5"/>
      <x:c r="CL364" s="5"/>
      <x:c r="CM364" s="5"/>
      <x:c r="CN364" s="5"/>
      <x:c r="CO364" s="5"/>
      <x:c r="CP364" s="5"/>
      <x:c r="CQ364" s="5"/>
      <x:c r="CR364" s="5"/>
      <x:c r="CS364" s="5"/>
      <x:c r="CT364" s="5" t="n">
        <x:v>1974.01</x:v>
      </x:c>
      <x:c r="CU364" s="5" t="n">
        <x:v>1271.39</x:v>
      </x:c>
      <x:c r="CV364" s="5" t="n">
        <x:v>1286.47</x:v>
      </x:c>
      <x:c r="CW364" s="5" t="n">
        <x:v>1636.61</x:v>
      </x:c>
      <x:c r="CX364" s="5"/>
      <x:c r="CY364" s="5"/>
      <x:c r="CZ364" s="5"/>
      <x:c r="DA364" s="5"/>
      <x:c r="DB364" s="5"/>
      <x:c r="DC364" s="5"/>
      <x:c r="DD364" s="5"/>
      <x:c r="DE364" s="5"/>
      <x:c r="DF364" s="5"/>
      <x:c r="DG364" s="5"/>
      <x:c r="DH364" s="5"/>
      <x:c r="DI364" s="5"/>
      <x:c r="DJ364" s="5"/>
      <x:c r="DK364" s="5"/>
      <x:c r="DL364" s="5"/>
      <x:c r="DM364" s="5"/>
    </x:row>
    <x:row r="365">
      <x:c r="A365" s="5" t="n">
        <x:v>360</x:v>
      </x:c>
      <x:c r="B365" s="5" t="str">
        <x:v>戊酮-2</x:v>
      </x:c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  <x:c r="AQ365" s="5"/>
      <x:c r="AR365" s="5"/>
      <x:c r="AS365" s="5"/>
      <x:c r="AT365" s="5"/>
      <x:c r="AU365" s="5"/>
      <x:c r="AV365" s="5" t="n">
        <x:v>11100</x:v>
      </x:c>
      <x:c r="AW365" s="5"/>
      <x:c r="AX365" s="5" t="n">
        <x:v>112300</x:v>
      </x:c>
      <x:c r="AY365" s="5" t="n">
        <x:v>0</x:v>
      </x:c>
      <x:c r="AZ365" s="5"/>
      <x:c r="BA365" s="5"/>
      <x:c r="BB365" s="5"/>
      <x:c r="BC365" s="5"/>
      <x:c r="BD365" s="5"/>
      <x:c r="BE365" s="5"/>
      <x:c r="BF365" s="5"/>
      <x:c r="BG365" s="5"/>
      <x:c r="BH365" s="5"/>
      <x:c r="BI365" s="5"/>
      <x:c r="BJ365" s="5"/>
      <x:c r="BK365" s="5"/>
      <x:c r="BL365" s="5"/>
      <x:c r="BM365" s="5"/>
      <x:c r="BN365" s="5"/>
      <x:c r="BO365" s="5"/>
      <x:c r="BP365" s="5"/>
      <x:c r="BQ365" s="5"/>
      <x:c r="BR365" s="5"/>
      <x:c r="BS365" s="5"/>
      <x:c r="BT365" s="5"/>
      <x:c r="BU365" s="5"/>
      <x:c r="BV365" s="5"/>
      <x:c r="BW365" s="5"/>
      <x:c r="BX365" s="5"/>
      <x:c r="BY365" s="5"/>
      <x:c r="BZ365" s="5"/>
      <x:c r="CA365" s="5"/>
      <x:c r="CB365" s="5"/>
      <x:c r="CC365" s="5"/>
      <x:c r="CD365" s="5"/>
      <x:c r="CE365" s="5"/>
      <x:c r="CF365" s="5"/>
      <x:c r="CG365" s="5"/>
      <x:c r="CH365" s="5"/>
      <x:c r="CI365" s="5"/>
      <x:c r="CJ365" s="5"/>
      <x:c r="CK365" s="5"/>
      <x:c r="CL365" s="5"/>
      <x:c r="CM365" s="5"/>
      <x:c r="CN365" s="5"/>
      <x:c r="CO365" s="5"/>
      <x:c r="CP365" s="5"/>
      <x:c r="CQ365" s="5"/>
      <x:c r="CR365" s="5"/>
      <x:c r="CS365" s="5"/>
      <x:c r="CT365" s="5"/>
      <x:c r="CU365" s="5"/>
      <x:c r="CV365" s="5"/>
      <x:c r="CW365" s="5"/>
      <x:c r="CX365" s="5"/>
      <x:c r="CY365" s="5"/>
      <x:c r="CZ365" s="5"/>
      <x:c r="DA365" s="5"/>
      <x:c r="DB365" s="5"/>
      <x:c r="DC365" s="5"/>
      <x:c r="DD365" s="5"/>
      <x:c r="DE365" s="5"/>
      <x:c r="DF365" s="5"/>
      <x:c r="DG365" s="5"/>
      <x:c r="DH365" s="5"/>
      <x:c r="DI365" s="5"/>
      <x:c r="DJ365" s="5"/>
      <x:c r="DK365" s="5"/>
      <x:c r="DL365" s="5"/>
      <x:c r="DM365" s="5"/>
    </x:row>
    <x:row r="366">
      <x:c r="A366" s="5" t="n">
        <x:v>361</x:v>
      </x:c>
      <x:c r="B366" s="5" t="str">
        <x:v>戊酸乙酯（mg·L-1）</x:v>
      </x:c>
      <x:c r="C366" s="5"/>
      <x:c r="D366" s="5" t="n">
        <x:v>26.8</x:v>
      </x:c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  <x:c r="AQ366" s="5"/>
      <x:c r="AR366" s="5"/>
      <x:c r="AS366" s="5"/>
      <x:c r="AT366" s="5"/>
      <x:c r="AU366" s="5"/>
      <x:c r="AV366" s="5"/>
      <x:c r="AW366" s="5"/>
      <x:c r="AX366" s="5"/>
      <x:c r="AY366" s="5"/>
      <x:c r="AZ366" s="5"/>
      <x:c r="BA366" s="5"/>
      <x:c r="BB366" s="5"/>
      <x:c r="BC366" s="5"/>
      <x:c r="BD366" s="5"/>
      <x:c r="BE366" s="5"/>
      <x:c r="BF366" s="5"/>
      <x:c r="BG366" s="5"/>
      <x:c r="BH366" s="5"/>
      <x:c r="BI366" s="5"/>
      <x:c r="BJ366" s="5"/>
      <x:c r="BK366" s="5"/>
      <x:c r="BL366" s="5" t="n">
        <x:v>168.36</x:v>
      </x:c>
      <x:c r="BM366" s="5" t="n">
        <x:v>105.85</x:v>
      </x:c>
      <x:c r="BN366" s="5"/>
      <x:c r="BO366" s="5"/>
      <x:c r="BP366" s="5"/>
      <x:c r="BQ366" s="5"/>
      <x:c r="BR366" s="5"/>
      <x:c r="BS366" s="5"/>
      <x:c r="BT366" s="5"/>
      <x:c r="BU366" s="5"/>
      <x:c r="BV366" s="5"/>
      <x:c r="BW366" s="5"/>
      <x:c r="BX366" s="5"/>
      <x:c r="BY366" s="5"/>
      <x:c r="BZ366" s="5"/>
      <x:c r="CA366" s="5"/>
      <x:c r="CB366" s="5"/>
      <x:c r="CC366" s="5"/>
      <x:c r="CD366" s="5"/>
      <x:c r="CE366" s="5"/>
      <x:c r="CF366" s="5"/>
      <x:c r="CG366" s="5"/>
      <x:c r="CH366" s="5"/>
      <x:c r="CI366" s="5"/>
      <x:c r="CJ366" s="5"/>
      <x:c r="CK366" s="5"/>
      <x:c r="CL366" s="5"/>
      <x:c r="CM366" s="5"/>
      <x:c r="CN366" s="5"/>
      <x:c r="CO366" s="5"/>
      <x:c r="CP366" s="5"/>
      <x:c r="CQ366" s="5"/>
      <x:c r="CR366" s="5"/>
      <x:c r="CS366" s="5"/>
      <x:c r="CT366" s="5"/>
      <x:c r="CU366" s="5"/>
      <x:c r="CV366" s="5"/>
      <x:c r="CW366" s="5"/>
      <x:c r="CX366" s="5"/>
      <x:c r="CY366" s="5"/>
      <x:c r="CZ366" s="5"/>
      <x:c r="DA366" s="5"/>
      <x:c r="DB366" s="5"/>
      <x:c r="DC366" s="5"/>
      <x:c r="DD366" s="5"/>
      <x:c r="DE366" s="5"/>
      <x:c r="DF366" s="5"/>
      <x:c r="DG366" s="5"/>
      <x:c r="DH366" s="5"/>
      <x:c r="DI366" s="5"/>
      <x:c r="DJ366" s="5"/>
      <x:c r="DK366" s="5"/>
      <x:c r="DL366" s="5"/>
      <x:c r="DM366" s="5"/>
    </x:row>
    <x:row r="367">
      <x:c r="A367" s="5" t="n">
        <x:v>362</x:v>
      </x:c>
      <x:c r="B367" s="5" t="str">
        <x:v>正丁醇1-butanol</x:v>
      </x:c>
      <x:c r="C367" s="5"/>
      <x:c r="D367" s="5" t="n">
        <x:v>2733</x:v>
      </x:c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  <x:c r="AQ367" s="5"/>
      <x:c r="AR367" s="5"/>
      <x:c r="AS367" s="5"/>
      <x:c r="AT367" s="5"/>
      <x:c r="AU367" s="5"/>
      <x:c r="AV367" s="5"/>
      <x:c r="AW367" s="5"/>
      <x:c r="AX367" s="5"/>
      <x:c r="AY367" s="5"/>
      <x:c r="AZ367" s="5"/>
      <x:c r="BA367" s="5"/>
      <x:c r="BB367" s="5"/>
      <x:c r="BC367" s="5"/>
      <x:c r="BD367" s="5"/>
      <x:c r="BE367" s="5"/>
      <x:c r="BF367" s="5"/>
      <x:c r="BG367" s="5"/>
      <x:c r="BH367" s="5"/>
      <x:c r="BI367" s="5"/>
      <x:c r="BJ367" s="5"/>
      <x:c r="BK367" s="5"/>
      <x:c r="BL367" s="5"/>
      <x:c r="BM367" s="5"/>
      <x:c r="BN367" s="5"/>
      <x:c r="BO367" s="5"/>
      <x:c r="BP367" s="5"/>
      <x:c r="BQ367" s="5"/>
      <x:c r="BR367" s="5"/>
      <x:c r="BS367" s="5"/>
      <x:c r="BT367" s="5"/>
      <x:c r="BU367" s="5"/>
      <x:c r="BV367" s="5"/>
      <x:c r="BW367" s="5"/>
      <x:c r="BX367" s="5"/>
      <x:c r="BY367" s="5"/>
      <x:c r="BZ367" s="5"/>
      <x:c r="CA367" s="5"/>
      <x:c r="CB367" s="5"/>
      <x:c r="CC367" s="5"/>
      <x:c r="CD367" s="5"/>
      <x:c r="CE367" s="5"/>
      <x:c r="CF367" s="5"/>
      <x:c r="CG367" s="5"/>
      <x:c r="CH367" s="5"/>
      <x:c r="CI367" s="5"/>
      <x:c r="CJ367" s="5"/>
      <x:c r="CK367" s="5"/>
      <x:c r="CL367" s="5"/>
      <x:c r="CM367" s="5"/>
      <x:c r="CN367" s="5"/>
      <x:c r="CO367" s="5"/>
      <x:c r="CP367" s="5"/>
      <x:c r="CQ367" s="5"/>
      <x:c r="CR367" s="5"/>
      <x:c r="CS367" s="5"/>
      <x:c r="CT367" s="5"/>
      <x:c r="CU367" s="5"/>
      <x:c r="CV367" s="5"/>
      <x:c r="CW367" s="5"/>
      <x:c r="CX367" s="5"/>
      <x:c r="CY367" s="5"/>
      <x:c r="CZ367" s="5"/>
      <x:c r="DA367" s="5"/>
      <x:c r="DB367" s="5"/>
      <x:c r="DC367" s="5"/>
      <x:c r="DD367" s="5"/>
      <x:c r="DE367" s="5"/>
      <x:c r="DF367" s="5"/>
      <x:c r="DG367" s="5"/>
      <x:c r="DH367" s="5"/>
      <x:c r="DI367" s="5"/>
      <x:c r="DJ367" s="5"/>
      <x:c r="DK367" s="5"/>
      <x:c r="DL367" s="5"/>
      <x:c r="DM367" s="5"/>
    </x:row>
    <x:row r="368">
      <x:c r="A368" s="5" t="n">
        <x:v>363</x:v>
      </x:c>
      <x:c r="B368" s="5" t="str">
        <x:v>正丙醇1-propanol</x:v>
      </x:c>
      <x:c r="C368" s="5"/>
      <x:c r="D368" s="5" t="n">
        <x:v>109000</x:v>
      </x:c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  <x:c r="AQ368" s="5"/>
      <x:c r="AR368" s="5"/>
      <x:c r="AS368" s="5"/>
      <x:c r="AT368" s="5"/>
      <x:c r="AU368" s="5"/>
      <x:c r="AV368" s="5"/>
      <x:c r="AW368" s="5"/>
      <x:c r="AX368" s="5"/>
      <x:c r="AY368" s="5"/>
      <x:c r="AZ368" s="5"/>
      <x:c r="BA368" s="5"/>
      <x:c r="BB368" s="5"/>
      <x:c r="BC368" s="5"/>
      <x:c r="BD368" s="5"/>
      <x:c r="BE368" s="5"/>
      <x:c r="BF368" s="5"/>
      <x:c r="BG368" s="5"/>
      <x:c r="BH368" s="5"/>
      <x:c r="BI368" s="5"/>
      <x:c r="BJ368" s="5"/>
      <x:c r="BK368" s="5"/>
      <x:c r="BL368" s="5"/>
      <x:c r="BM368" s="5"/>
      <x:c r="BN368" s="5"/>
      <x:c r="BO368" s="5"/>
      <x:c r="BP368" s="5"/>
      <x:c r="BQ368" s="5"/>
      <x:c r="BR368" s="5"/>
      <x:c r="BS368" s="5"/>
      <x:c r="BT368" s="5"/>
      <x:c r="BU368" s="5"/>
      <x:c r="BV368" s="5"/>
      <x:c r="BW368" s="5"/>
      <x:c r="BX368" s="5"/>
      <x:c r="BY368" s="5"/>
      <x:c r="BZ368" s="5"/>
      <x:c r="CA368" s="5"/>
      <x:c r="CB368" s="5"/>
      <x:c r="CC368" s="5"/>
      <x:c r="CD368" s="5"/>
      <x:c r="CE368" s="5"/>
      <x:c r="CF368" s="5"/>
      <x:c r="CG368" s="5"/>
      <x:c r="CH368" s="5"/>
      <x:c r="CI368" s="5"/>
      <x:c r="CJ368" s="5"/>
      <x:c r="CK368" s="5"/>
      <x:c r="CL368" s="5"/>
      <x:c r="CM368" s="5"/>
      <x:c r="CN368" s="5"/>
      <x:c r="CO368" s="5"/>
      <x:c r="CP368" s="5"/>
      <x:c r="CQ368" s="5"/>
      <x:c r="CR368" s="5"/>
      <x:c r="CS368" s="5"/>
      <x:c r="CT368" s="5"/>
      <x:c r="CU368" s="5"/>
      <x:c r="CV368" s="5"/>
      <x:c r="CW368" s="5"/>
      <x:c r="CX368" s="5"/>
      <x:c r="CY368" s="5"/>
      <x:c r="CZ368" s="5"/>
      <x:c r="DA368" s="5"/>
      <x:c r="DB368" s="5"/>
      <x:c r="DC368" s="5"/>
      <x:c r="DD368" s="5"/>
      <x:c r="DE368" s="5"/>
      <x:c r="DF368" s="5"/>
      <x:c r="DG368" s="5"/>
      <x:c r="DH368" s="5"/>
      <x:c r="DI368" s="5"/>
      <x:c r="DJ368" s="5"/>
      <x:c r="DK368" s="5"/>
      <x:c r="DL368" s="5"/>
      <x:c r="DM368" s="5"/>
    </x:row>
    <x:row r="369">
      <x:c r="A369" s="5" t="n">
        <x:v>364</x:v>
      </x:c>
      <x:c r="B369" s="5" t="str">
        <x:v>正己醇1-hexanol</x:v>
      </x:c>
      <x:c r="C369" s="5"/>
      <x:c r="D369" s="5" t="n">
        <x:v>5370</x:v>
      </x:c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  <x:c r="AQ369" s="5"/>
      <x:c r="AR369" s="5"/>
      <x:c r="AS369" s="5"/>
      <x:c r="AT369" s="5"/>
      <x:c r="AU369" s="5"/>
      <x:c r="AV369" s="5"/>
      <x:c r="AW369" s="5"/>
      <x:c r="AX369" s="5"/>
      <x:c r="AY369" s="5"/>
      <x:c r="AZ369" s="5"/>
      <x:c r="BA369" s="5"/>
      <x:c r="BB369" s="5"/>
      <x:c r="BC369" s="5"/>
      <x:c r="BD369" s="5"/>
      <x:c r="BE369" s="5"/>
      <x:c r="BF369" s="5"/>
      <x:c r="BG369" s="5"/>
      <x:c r="BH369" s="5"/>
      <x:c r="BI369" s="5"/>
      <x:c r="BJ369" s="5"/>
      <x:c r="BK369" s="5"/>
      <x:c r="BL369" s="5"/>
      <x:c r="BM369" s="5"/>
      <x:c r="BN369" s="5"/>
      <x:c r="BO369" s="5"/>
      <x:c r="BP369" s="5"/>
      <x:c r="BQ369" s="5"/>
      <x:c r="BR369" s="5"/>
      <x:c r="BS369" s="5"/>
      <x:c r="BT369" s="5"/>
      <x:c r="BU369" s="5"/>
      <x:c r="BV369" s="5"/>
      <x:c r="BW369" s="5"/>
      <x:c r="BX369" s="5"/>
      <x:c r="BY369" s="5"/>
      <x:c r="BZ369" s="5"/>
      <x:c r="CA369" s="5"/>
      <x:c r="CB369" s="5"/>
      <x:c r="CC369" s="5"/>
      <x:c r="CD369" s="5"/>
      <x:c r="CE369" s="5"/>
      <x:c r="CF369" s="5"/>
      <x:c r="CG369" s="5"/>
      <x:c r="CH369" s="5"/>
      <x:c r="CI369" s="5"/>
      <x:c r="CJ369" s="5"/>
      <x:c r="CK369" s="5"/>
      <x:c r="CL369" s="5"/>
      <x:c r="CM369" s="5"/>
      <x:c r="CN369" s="5"/>
      <x:c r="CO369" s="5"/>
      <x:c r="CP369" s="5"/>
      <x:c r="CQ369" s="5"/>
      <x:c r="CR369" s="5"/>
      <x:c r="CS369" s="5"/>
      <x:c r="CT369" s="5"/>
      <x:c r="CU369" s="5"/>
      <x:c r="CV369" s="5"/>
      <x:c r="CW369" s="5"/>
      <x:c r="CX369" s="5"/>
      <x:c r="CY369" s="5"/>
      <x:c r="CZ369" s="5"/>
      <x:c r="DA369" s="5"/>
      <x:c r="DB369" s="5"/>
      <x:c r="DC369" s="5"/>
      <x:c r="DD369" s="5"/>
      <x:c r="DE369" s="5"/>
      <x:c r="DF369" s="5"/>
      <x:c r="DG369" s="5"/>
      <x:c r="DH369" s="5"/>
      <x:c r="DI369" s="5"/>
      <x:c r="DJ369" s="5"/>
      <x:c r="DK369" s="5"/>
      <x:c r="DL369" s="5"/>
      <x:c r="DM369" s="5"/>
    </x:row>
    <x:row r="370">
      <x:c r="A370" s="5" t="n">
        <x:v>365</x:v>
      </x:c>
      <x:c r="B370" s="5" t="str">
        <x:v>正辛醇1-octanol</x:v>
      </x:c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  <x:c r="AQ370" s="5"/>
      <x:c r="AR370" s="5"/>
      <x:c r="AS370" s="5"/>
      <x:c r="AT370" s="5"/>
      <x:c r="AU370" s="5"/>
      <x:c r="AV370" s="5"/>
      <x:c r="AW370" s="5"/>
      <x:c r="AX370" s="5"/>
      <x:c r="AY370" s="5"/>
      <x:c r="AZ370" s="5"/>
      <x:c r="BA370" s="5"/>
      <x:c r="BB370" s="5"/>
      <x:c r="BC370" s="5"/>
      <x:c r="BD370" s="5"/>
      <x:c r="BE370" s="5"/>
      <x:c r="BF370" s="5"/>
      <x:c r="BG370" s="5"/>
      <x:c r="BH370" s="5"/>
      <x:c r="BI370" s="5"/>
      <x:c r="BJ370" s="5"/>
      <x:c r="BK370" s="5"/>
      <x:c r="BL370" s="5"/>
      <x:c r="BM370" s="5"/>
      <x:c r="BN370" s="5"/>
      <x:c r="BO370" s="5"/>
      <x:c r="BP370" s="5"/>
      <x:c r="BQ370" s="5"/>
      <x:c r="BR370" s="5"/>
      <x:c r="BS370" s="5"/>
      <x:c r="BT370" s="5"/>
      <x:c r="BU370" s="5"/>
      <x:c r="BV370" s="5"/>
      <x:c r="BW370" s="5"/>
      <x:c r="BX370" s="5"/>
      <x:c r="BY370" s="5"/>
      <x:c r="BZ370" s="5"/>
      <x:c r="CA370" s="5"/>
      <x:c r="CB370" s="5"/>
      <x:c r="CC370" s="5"/>
      <x:c r="CD370" s="5"/>
      <x:c r="CE370" s="5"/>
      <x:c r="CF370" s="5"/>
      <x:c r="CG370" s="5"/>
      <x:c r="CH370" s="5"/>
      <x:c r="CI370" s="5"/>
      <x:c r="CJ370" s="5"/>
      <x:c r="CK370" s="5"/>
      <x:c r="CL370" s="5"/>
      <x:c r="CM370" s="5"/>
      <x:c r="CN370" s="5"/>
      <x:c r="CO370" s="5"/>
      <x:c r="CP370" s="5"/>
      <x:c r="CQ370" s="5"/>
      <x:c r="CR370" s="5"/>
      <x:c r="CS370" s="5"/>
      <x:c r="CT370" s="5"/>
      <x:c r="CU370" s="5"/>
      <x:c r="CV370" s="5"/>
      <x:c r="CW370" s="5"/>
      <x:c r="CX370" s="5"/>
      <x:c r="CY370" s="5"/>
      <x:c r="CZ370" s="5"/>
      <x:c r="DA370" s="5"/>
      <x:c r="DB370" s="5"/>
      <x:c r="DC370" s="5"/>
      <x:c r="DD370" s="5"/>
      <x:c r="DE370" s="5"/>
      <x:c r="DF370" s="5"/>
      <x:c r="DG370" s="5"/>
      <x:c r="DH370" s="5"/>
      <x:c r="DI370" s="5"/>
      <x:c r="DJ370" s="5"/>
      <x:c r="DK370" s="5"/>
      <x:c r="DL370" s="5"/>
      <x:c r="DM370" s="5"/>
    </x:row>
    <x:row r="371">
      <x:c r="A371" s="5" t="n">
        <x:v>366</x:v>
      </x:c>
      <x:c r="B371" s="5" t="str">
        <x:v>甲醚</x:v>
      </x:c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  <x:c r="AQ371" s="5"/>
      <x:c r="AR371" s="5"/>
      <x:c r="AS371" s="5"/>
      <x:c r="AT371" s="5"/>
      <x:c r="AU371" s="5"/>
      <x:c r="AV371" s="5"/>
      <x:c r="AW371" s="5"/>
      <x:c r="AX371" s="5"/>
      <x:c r="AY371" s="5"/>
      <x:c r="AZ371" s="5"/>
      <x:c r="BA371" s="5"/>
      <x:c r="BB371" s="5"/>
      <x:c r="BC371" s="5"/>
      <x:c r="BD371" s="5"/>
      <x:c r="BE371" s="5"/>
      <x:c r="BF371" s="5"/>
      <x:c r="BG371" s="5"/>
      <x:c r="BH371" s="5"/>
      <x:c r="BI371" s="5"/>
      <x:c r="BJ371" s="5"/>
      <x:c r="BK371" s="5"/>
      <x:c r="BL371" s="5"/>
      <x:c r="BM371" s="5"/>
      <x:c r="BN371" s="5"/>
      <x:c r="BO371" s="5"/>
      <x:c r="BP371" s="5"/>
      <x:c r="BQ371" s="5"/>
      <x:c r="BR371" s="5"/>
      <x:c r="BS371" s="5"/>
      <x:c r="BT371" s="5"/>
      <x:c r="BU371" s="5"/>
      <x:c r="BV371" s="5"/>
      <x:c r="BW371" s="5"/>
      <x:c r="BX371" s="5"/>
      <x:c r="BY371" s="5"/>
      <x:c r="BZ371" s="5"/>
      <x:c r="CA371" s="5"/>
      <x:c r="CB371" s="5"/>
      <x:c r="CC371" s="5"/>
      <x:c r="CD371" s="5"/>
      <x:c r="CE371" s="5"/>
      <x:c r="CF371" s="5"/>
      <x:c r="CG371" s="5"/>
      <x:c r="CH371" s="5"/>
      <x:c r="CI371" s="5"/>
      <x:c r="CJ371" s="5"/>
      <x:c r="CK371" s="5"/>
      <x:c r="CL371" s="5"/>
      <x:c r="CM371" s="5"/>
      <x:c r="CN371" s="5"/>
      <x:c r="CO371" s="5"/>
      <x:c r="CP371" s="5"/>
      <x:c r="CQ371" s="5"/>
      <x:c r="CR371" s="5"/>
      <x:c r="CS371" s="5"/>
      <x:c r="CT371" s="5" t="n">
        <x:v>1105.1</x:v>
      </x:c>
      <x:c r="CU371" s="5" t="n">
        <x:v>831.95</x:v>
      </x:c>
      <x:c r="CV371" s="5" t="n">
        <x:v>1270.59</x:v>
      </x:c>
      <x:c r="CW371" s="5" t="n">
        <x:v>2300.02</x:v>
      </x:c>
      <x:c r="CX371" s="5"/>
      <x:c r="CY371" s="5"/>
      <x:c r="CZ371" s="5"/>
      <x:c r="DA371" s="5"/>
      <x:c r="DB371" s="5"/>
      <x:c r="DC371" s="5"/>
      <x:c r="DD371" s="5"/>
      <x:c r="DE371" s="5"/>
      <x:c r="DF371" s="5"/>
      <x:c r="DG371" s="5"/>
      <x:c r="DH371" s="5"/>
      <x:c r="DI371" s="5"/>
      <x:c r="DJ371" s="5"/>
      <x:c r="DK371" s="5"/>
      <x:c r="DL371" s="5"/>
      <x:c r="DM371" s="5"/>
    </x:row>
    <x:row r="372">
      <x:c r="A372" s="5" t="n">
        <x:v>367</x:v>
      </x:c>
      <x:c r="B372" s="5" t="str">
        <x:v>苯乙烯</x:v>
      </x:c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  <x:c r="AQ372" s="5"/>
      <x:c r="AR372" s="5"/>
      <x:c r="AS372" s="5"/>
      <x:c r="AT372" s="5"/>
      <x:c r="AU372" s="5"/>
      <x:c r="AV372" s="5"/>
      <x:c r="AW372" s="5"/>
      <x:c r="AX372" s="5"/>
      <x:c r="AY372" s="5"/>
      <x:c r="AZ372" s="5"/>
      <x:c r="BA372" s="5"/>
      <x:c r="BB372" s="5"/>
      <x:c r="BC372" s="5"/>
      <x:c r="BD372" s="5"/>
      <x:c r="BE372" s="5"/>
      <x:c r="BF372" s="5"/>
      <x:c r="BG372" s="5"/>
      <x:c r="BH372" s="5"/>
      <x:c r="BI372" s="5"/>
      <x:c r="BJ372" s="5"/>
      <x:c r="BK372" s="5"/>
      <x:c r="BL372" s="5"/>
      <x:c r="BM372" s="5"/>
      <x:c r="BN372" s="5"/>
      <x:c r="BO372" s="5"/>
      <x:c r="BP372" s="5"/>
      <x:c r="BQ372" s="5"/>
      <x:c r="BR372" s="5"/>
      <x:c r="BS372" s="5"/>
      <x:c r="BT372" s="5"/>
      <x:c r="BU372" s="5"/>
      <x:c r="BV372" s="5"/>
      <x:c r="BW372" s="5"/>
      <x:c r="BX372" s="5"/>
      <x:c r="BY372" s="5"/>
      <x:c r="BZ372" s="5"/>
      <x:c r="CA372" s="5"/>
      <x:c r="CB372" s="5"/>
      <x:c r="CC372" s="5"/>
      <x:c r="CD372" s="5"/>
      <x:c r="CE372" s="5"/>
      <x:c r="CF372" s="5"/>
      <x:c r="CG372" s="5"/>
      <x:c r="CH372" s="5"/>
      <x:c r="CI372" s="5"/>
      <x:c r="CJ372" s="5"/>
      <x:c r="CK372" s="5"/>
      <x:c r="CL372" s="5"/>
      <x:c r="CM372" s="5"/>
      <x:c r="CN372" s="5"/>
      <x:c r="CO372" s="5"/>
      <x:c r="CP372" s="5"/>
      <x:c r="CQ372" s="5"/>
      <x:c r="CR372" s="5"/>
      <x:c r="CS372" s="5"/>
      <x:c r="CT372" s="5"/>
      <x:c r="CU372" s="5"/>
      <x:c r="CV372" s="5" t="n">
        <x:v>26.77</x:v>
      </x:c>
      <x:c r="CW372" s="5"/>
      <x:c r="CX372" s="5"/>
      <x:c r="CY372" s="5"/>
      <x:c r="CZ372" s="5"/>
      <x:c r="DA372" s="5"/>
      <x:c r="DB372" s="5"/>
      <x:c r="DC372" s="5"/>
      <x:c r="DD372" s="5"/>
      <x:c r="DE372" s="5"/>
      <x:c r="DF372" s="5"/>
      <x:c r="DG372" s="5"/>
      <x:c r="DH372" s="5"/>
      <x:c r="DI372" s="5"/>
      <x:c r="DJ372" s="5"/>
      <x:c r="DK372" s="5"/>
      <x:c r="DL372" s="5"/>
      <x:c r="DM372" s="5"/>
    </x:row>
    <x:row r="373">
      <x:c r="A373" s="5" t="n">
        <x:v>368</x:v>
      </x:c>
      <x:c r="B373" s="5" t="str">
        <x:v>苯乙醛二乙缩醛</x:v>
      </x:c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  <x:c r="AQ373" s="5"/>
      <x:c r="AR373" s="5"/>
      <x:c r="AS373" s="5"/>
      <x:c r="AT373" s="5"/>
      <x:c r="AU373" s="5"/>
      <x:c r="AV373" s="5"/>
      <x:c r="AW373" s="5"/>
      <x:c r="AX373" s="5"/>
      <x:c r="AY373" s="5"/>
      <x:c r="AZ373" s="5"/>
      <x:c r="BA373" s="5"/>
      <x:c r="BB373" s="5"/>
      <x:c r="BC373" s="5"/>
      <x:c r="BD373" s="5"/>
      <x:c r="BE373" s="5"/>
      <x:c r="BF373" s="5"/>
      <x:c r="BG373" s="5"/>
      <x:c r="BH373" s="5"/>
      <x:c r="BI373" s="5"/>
      <x:c r="BJ373" s="5"/>
      <x:c r="BK373" s="5"/>
      <x:c r="BL373" s="5"/>
      <x:c r="BM373" s="5"/>
      <x:c r="BN373" s="5"/>
      <x:c r="BO373" s="5"/>
      <x:c r="BP373" s="5"/>
      <x:c r="BQ373" s="5"/>
      <x:c r="BR373" s="5"/>
      <x:c r="BS373" s="5"/>
      <x:c r="BT373" s="5"/>
      <x:c r="BU373" s="5"/>
      <x:c r="BV373" s="5"/>
      <x:c r="BW373" s="5"/>
      <x:c r="BX373" s="5"/>
      <x:c r="BY373" s="5"/>
      <x:c r="BZ373" s="5"/>
      <x:c r="CA373" s="5"/>
      <x:c r="CB373" s="5"/>
      <x:c r="CC373" s="5"/>
      <x:c r="CD373" s="5"/>
      <x:c r="CE373" s="5"/>
      <x:c r="CF373" s="5"/>
      <x:c r="CG373" s="5"/>
      <x:c r="CH373" s="5"/>
      <x:c r="CI373" s="5"/>
      <x:c r="CJ373" s="5"/>
      <x:c r="CK373" s="5"/>
      <x:c r="CL373" s="5"/>
      <x:c r="CM373" s="5"/>
      <x:c r="CN373" s="5"/>
      <x:c r="CO373" s="5"/>
      <x:c r="CP373" s="5"/>
      <x:c r="CQ373" s="5"/>
      <x:c r="CR373" s="5"/>
      <x:c r="CS373" s="5"/>
      <x:c r="CT373" s="5" t="n">
        <x:v>118.74</x:v>
      </x:c>
      <x:c r="CU373" s="5" t="n">
        <x:v>165.65</x:v>
      </x:c>
      <x:c r="CV373" s="5" t="n">
        <x:v>230.21</x:v>
      </x:c>
      <x:c r="CW373" s="5" t="n">
        <x:v>99.71</x:v>
      </x:c>
      <x:c r="CX373" s="5"/>
      <x:c r="CY373" s="5"/>
      <x:c r="CZ373" s="5"/>
      <x:c r="DA373" s="5"/>
      <x:c r="DB373" s="5"/>
      <x:c r="DC373" s="5"/>
      <x:c r="DD373" s="5"/>
      <x:c r="DE373" s="5"/>
      <x:c r="DF373" s="5"/>
      <x:c r="DG373" s="5"/>
      <x:c r="DH373" s="5"/>
      <x:c r="DI373" s="5"/>
      <x:c r="DJ373" s="5"/>
      <x:c r="DK373" s="5"/>
      <x:c r="DL373" s="5"/>
      <x:c r="DM373" s="5"/>
    </x:row>
    <x:row r="374">
      <x:c r="A374" s="5" t="n">
        <x:v>369</x:v>
      </x:c>
      <x:c r="B374" s="5" t="str">
        <x:v>辛酸-3-甲基丁</x:v>
      </x:c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  <x:c r="AQ374" s="5"/>
      <x:c r="AR374" s="5"/>
      <x:c r="AS374" s="5"/>
      <x:c r="AT374" s="5"/>
      <x:c r="AU374" s="5"/>
      <x:c r="AV374" s="5"/>
      <x:c r="AW374" s="5"/>
      <x:c r="AX374" s="5"/>
      <x:c r="AY374" s="5"/>
      <x:c r="AZ374" s="5"/>
      <x:c r="BA374" s="5"/>
      <x:c r="BB374" s="5"/>
      <x:c r="BC374" s="5"/>
      <x:c r="BD374" s="5"/>
      <x:c r="BE374" s="5"/>
      <x:c r="BF374" s="5"/>
      <x:c r="BG374" s="5"/>
      <x:c r="BH374" s="5"/>
      <x:c r="BI374" s="5"/>
      <x:c r="BJ374" s="5"/>
      <x:c r="BK374" s="5"/>
      <x:c r="BL374" s="5"/>
      <x:c r="BM374" s="5"/>
      <x:c r="BN374" s="5"/>
      <x:c r="BO374" s="5"/>
      <x:c r="BP374" s="5"/>
      <x:c r="BQ374" s="5"/>
      <x:c r="BR374" s="5"/>
      <x:c r="BS374" s="5"/>
      <x:c r="BT374" s="5"/>
      <x:c r="BU374" s="5"/>
      <x:c r="BV374" s="5"/>
      <x:c r="BW374" s="5"/>
      <x:c r="BX374" s="5"/>
      <x:c r="BY374" s="5"/>
      <x:c r="BZ374" s="5"/>
      <x:c r="CA374" s="5"/>
      <x:c r="CB374" s="5"/>
      <x:c r="CC374" s="5"/>
      <x:c r="CD374" s="5"/>
      <x:c r="CE374" s="5"/>
      <x:c r="CF374" s="5"/>
      <x:c r="CG374" s="5"/>
      <x:c r="CH374" s="5"/>
      <x:c r="CI374" s="5"/>
      <x:c r="CJ374" s="5"/>
      <x:c r="CK374" s="5"/>
      <x:c r="CL374" s="5"/>
      <x:c r="CM374" s="5"/>
      <x:c r="CN374" s="5"/>
      <x:c r="CO374" s="5"/>
      <x:c r="CP374" s="5"/>
      <x:c r="CQ374" s="5"/>
      <x:c r="CR374" s="5" t="n">
        <x:v>461.49</x:v>
      </x:c>
      <x:c r="CS374" s="5" t="n">
        <x:v>1142.68</x:v>
      </x:c>
      <x:c r="CT374" s="5"/>
      <x:c r="CU374" s="5"/>
      <x:c r="CV374" s="5"/>
      <x:c r="CW374" s="5"/>
      <x:c r="CX374" s="5"/>
      <x:c r="CY374" s="5"/>
      <x:c r="CZ374" s="5"/>
      <x:c r="DA374" s="5"/>
      <x:c r="DB374" s="5"/>
      <x:c r="DC374" s="5"/>
      <x:c r="DD374" s="5"/>
      <x:c r="DE374" s="5"/>
      <x:c r="DF374" s="5"/>
      <x:c r="DG374" s="5"/>
      <x:c r="DH374" s="5"/>
      <x:c r="DI374" s="5"/>
      <x:c r="DJ374" s="5"/>
      <x:c r="DK374" s="5"/>
      <x:c r="DL374" s="5"/>
      <x:c r="DM374" s="5"/>
    </x:row>
    <x:row r="375">
      <x:c r="A375" s="5" t="n">
        <x:v>370</x:v>
      </x:c>
      <x:c r="B375" s="5" t="str">
        <x:v>辛酸-3-甲基丁酯（μg·L-1）</x:v>
      </x:c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  <x:c r="AQ375" s="5"/>
      <x:c r="AR375" s="5"/>
      <x:c r="AS375" s="5"/>
      <x:c r="AT375" s="5"/>
      <x:c r="AU375" s="5"/>
      <x:c r="AV375" s="5"/>
      <x:c r="AW375" s="5"/>
      <x:c r="AX375" s="5"/>
      <x:c r="AY375" s="5"/>
      <x:c r="AZ375" s="5"/>
      <x:c r="BA375" s="5"/>
      <x:c r="BB375" s="5"/>
      <x:c r="BC375" s="5"/>
      <x:c r="BD375" s="5"/>
      <x:c r="BE375" s="5"/>
      <x:c r="BF375" s="5"/>
      <x:c r="BG375" s="5"/>
      <x:c r="BH375" s="5"/>
      <x:c r="BI375" s="5"/>
      <x:c r="BJ375" s="5"/>
      <x:c r="BK375" s="5"/>
      <x:c r="BL375" s="5"/>
      <x:c r="BM375" s="5"/>
      <x:c r="BN375" s="5" t="n">
        <x:v>272.28</x:v>
      </x:c>
      <x:c r="BO375" s="5" t="n">
        <x:v>495.85</x:v>
      </x:c>
      <x:c r="BP375" s="5"/>
      <x:c r="BQ375" s="5"/>
      <x:c r="BR375" s="5"/>
      <x:c r="BS375" s="5"/>
      <x:c r="BT375" s="5"/>
      <x:c r="BU375" s="5"/>
      <x:c r="BV375" s="5"/>
      <x:c r="BW375" s="5"/>
      <x:c r="BX375" s="5"/>
      <x:c r="BY375" s="5"/>
      <x:c r="BZ375" s="5"/>
      <x:c r="CA375" s="5"/>
      <x:c r="CB375" s="5"/>
      <x:c r="CC375" s="5"/>
      <x:c r="CD375" s="5"/>
      <x:c r="CE375" s="5"/>
      <x:c r="CF375" s="5"/>
      <x:c r="CG375" s="5"/>
      <x:c r="CH375" s="5"/>
      <x:c r="CI375" s="5"/>
      <x:c r="CJ375" s="5"/>
      <x:c r="CK375" s="5"/>
      <x:c r="CL375" s="5"/>
      <x:c r="CM375" s="5"/>
      <x:c r="CN375" s="5"/>
      <x:c r="CO375" s="5"/>
      <x:c r="CP375" s="5"/>
      <x:c r="CQ375" s="5"/>
      <x:c r="CR375" s="5"/>
      <x:c r="CS375" s="5"/>
      <x:c r="CT375" s="5"/>
      <x:c r="CU375" s="5"/>
      <x:c r="CV375" s="5"/>
      <x:c r="CW375" s="5"/>
      <x:c r="CX375" s="5"/>
      <x:c r="CY375" s="5"/>
      <x:c r="CZ375" s="5"/>
      <x:c r="DA375" s="5"/>
      <x:c r="DB375" s="5"/>
      <x:c r="DC375" s="5"/>
      <x:c r="DD375" s="5"/>
      <x:c r="DE375" s="5"/>
      <x:c r="DF375" s="5"/>
      <x:c r="DG375" s="5"/>
      <x:c r="DH375" s="5"/>
      <x:c r="DI375" s="5"/>
      <x:c r="DJ375" s="5"/>
      <x:c r="DK375" s="5"/>
      <x:c r="DL375" s="5"/>
      <x:c r="DM375" s="5"/>
    </x:row>
    <x:row r="376">
      <x:c r="A376" s="5" t="n">
        <x:v>371</x:v>
      </x:c>
      <x:c r="B376" s="5" t="str">
        <x:v>辛酸乙酯（mg·L-1）</x:v>
      </x:c>
      <x:c r="C376" s="5"/>
      <x:c r="D376" s="5" t="n">
        <x:v>12.9</x:v>
      </x:c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  <x:c r="AQ376" s="5"/>
      <x:c r="AR376" s="5"/>
      <x:c r="AS376" s="5"/>
      <x:c r="AT376" s="5"/>
      <x:c r="AU376" s="5"/>
      <x:c r="AV376" s="5"/>
      <x:c r="AW376" s="5"/>
      <x:c r="AX376" s="5"/>
      <x:c r="AY376" s="5"/>
      <x:c r="AZ376" s="5"/>
      <x:c r="BA376" s="5"/>
      <x:c r="BB376" s="5"/>
      <x:c r="BC376" s="5"/>
      <x:c r="BD376" s="5"/>
      <x:c r="BE376" s="5"/>
      <x:c r="BF376" s="5"/>
      <x:c r="BG376" s="5"/>
      <x:c r="BH376" s="5"/>
      <x:c r="BI376" s="5"/>
      <x:c r="BJ376" s="5"/>
      <x:c r="BK376" s="5"/>
      <x:c r="BL376" s="5"/>
      <x:c r="BM376" s="5"/>
      <x:c r="BN376" s="5" t="n">
        <x:v>121.26</x:v>
      </x:c>
      <x:c r="BO376" s="5" t="n">
        <x:v>203.76</x:v>
      </x:c>
      <x:c r="BP376" s="5"/>
      <x:c r="BQ376" s="5"/>
      <x:c r="BR376" s="5"/>
      <x:c r="BS376" s="5"/>
      <x:c r="BT376" s="5"/>
      <x:c r="BU376" s="5"/>
      <x:c r="BV376" s="5"/>
      <x:c r="BW376" s="5"/>
      <x:c r="BX376" s="5"/>
      <x:c r="BY376" s="5"/>
      <x:c r="BZ376" s="5"/>
      <x:c r="CA376" s="5"/>
      <x:c r="CB376" s="5"/>
      <x:c r="CC376" s="5"/>
      <x:c r="CD376" s="5"/>
      <x:c r="CE376" s="5"/>
      <x:c r="CF376" s="5"/>
      <x:c r="CG376" s="5"/>
      <x:c r="CH376" s="5"/>
      <x:c r="CI376" s="5"/>
      <x:c r="CJ376" s="5"/>
      <x:c r="CK376" s="5"/>
      <x:c r="CL376" s="5"/>
      <x:c r="CM376" s="5"/>
      <x:c r="CN376" s="5"/>
      <x:c r="CO376" s="5"/>
      <x:c r="CP376" s="5"/>
      <x:c r="CQ376" s="5"/>
      <x:c r="CR376" s="5"/>
      <x:c r="CS376" s="5"/>
      <x:c r="CT376" s="5"/>
      <x:c r="CU376" s="5"/>
      <x:c r="CV376" s="5"/>
      <x:c r="CW376" s="5"/>
      <x:c r="CX376" s="5"/>
      <x:c r="CY376" s="5"/>
      <x:c r="CZ376" s="5"/>
      <x:c r="DA376" s="5"/>
      <x:c r="DB376" s="5"/>
      <x:c r="DC376" s="5"/>
      <x:c r="DD376" s="5"/>
      <x:c r="DE376" s="5"/>
      <x:c r="DF376" s="5"/>
      <x:c r="DG376" s="5"/>
      <x:c r="DH376" s="5"/>
      <x:c r="DI376" s="5"/>
      <x:c r="DJ376" s="5"/>
      <x:c r="DK376" s="5"/>
      <x:c r="DL376" s="5"/>
      <x:c r="DM376" s="5"/>
    </x:row>
    <x:row r="377">
      <x:c r="A377" s="5" t="n">
        <x:v>372</x:v>
      </x:c>
      <x:c r="B377" s="5" t="str">
        <x:v>辛酸（mg·L-1）</x:v>
      </x:c>
      <x:c r="C377" s="5"/>
      <x:c r="D377" s="5" t="n">
        <x:v>2700</x:v>
      </x:c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  <x:c r="AQ377" s="5"/>
      <x:c r="AR377" s="5"/>
      <x:c r="AS377" s="5"/>
      <x:c r="AT377" s="5"/>
      <x:c r="AU377" s="5"/>
      <x:c r="AV377" s="5"/>
      <x:c r="AW377" s="5"/>
      <x:c r="AX377" s="5"/>
      <x:c r="AY377" s="5"/>
      <x:c r="AZ377" s="5"/>
      <x:c r="BA377" s="5"/>
      <x:c r="BB377" s="5"/>
      <x:c r="BC377" s="5"/>
      <x:c r="BD377" s="5"/>
      <x:c r="BE377" s="5"/>
      <x:c r="BF377" s="5"/>
      <x:c r="BG377" s="5"/>
      <x:c r="BH377" s="5"/>
      <x:c r="BI377" s="5"/>
      <x:c r="BJ377" s="5"/>
      <x:c r="BK377" s="5"/>
      <x:c r="BL377" s="5"/>
      <x:c r="BM377" s="5"/>
      <x:c r="BN377" s="5" t="n">
        <x:v>16</x:v>
      </x:c>
      <x:c r="BO377" s="5" t="n">
        <x:v>38.28</x:v>
      </x:c>
      <x:c r="BP377" s="5"/>
      <x:c r="BQ377" s="5"/>
      <x:c r="BR377" s="5"/>
      <x:c r="BS377" s="5"/>
      <x:c r="BT377" s="5"/>
      <x:c r="BU377" s="5"/>
      <x:c r="BV377" s="5"/>
      <x:c r="BW377" s="5"/>
      <x:c r="BX377" s="5"/>
      <x:c r="BY377" s="5"/>
      <x:c r="BZ377" s="5"/>
      <x:c r="CA377" s="5"/>
      <x:c r="CB377" s="5"/>
      <x:c r="CC377" s="5"/>
      <x:c r="CD377" s="5"/>
      <x:c r="CE377" s="5"/>
      <x:c r="CF377" s="5"/>
      <x:c r="CG377" s="5"/>
      <x:c r="CH377" s="5"/>
      <x:c r="CI377" s="5"/>
      <x:c r="CJ377" s="5"/>
      <x:c r="CK377" s="5"/>
      <x:c r="CL377" s="5"/>
      <x:c r="CM377" s="5"/>
      <x:c r="CN377" s="5"/>
      <x:c r="CO377" s="5"/>
      <x:c r="CP377" s="5"/>
      <x:c r="CQ377" s="5"/>
      <x:c r="CR377" s="5"/>
      <x:c r="CS377" s="5"/>
      <x:c r="CT377" s="5"/>
      <x:c r="CU377" s="5"/>
      <x:c r="CV377" s="5"/>
      <x:c r="CW377" s="5"/>
      <x:c r="CX377" s="5"/>
      <x:c r="CY377" s="5"/>
      <x:c r="CZ377" s="5"/>
      <x:c r="DA377" s="5"/>
      <x:c r="DB377" s="5"/>
      <x:c r="DC377" s="5"/>
      <x:c r="DD377" s="5"/>
      <x:c r="DE377" s="5"/>
      <x:c r="DF377" s="5"/>
      <x:c r="DG377" s="5"/>
      <x:c r="DH377" s="5"/>
      <x:c r="DI377" s="5"/>
      <x:c r="DJ377" s="5"/>
      <x:c r="DK377" s="5"/>
      <x:c r="DL377" s="5"/>
      <x:c r="DM377" s="5"/>
    </x:row>
    <x:row r="378">
      <x:c r="A378" s="5" t="n">
        <x:v>373</x:v>
      </x:c>
      <x:c r="B378" s="5" t="str">
        <x:v>（2，2-二乙氧基乙基）-苯</x:v>
      </x:c>
      <x:c r="C378" s="5"/>
      <x:c r="D378" s="5" t="n">
        <x:v>2706.87</x:v>
      </x:c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  <x:c r="AQ378" s="5" t="n">
        <x:v>1.23</x:v>
      </x:c>
      <x:c r="AR378" s="5" t="n">
        <x:v>4.55</x:v>
      </x:c>
      <x:c r="AS378" s="5" t="n">
        <x:v>3.82</x:v>
      </x:c>
      <x:c r="AT378" s="5" t="n">
        <x:v>4.13</x:v>
      </x:c>
      <x:c r="AU378" s="5"/>
      <x:c r="AV378" s="5"/>
      <x:c r="AW378" s="5"/>
      <x:c r="AX378" s="5"/>
      <x:c r="AY378" s="5"/>
      <x:c r="AZ378" s="5"/>
      <x:c r="BA378" s="5"/>
      <x:c r="BB378" s="5"/>
      <x:c r="BC378" s="5"/>
      <x:c r="BD378" s="5"/>
      <x:c r="BE378" s="5"/>
      <x:c r="BF378" s="5"/>
      <x:c r="BG378" s="5"/>
      <x:c r="BH378" s="5"/>
      <x:c r="BI378" s="5"/>
      <x:c r="BJ378" s="5"/>
      <x:c r="BK378" s="5"/>
      <x:c r="BL378" s="5"/>
      <x:c r="BM378" s="5"/>
      <x:c r="BN378" s="5"/>
      <x:c r="BO378" s="5"/>
      <x:c r="BP378" s="5"/>
      <x:c r="BQ378" s="5"/>
      <x:c r="BR378" s="5"/>
      <x:c r="BS378" s="5"/>
      <x:c r="BT378" s="5"/>
      <x:c r="BU378" s="5"/>
      <x:c r="BV378" s="5"/>
      <x:c r="BW378" s="5"/>
      <x:c r="BX378" s="5"/>
      <x:c r="BY378" s="5"/>
      <x:c r="BZ378" s="5"/>
      <x:c r="CA378" s="5"/>
      <x:c r="CB378" s="5"/>
      <x:c r="CC378" s="5"/>
      <x:c r="CD378" s="5"/>
      <x:c r="CE378" s="5"/>
      <x:c r="CF378" s="5"/>
      <x:c r="CG378" s="5"/>
      <x:c r="CH378" s="5"/>
      <x:c r="CI378" s="5"/>
      <x:c r="CJ378" s="5"/>
      <x:c r="CK378" s="5"/>
      <x:c r="CL378" s="5"/>
      <x:c r="CM378" s="5"/>
      <x:c r="CN378" s="5"/>
      <x:c r="CO378" s="5"/>
      <x:c r="CP378" s="5"/>
      <x:c r="CQ378" s="5"/>
      <x:c r="CR378" s="5"/>
      <x:c r="CS378" s="5"/>
      <x:c r="CT378" s="5"/>
      <x:c r="CU378" s="5"/>
      <x:c r="CV378" s="5"/>
      <x:c r="CW378" s="5"/>
      <x:c r="CX378" s="5"/>
      <x:c r="CY378" s="5"/>
      <x:c r="CZ378" s="5"/>
      <x:c r="DA378" s="5"/>
      <x:c r="DB378" s="5"/>
      <x:c r="DC378" s="5"/>
      <x:c r="DD378" s="5"/>
      <x:c r="DE378" s="5"/>
      <x:c r="DF378" s="5"/>
      <x:c r="DG378" s="5"/>
      <x:c r="DH378" s="5"/>
      <x:c r="DI378" s="5"/>
      <x:c r="DJ378" s="5"/>
      <x:c r="DK378" s="5"/>
      <x:c r="DL378" s="5"/>
      <x:c r="DM378" s="5"/>
    </x:row>
  </x:sheetData>
  <x:pageMargins left="0.7" right="0.7" top="0.75" bottom="0.75" header="0.3" footer="0.3"/>
</x:worksheet>
</file>